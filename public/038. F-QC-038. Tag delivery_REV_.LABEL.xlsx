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12525" activeTab="7"/>
  </bookViews>
  <sheets>
    <sheet name="IN" sheetId="15" r:id="rId1"/>
    <sheet name="OK" sheetId="14" r:id="rId2"/>
    <sheet name="BY" sheetId="13" r:id="rId3"/>
    <sheet name="SPY" sheetId="9" r:id="rId4"/>
    <sheet name="Label FG" sheetId="6" r:id="rId5"/>
    <sheet name="List Part" sheetId="7" r:id="rId6"/>
    <sheet name="Packaging" sheetId="8" r:id="rId7"/>
    <sheet name="clean_list_part" sheetId="16" r:id="rId8"/>
  </sheets>
  <externalReferences>
    <externalReference r:id="rId9"/>
  </externalReferences>
  <definedNames>
    <definedName name="_xlnm._FilterDatabase" localSheetId="5" hidden="1">'List Part'!$A$4:$N$327</definedName>
    <definedName name="_xlnm.Print_Area" localSheetId="4">'Label FG'!$A$1:$M$64</definedName>
    <definedName name="ボタン2_Click" localSheetId="2">[1]!ボタン2_Click</definedName>
    <definedName name="ボタン2_Click" localSheetId="0">[1]!ボタン2_Click</definedName>
    <definedName name="ボタン2_Click" localSheetId="4">[1]!ボタン2_Click</definedName>
    <definedName name="ボタン2_Click" localSheetId="1">[1]!ボタン2_Click</definedName>
    <definedName name="ボタン2_Click">[1]!ボタン2_Click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E33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JLN</t>
        </r>
      </text>
    </comment>
    <comment ref="E33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JALAN</t>
        </r>
      </text>
    </comment>
    <comment ref="E34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PRODUKSI BANYAK</t>
        </r>
      </text>
    </comment>
    <comment ref="E34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JALAN N MASIH SEDKIT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33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JLN</t>
        </r>
      </text>
    </comment>
    <comment ref="E33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JALAN</t>
        </r>
      </text>
    </comment>
    <comment ref="E34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PRODUKSI BANYAK</t>
        </r>
      </text>
    </comment>
    <comment ref="E34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JALAN N MASIH SEDKIT</t>
        </r>
      </text>
    </comment>
  </commentList>
</comments>
</file>

<file path=xl/sharedStrings.xml><?xml version="1.0" encoding="utf-8"?>
<sst xmlns="http://schemas.openxmlformats.org/spreadsheetml/2006/main" count="7764" uniqueCount="1230">
  <si>
    <t>PT. TASM</t>
  </si>
  <si>
    <t>Part No</t>
  </si>
  <si>
    <t>:</t>
  </si>
  <si>
    <t>Part Name</t>
  </si>
  <si>
    <t>QTY</t>
  </si>
  <si>
    <t>Berat</t>
  </si>
  <si>
    <t>gram</t>
  </si>
  <si>
    <t>Tgl prod</t>
  </si>
  <si>
    <t>Checker</t>
  </si>
  <si>
    <t>IN 06 04</t>
  </si>
  <si>
    <t>OK 01 03</t>
  </si>
  <si>
    <t>BY 02 05</t>
  </si>
  <si>
    <t>A</t>
  </si>
  <si>
    <t>PT. TEKUN ASAS SUMBER MAKMUR</t>
  </si>
  <si>
    <t>Customer name</t>
  </si>
  <si>
    <t>Code :</t>
  </si>
  <si>
    <t>Part no</t>
  </si>
  <si>
    <t>226</t>
  </si>
  <si>
    <t>Part name</t>
  </si>
  <si>
    <t>Model</t>
  </si>
  <si>
    <t>Delivery date</t>
  </si>
  <si>
    <t>QR code</t>
  </si>
  <si>
    <t>Berat per pack</t>
  </si>
  <si>
    <t>Kg</t>
  </si>
  <si>
    <t>Quantity</t>
  </si>
  <si>
    <t>Pcs</t>
  </si>
  <si>
    <t>Inspector name</t>
  </si>
  <si>
    <t xml:space="preserve">Prod. date </t>
  </si>
  <si>
    <t>Exp. date</t>
  </si>
  <si>
    <t>Status part</t>
  </si>
  <si>
    <t>OK</t>
  </si>
  <si>
    <t>F-QC-038. Date/Rev : 22.04.24/01</t>
  </si>
  <si>
    <t>LIST PART CUSTOMER</t>
  </si>
  <si>
    <t>Part Code</t>
  </si>
  <si>
    <t>Current 
Part No</t>
  </si>
  <si>
    <t>Part Description</t>
  </si>
  <si>
    <t>Customer</t>
  </si>
  <si>
    <t>Qty/Pack
(Pcs)</t>
  </si>
  <si>
    <t>Prod. Date</t>
  </si>
  <si>
    <t>Exp. Date</t>
  </si>
  <si>
    <t>Delivery packaging</t>
  </si>
  <si>
    <t>Part No lama</t>
  </si>
  <si>
    <t>Qty sub pack</t>
  </si>
  <si>
    <t>Metode</t>
  </si>
  <si>
    <t>Berat Packaging
(gram)</t>
  </si>
  <si>
    <t>Berat 
per pcs
(gram)</t>
  </si>
  <si>
    <t>Berat total
(Kg)</t>
  </si>
  <si>
    <t>Type Packaging</t>
  </si>
  <si>
    <t>Ukuran 
packaging
(PxLxT)</t>
  </si>
  <si>
    <t>001</t>
  </si>
  <si>
    <t>VEN3500</t>
  </si>
  <si>
    <t>KEY COVER ARM L PNT 001188</t>
  </si>
  <si>
    <t>PT. YMMA</t>
  </si>
  <si>
    <t>-</t>
  </si>
  <si>
    <t>Cartoon Box S2DW</t>
  </si>
  <si>
    <t>Timbang</t>
  </si>
  <si>
    <t>002</t>
  </si>
  <si>
    <t>VEN3520</t>
  </si>
  <si>
    <t>KEY COVER ARM L PNT 001190</t>
  </si>
  <si>
    <t>003</t>
  </si>
  <si>
    <t>VEN3510</t>
  </si>
  <si>
    <t>KEY COVER ARM R PNT 001188</t>
  </si>
  <si>
    <t>004</t>
  </si>
  <si>
    <t>VEN3530</t>
  </si>
  <si>
    <t>KEY COVER ARM R PNT 001190</t>
  </si>
  <si>
    <t>005</t>
  </si>
  <si>
    <t>VEW5100</t>
  </si>
  <si>
    <t>FRONT RAIL PAINTED 000042</t>
  </si>
  <si>
    <t>Cartoon Box S25DW</t>
  </si>
  <si>
    <t>006</t>
  </si>
  <si>
    <t>VAX3500</t>
  </si>
  <si>
    <t>SP GRILLE PAINTED 000418</t>
  </si>
  <si>
    <t>Cartoon Box S6DW</t>
  </si>
  <si>
    <t>007</t>
  </si>
  <si>
    <t>VFV1400</t>
  </si>
  <si>
    <t>DCIN ANGLE 001380</t>
  </si>
  <si>
    <t>008</t>
  </si>
  <si>
    <t>VEW4650</t>
  </si>
  <si>
    <t>BOTTOM 7 PAINTED DE 000041</t>
  </si>
  <si>
    <t xml:space="preserve">TROLLY </t>
  </si>
  <si>
    <t>009</t>
  </si>
  <si>
    <t>VDF9740</t>
  </si>
  <si>
    <t>PEDAL PILLAR 000100</t>
  </si>
  <si>
    <t>Cartoon Box S18DW</t>
  </si>
  <si>
    <t>010</t>
  </si>
  <si>
    <t>VHF3020</t>
  </si>
  <si>
    <t>PEDAL PILLAR 000101</t>
  </si>
  <si>
    <t>ZY71610</t>
  </si>
  <si>
    <t>011</t>
  </si>
  <si>
    <t>ZK72470</t>
  </si>
  <si>
    <t>FOOT BASE BOARD 2 8K48/8N32</t>
  </si>
  <si>
    <t>Cartoon Box S14DW</t>
  </si>
  <si>
    <t>012</t>
  </si>
  <si>
    <t>VEY8740</t>
  </si>
  <si>
    <t>BACK TOE L 001366</t>
  </si>
  <si>
    <t>013</t>
  </si>
  <si>
    <t>VEY8750</t>
  </si>
  <si>
    <t>BACK TOE R 001366</t>
  </si>
  <si>
    <t>014</t>
  </si>
  <si>
    <t>VEN3810</t>
  </si>
  <si>
    <t>T-BOARD GRILLE ASSY 001188</t>
  </si>
  <si>
    <t>Cartoon Box S24DW</t>
  </si>
  <si>
    <t>015</t>
  </si>
  <si>
    <t>VEN3830</t>
  </si>
  <si>
    <t>T-BOARD GRILLE ASSY 001190</t>
  </si>
  <si>
    <t>016</t>
  </si>
  <si>
    <t>VEW8810</t>
  </si>
  <si>
    <t>AMP BOX PAINTED GP TA3</t>
  </si>
  <si>
    <t>017</t>
  </si>
  <si>
    <t>VGJ1470</t>
  </si>
  <si>
    <t>BACK SP GRILLE 001798</t>
  </si>
  <si>
    <t>018</t>
  </si>
  <si>
    <t>VGJ2260</t>
  </si>
  <si>
    <t>KEYCOVER ARM L 001798</t>
  </si>
  <si>
    <t>019</t>
  </si>
  <si>
    <t>VGJ2220</t>
  </si>
  <si>
    <t>KEYCOVER ARM L PNT 001798</t>
  </si>
  <si>
    <t>020</t>
  </si>
  <si>
    <t>VGJ2270</t>
  </si>
  <si>
    <t>KEYCOVER ARM R 001798</t>
  </si>
  <si>
    <t>021</t>
  </si>
  <si>
    <t>VGJ2230</t>
  </si>
  <si>
    <t>KEYCOVER ARM R PNT 001798</t>
  </si>
  <si>
    <t>022</t>
  </si>
  <si>
    <t>VFA1570</t>
  </si>
  <si>
    <t>T-BOARD GRILLE ASSY 001380</t>
  </si>
  <si>
    <t>NA</t>
  </si>
  <si>
    <t>023</t>
  </si>
  <si>
    <t>VFA1580</t>
  </si>
  <si>
    <t>T-BOARD GRILLE ASSY 001381</t>
  </si>
  <si>
    <t>024</t>
  </si>
  <si>
    <t>VFE4860</t>
  </si>
  <si>
    <t>FRONT LEG ANGLE L 001380</t>
  </si>
  <si>
    <t>025</t>
  </si>
  <si>
    <t>VFE4870</t>
  </si>
  <si>
    <t>FRONT LEG ANGLE R 001380</t>
  </si>
  <si>
    <t>026</t>
  </si>
  <si>
    <t>VEW5330</t>
  </si>
  <si>
    <t>BOTTOM PLATE WELDED DE 000042</t>
  </si>
  <si>
    <t>Cartoon Box S21DW</t>
  </si>
  <si>
    <t>027</t>
  </si>
  <si>
    <t>VFV1390</t>
  </si>
  <si>
    <t>JACK ANGLE PAINTED 001380</t>
  </si>
  <si>
    <t>028</t>
  </si>
  <si>
    <t>VFE6180</t>
  </si>
  <si>
    <t>MKC CHASSIS NL4SEM :</t>
  </si>
  <si>
    <t>029</t>
  </si>
  <si>
    <t>ZC06970</t>
  </si>
  <si>
    <t>USB ANGLE2 #3235</t>
  </si>
  <si>
    <t>030</t>
  </si>
  <si>
    <t>VEW5150</t>
  </si>
  <si>
    <t>REAR PANEL PAINTED 000042</t>
  </si>
  <si>
    <t>031</t>
  </si>
  <si>
    <t>VEF9540</t>
  </si>
  <si>
    <t>USB ANGLE PAINTED 001191</t>
  </si>
  <si>
    <t>032</t>
  </si>
  <si>
    <t>VFT0040</t>
  </si>
  <si>
    <t>FNC CASE FIX ANGLE 001644</t>
  </si>
  <si>
    <t>033</t>
  </si>
  <si>
    <t>VFD4630</t>
  </si>
  <si>
    <t>BACK BOARD SP GRILLE 001380</t>
  </si>
  <si>
    <t>Cartoon Box S1DW</t>
  </si>
  <si>
    <t>034</t>
  </si>
  <si>
    <t>VFK4220</t>
  </si>
  <si>
    <t>P SIDE PLATE PAINTED :</t>
  </si>
  <si>
    <t>035</t>
  </si>
  <si>
    <t>ZA77460</t>
  </si>
  <si>
    <t>L ANGLE TB #3238</t>
  </si>
  <si>
    <t>036</t>
  </si>
  <si>
    <t>VEK2720</t>
  </si>
  <si>
    <t>JK ANGLE :</t>
  </si>
  <si>
    <t>037</t>
  </si>
  <si>
    <t>VEW5370</t>
  </si>
  <si>
    <t>REINFORCING ANGLE 8 : : :</t>
  </si>
  <si>
    <t>038</t>
  </si>
  <si>
    <t>VFN9140</t>
  </si>
  <si>
    <t>KEY BLOCK FRAME 7R :</t>
  </si>
  <si>
    <t>039</t>
  </si>
  <si>
    <t>VEW3470</t>
  </si>
  <si>
    <t>LCD ANGLE 1 : : :</t>
  </si>
  <si>
    <t>040</t>
  </si>
  <si>
    <t>VEW3480</t>
  </si>
  <si>
    <t>LCD ANGLE 2 : : :</t>
  </si>
  <si>
    <t>041</t>
  </si>
  <si>
    <t>VEW3490</t>
  </si>
  <si>
    <t>LCD ANGLE 3 : : :</t>
  </si>
  <si>
    <t>042</t>
  </si>
  <si>
    <t>VEW5350</t>
  </si>
  <si>
    <t>SIDE PLATE 8L : : :</t>
  </si>
  <si>
    <t>043</t>
  </si>
  <si>
    <t>VEW5360</t>
  </si>
  <si>
    <t>SIDE PLATE 8R : : :</t>
  </si>
  <si>
    <t>044</t>
  </si>
  <si>
    <t>VEC4320</t>
  </si>
  <si>
    <t>DM COVER LOWER 88 DE 000862</t>
  </si>
  <si>
    <t>045</t>
  </si>
  <si>
    <t>VFA4290</t>
  </si>
  <si>
    <t>DCIN BRACKET PAINTED PA-500</t>
  </si>
  <si>
    <t>046</t>
  </si>
  <si>
    <t>VFP6920</t>
  </si>
  <si>
    <t>DC IN BRACKET PAINTED 16V PA-300C</t>
  </si>
  <si>
    <t>047</t>
  </si>
  <si>
    <t>ZA89450</t>
  </si>
  <si>
    <t>FRONT PANEL ANGLE #3237</t>
  </si>
  <si>
    <t>048</t>
  </si>
  <si>
    <t>VEW3930</t>
  </si>
  <si>
    <t>KEY BLOCK FRAME 6R :</t>
  </si>
  <si>
    <t>049</t>
  </si>
  <si>
    <t>V739620</t>
  </si>
  <si>
    <t>CORNER BRACKET</t>
  </si>
  <si>
    <t>050</t>
  </si>
  <si>
    <t>VEW4010</t>
  </si>
  <si>
    <t>POWER HOLDER : : :</t>
  </si>
  <si>
    <t>051</t>
  </si>
  <si>
    <t>ZS87820</t>
  </si>
  <si>
    <t>WO GRILLE PAINTED #3531</t>
  </si>
  <si>
    <t>052</t>
  </si>
  <si>
    <t>WF41960</t>
  </si>
  <si>
    <t>PK SUPPORT RAIL R #2940</t>
  </si>
  <si>
    <t>053</t>
  </si>
  <si>
    <t>VEW8840</t>
  </si>
  <si>
    <t>AMP BRACKET UP TA3 TC3</t>
  </si>
  <si>
    <t>054</t>
  </si>
  <si>
    <t>VEW3720</t>
  </si>
  <si>
    <t>BOTTOM 6 PAINTED DE 000040</t>
  </si>
  <si>
    <t>055</t>
  </si>
  <si>
    <t>VEW4000</t>
  </si>
  <si>
    <t>PW COVER :</t>
  </si>
  <si>
    <t>056</t>
  </si>
  <si>
    <t>VFG0380</t>
  </si>
  <si>
    <t>BOTTOMCASE PAINTED SC3 TC3 BK</t>
  </si>
  <si>
    <t>057</t>
  </si>
  <si>
    <t>ZC05400</t>
  </si>
  <si>
    <t>BACK TOP RAIL ANGLE 1.6 L :</t>
  </si>
  <si>
    <t>058</t>
  </si>
  <si>
    <t>VFU1430</t>
  </si>
  <si>
    <t>BOTTOMCASE H PAINTED BK 208EX EN55035</t>
  </si>
  <si>
    <t>ZZ34950</t>
  </si>
  <si>
    <t>059</t>
  </si>
  <si>
    <t>VFJ2870</t>
  </si>
  <si>
    <t>DC IN HOLDER 16V</t>
  </si>
  <si>
    <t>060</t>
  </si>
  <si>
    <t>ZA88910</t>
  </si>
  <si>
    <t>PAD ANGLE #3237</t>
  </si>
  <si>
    <t>061</t>
  </si>
  <si>
    <t>ZE26620</t>
  </si>
  <si>
    <t>GRAND METAL HAJK 8I55</t>
  </si>
  <si>
    <t>062</t>
  </si>
  <si>
    <t>ZC33270</t>
  </si>
  <si>
    <t>AC ADAPTOR COVER #3238</t>
  </si>
  <si>
    <t>063</t>
  </si>
  <si>
    <t>ZC11150</t>
  </si>
  <si>
    <t>HOLDER #3238</t>
  </si>
  <si>
    <t>064</t>
  </si>
  <si>
    <t>VEN3280</t>
  </si>
  <si>
    <t>SIDE BOARD ANGLE L 001188</t>
  </si>
  <si>
    <t>065</t>
  </si>
  <si>
    <t>VEN3290</t>
  </si>
  <si>
    <t>SIDE BOARD ANGLE R 001188</t>
  </si>
  <si>
    <t>066</t>
  </si>
  <si>
    <t>VEN4160</t>
  </si>
  <si>
    <t>BACK SP GRILLE 001188</t>
  </si>
  <si>
    <t>067</t>
  </si>
  <si>
    <t>VEF9530</t>
  </si>
  <si>
    <t>U FR BOARD SILL ANGLE 001191</t>
  </si>
  <si>
    <t>068</t>
  </si>
  <si>
    <t>ZX76300</t>
  </si>
  <si>
    <t>DM SUPPORT ANGLE 1.0 : :</t>
  </si>
  <si>
    <t>069</t>
  </si>
  <si>
    <t>ZY24860</t>
  </si>
  <si>
    <t>PANEL SIDE ANGLE : : :</t>
  </si>
  <si>
    <t>070</t>
  </si>
  <si>
    <t>ZY18460</t>
  </si>
  <si>
    <t>PW TOP COVER DE 000035</t>
  </si>
  <si>
    <t>Cartoon Box S23DW</t>
  </si>
  <si>
    <t>071</t>
  </si>
  <si>
    <t>WZ71260</t>
  </si>
  <si>
    <t>WEIGHT 8K48/8N32</t>
  </si>
  <si>
    <t>072</t>
  </si>
  <si>
    <t>VAY4990</t>
  </si>
  <si>
    <t xml:space="preserve">CONNECT ANGLE 6 </t>
  </si>
  <si>
    <t>073</t>
  </si>
  <si>
    <t>ZY71580</t>
  </si>
  <si>
    <t>TOP COVER PAINTED BK 208EX</t>
  </si>
  <si>
    <t>074</t>
  </si>
  <si>
    <t>VDH3130</t>
  </si>
  <si>
    <t>SP GRILLE PAINTED 000760</t>
  </si>
  <si>
    <t>075</t>
  </si>
  <si>
    <t>VHF3180</t>
  </si>
  <si>
    <t>SP GRILLE PAINTED 000761</t>
  </si>
  <si>
    <t>VDH3140</t>
  </si>
  <si>
    <t>076</t>
  </si>
  <si>
    <t>ZZ50780</t>
  </si>
  <si>
    <t>SP GRILLE PAINTED 000125</t>
  </si>
  <si>
    <t>077</t>
  </si>
  <si>
    <t>ZZ50790</t>
  </si>
  <si>
    <t>SP GRILLE PAINTED 000126</t>
  </si>
  <si>
    <t>078</t>
  </si>
  <si>
    <t>VGV6160</t>
  </si>
  <si>
    <t>SP GRILLE PAINTED 001592</t>
  </si>
  <si>
    <t>079</t>
  </si>
  <si>
    <t>ZA76980</t>
  </si>
  <si>
    <t>DM ANGLE #3238</t>
  </si>
  <si>
    <t>080</t>
  </si>
  <si>
    <t>VAY6540</t>
  </si>
  <si>
    <t>PW TOP COVER DE 000525</t>
  </si>
  <si>
    <t>081</t>
  </si>
  <si>
    <t>VAP5720</t>
  </si>
  <si>
    <t>ANGLE AT 000133</t>
  </si>
  <si>
    <t>082</t>
  </si>
  <si>
    <t>VCR3110</t>
  </si>
  <si>
    <t>SP GRILLE PAINTED 000707</t>
  </si>
  <si>
    <t>083</t>
  </si>
  <si>
    <t>ZY25070</t>
  </si>
  <si>
    <t>CONNECT ANGLE 7 : : :</t>
  </si>
  <si>
    <t>084</t>
  </si>
  <si>
    <t>ZY25080</t>
  </si>
  <si>
    <t>CONNECT ANGLE 8 : : :</t>
  </si>
  <si>
    <t>085</t>
  </si>
  <si>
    <t>VHG4100</t>
  </si>
  <si>
    <t>SP GRILLE PAINTED #3668</t>
  </si>
  <si>
    <t>VCN8340</t>
  </si>
  <si>
    <t>086</t>
  </si>
  <si>
    <t>VCN8330</t>
  </si>
  <si>
    <t>SP GRILLE PAINTED 000136</t>
  </si>
  <si>
    <t>087</t>
  </si>
  <si>
    <t>ZZ00770</t>
  </si>
  <si>
    <t>PW SHIELD COVER DE 000035</t>
  </si>
  <si>
    <t>088</t>
  </si>
  <si>
    <t>ZZ55220</t>
  </si>
  <si>
    <t>SIDE PAD ANGLE LW 000125</t>
  </si>
  <si>
    <t>089</t>
  </si>
  <si>
    <t>ZZ42290</t>
  </si>
  <si>
    <t>SP GRILLE WO PAINTED 000106</t>
  </si>
  <si>
    <t>090</t>
  </si>
  <si>
    <t>ZW29660</t>
  </si>
  <si>
    <t>MUSIC REST ANGLE #3641</t>
  </si>
  <si>
    <t>091</t>
  </si>
  <si>
    <t>VHF3040</t>
  </si>
  <si>
    <t>MUSIC REST ANGLE #3670 WHITE</t>
  </si>
  <si>
    <t>ZW76490</t>
  </si>
  <si>
    <t>092</t>
  </si>
  <si>
    <t>ZS78030</t>
  </si>
  <si>
    <t>FRONT PANEL PAINTED 8R36</t>
  </si>
  <si>
    <t>093</t>
  </si>
  <si>
    <t>WW02410</t>
  </si>
  <si>
    <t>H.P PLATE :</t>
  </si>
  <si>
    <t>094</t>
  </si>
  <si>
    <t>ZW36790</t>
  </si>
  <si>
    <t>ROD HOLDER L #3641</t>
  </si>
  <si>
    <t>095</t>
  </si>
  <si>
    <t>ZW36800</t>
  </si>
  <si>
    <t>ROD HOLDER R #3641</t>
  </si>
  <si>
    <t>096</t>
  </si>
  <si>
    <t>ZV95540</t>
  </si>
  <si>
    <t>KEY STOP ANGLE #3631</t>
  </si>
  <si>
    <t>097</t>
  </si>
  <si>
    <t>ZV33230</t>
  </si>
  <si>
    <t>KEY STOP ANGLE #3635</t>
  </si>
  <si>
    <t>098</t>
  </si>
  <si>
    <t>ZW54950</t>
  </si>
  <si>
    <t>KEYCOVER ARM L PNT #3635</t>
  </si>
  <si>
    <t>099</t>
  </si>
  <si>
    <t>ZW54960</t>
  </si>
  <si>
    <t>KEYCOVER ARM R PNT #3635</t>
  </si>
  <si>
    <t>100</t>
  </si>
  <si>
    <t>ZW54980</t>
  </si>
  <si>
    <t>KEYCOVER ARM L #3635</t>
  </si>
  <si>
    <t>101</t>
  </si>
  <si>
    <t>ZW54990</t>
  </si>
  <si>
    <t>KEYCOVER ARM R #3635</t>
  </si>
  <si>
    <t>102</t>
  </si>
  <si>
    <t>ZH66590</t>
  </si>
  <si>
    <t>L ANGLE L #3352</t>
  </si>
  <si>
    <t>103</t>
  </si>
  <si>
    <t>ZH66600</t>
  </si>
  <si>
    <t>L ANGLE R #3352</t>
  </si>
  <si>
    <t>104</t>
  </si>
  <si>
    <t>ZC03800</t>
  </si>
  <si>
    <t>ANGLE B2 #3235</t>
  </si>
  <si>
    <t>105</t>
  </si>
  <si>
    <t>ZZ42300</t>
  </si>
  <si>
    <t>SP GRILLE TW PAINTED 000106</t>
  </si>
  <si>
    <t>106</t>
  </si>
  <si>
    <t>VCX3650</t>
  </si>
  <si>
    <t>SP GRILLE L PAINTED 000139</t>
  </si>
  <si>
    <t>107</t>
  </si>
  <si>
    <t>VHF3160</t>
  </si>
  <si>
    <t>SP GRILLE L PAINTED 000140</t>
  </si>
  <si>
    <t>VCX3660</t>
  </si>
  <si>
    <t>108</t>
  </si>
  <si>
    <t>VCX3670</t>
  </si>
  <si>
    <t>SP GRILLE R PAINTED 000139</t>
  </si>
  <si>
    <t>109</t>
  </si>
  <si>
    <t>VHF3170</t>
  </si>
  <si>
    <t>SP GRILLE R PAINTED 000140</t>
  </si>
  <si>
    <t>VCX3680</t>
  </si>
  <si>
    <t>110</t>
  </si>
  <si>
    <t>VAH3850</t>
  </si>
  <si>
    <t>FRONT LEG ANGLE L 000136</t>
  </si>
  <si>
    <t>111</t>
  </si>
  <si>
    <t>VAH3860</t>
  </si>
  <si>
    <t>FRONT LEG ANGLE R 000136</t>
  </si>
  <si>
    <t>112</t>
  </si>
  <si>
    <t>VJ90760</t>
  </si>
  <si>
    <t>SP BOX FITTING PLATE   1.6 C</t>
  </si>
  <si>
    <t>113</t>
  </si>
  <si>
    <t>ZF65100</t>
  </si>
  <si>
    <t>JACK HOLDER 8N42 :</t>
  </si>
  <si>
    <t>114</t>
  </si>
  <si>
    <t>ZC99740</t>
  </si>
  <si>
    <t>PORT GRILLE(PAINTED) SEMI GROSS BLACK</t>
  </si>
  <si>
    <t>115</t>
  </si>
  <si>
    <t>ZS23990</t>
  </si>
  <si>
    <t>REAR PANEL ANGLE 1.6 C :</t>
  </si>
  <si>
    <t>116</t>
  </si>
  <si>
    <t>ZF64890</t>
  </si>
  <si>
    <t>SWITCH CRUCH A PAINT 8N42 :</t>
  </si>
  <si>
    <t>117</t>
  </si>
  <si>
    <t>ZF64900</t>
  </si>
  <si>
    <t>SWITCH CRUCH B PAINT 8N42 :</t>
  </si>
  <si>
    <t>118</t>
  </si>
  <si>
    <t>ZJ20370</t>
  </si>
  <si>
    <t>CUSHION FRAME 8N36</t>
  </si>
  <si>
    <t>119</t>
  </si>
  <si>
    <t>ZC03810</t>
  </si>
  <si>
    <t>ANGLE YT #3235</t>
  </si>
  <si>
    <t>120</t>
  </si>
  <si>
    <t>ZJ93200</t>
  </si>
  <si>
    <t>SUPPORT PLATE L PAIN 8N36</t>
  </si>
  <si>
    <t>121</t>
  </si>
  <si>
    <t>ZJ93190</t>
  </si>
  <si>
    <t>SUPPORT PLATE R PAIN 8N36</t>
  </si>
  <si>
    <t>122</t>
  </si>
  <si>
    <t>ZJ93180</t>
  </si>
  <si>
    <t>CONNECT PLATE L PAIN 8N36</t>
  </si>
  <si>
    <t>123</t>
  </si>
  <si>
    <t>ZJ20380</t>
  </si>
  <si>
    <t>CONNECT PLATE R PAIN 8N36</t>
  </si>
  <si>
    <t>124</t>
  </si>
  <si>
    <t>ZM28510</t>
  </si>
  <si>
    <t>FAN HOLDER 1.0 : :</t>
  </si>
  <si>
    <t>125</t>
  </si>
  <si>
    <t>ZF64930</t>
  </si>
  <si>
    <t>SPRING HOLDER PLATIN 8N42 :</t>
  </si>
  <si>
    <t>126</t>
  </si>
  <si>
    <t>WY45070</t>
  </si>
  <si>
    <t>FRONT LEG ANGLE L CL #3212</t>
  </si>
  <si>
    <t>127</t>
  </si>
  <si>
    <t>WY45030</t>
  </si>
  <si>
    <t>FRONT LEG ANGLE L CL #3212 B</t>
  </si>
  <si>
    <t>128</t>
  </si>
  <si>
    <t>WY45080</t>
  </si>
  <si>
    <t>FRONT LEG ANGLE R CL #3212</t>
  </si>
  <si>
    <t>129</t>
  </si>
  <si>
    <t>WY45040</t>
  </si>
  <si>
    <t>FRONT LEG ANGLE R CL #3212 B</t>
  </si>
  <si>
    <t>130</t>
  </si>
  <si>
    <t>VHG3710</t>
  </si>
  <si>
    <t>TOP STOPPER FINISHED #3522</t>
  </si>
  <si>
    <t>ZF56390</t>
  </si>
  <si>
    <t>131</t>
  </si>
  <si>
    <t>WH49680</t>
  </si>
  <si>
    <t>TOP STOPPER FINISHED CLP-265GP</t>
  </si>
  <si>
    <t>132</t>
  </si>
  <si>
    <t>WH49690</t>
  </si>
  <si>
    <t>TOP STOPPER WORKED</t>
  </si>
  <si>
    <t>133</t>
  </si>
  <si>
    <t>ZH81920</t>
  </si>
  <si>
    <t>GRILLE STAY #3585</t>
  </si>
  <si>
    <t>134</t>
  </si>
  <si>
    <t>V913990</t>
  </si>
  <si>
    <t>BACK TOP RAIL ANGLE(B)  CVP-900</t>
  </si>
  <si>
    <t>135</t>
  </si>
  <si>
    <t>WR45660</t>
  </si>
  <si>
    <t>NST ANGLE(L) 2 Z</t>
  </si>
  <si>
    <t>136</t>
  </si>
  <si>
    <t>WR45670</t>
  </si>
  <si>
    <t>NST ANGLE(R) 2 Z</t>
  </si>
  <si>
    <t>137</t>
  </si>
  <si>
    <t>V914000</t>
  </si>
  <si>
    <t>BACK TOP RAIL ANGLE© CVP-900</t>
  </si>
  <si>
    <t>138</t>
  </si>
  <si>
    <t>WQ92850</t>
  </si>
  <si>
    <t>CLAMP FRAME 8J58</t>
  </si>
  <si>
    <t>139</t>
  </si>
  <si>
    <t>WJ02950</t>
  </si>
  <si>
    <t>EARTH PLATE</t>
  </si>
  <si>
    <t>140</t>
  </si>
  <si>
    <t>ZA88850</t>
  </si>
  <si>
    <t>F.P. BOARD PAINTED 8K48/8N32</t>
  </si>
  <si>
    <t>141</t>
  </si>
  <si>
    <t>WF34200</t>
  </si>
  <si>
    <t>GRILLE ANGLE #2941</t>
  </si>
  <si>
    <t>142</t>
  </si>
  <si>
    <t>WF34190</t>
  </si>
  <si>
    <t>METAL LATH ELB-01K</t>
  </si>
  <si>
    <t>143</t>
  </si>
  <si>
    <t>V999600</t>
  </si>
  <si>
    <t>METAL NET (B) 175X175</t>
  </si>
  <si>
    <t>144</t>
  </si>
  <si>
    <t>ZS45440</t>
  </si>
  <si>
    <t>PEDAL CODE PLATE #3559</t>
  </si>
  <si>
    <t>145</t>
  </si>
  <si>
    <t>ZS45430</t>
  </si>
  <si>
    <t>POWER CODE ANGLE #3558</t>
  </si>
  <si>
    <t>146</t>
  </si>
  <si>
    <t>ZS45420</t>
  </si>
  <si>
    <t>PS PLATE #3558</t>
  </si>
  <si>
    <t>147</t>
  </si>
  <si>
    <t>ZS84000</t>
  </si>
  <si>
    <t>RACK ANGLE PAINTED 8R36</t>
  </si>
  <si>
    <t>148</t>
  </si>
  <si>
    <t>ZJ75410</t>
  </si>
  <si>
    <t>REAR PANEL24 PAINTED 8K95</t>
  </si>
  <si>
    <t>149</t>
  </si>
  <si>
    <t>ZJ75420</t>
  </si>
  <si>
    <t>REAR PANEL32 PAINTED 8K94</t>
  </si>
  <si>
    <t>150</t>
  </si>
  <si>
    <t>ZJ75400</t>
  </si>
  <si>
    <t>REAR PANEL16 PAINTED 8Q00</t>
  </si>
  <si>
    <t>151</t>
  </si>
  <si>
    <t>ZJ20530</t>
  </si>
  <si>
    <t>RING SUPPORT PAINTED 8N36</t>
  </si>
  <si>
    <t>152</t>
  </si>
  <si>
    <t>WR24810</t>
  </si>
  <si>
    <t>SHIELD DM 8H39</t>
  </si>
  <si>
    <t>153</t>
  </si>
  <si>
    <t>WQ67830</t>
  </si>
  <si>
    <t>SHIELD JK 1.0 : :</t>
  </si>
  <si>
    <t>154</t>
  </si>
  <si>
    <t>ZS50320</t>
  </si>
  <si>
    <t>SIDE BOARD STAY U #3559</t>
  </si>
  <si>
    <t>155</t>
  </si>
  <si>
    <t>WR24200</t>
  </si>
  <si>
    <t>UNIT COVER PAINTED 8J58</t>
  </si>
  <si>
    <t>156</t>
  </si>
  <si>
    <t>WU31150</t>
  </si>
  <si>
    <t>WO GRILLE #3253</t>
  </si>
  <si>
    <t>157</t>
  </si>
  <si>
    <t>ZS50210</t>
  </si>
  <si>
    <t>TOE BLOCK FITTING PL #3559</t>
  </si>
  <si>
    <t>158</t>
  </si>
  <si>
    <t>ZS50240</t>
  </si>
  <si>
    <t>UNDER PLATE #3559</t>
  </si>
  <si>
    <t>159</t>
  </si>
  <si>
    <t>ZC06660</t>
  </si>
  <si>
    <t>SP GRILLE(PAINTED) SEMI GROSS BLACK</t>
  </si>
  <si>
    <t>160</t>
  </si>
  <si>
    <t>ZP46810</t>
  </si>
  <si>
    <t>SP GRILLE PAINTED WHITE</t>
  </si>
  <si>
    <t>161</t>
  </si>
  <si>
    <t>ZS51860</t>
  </si>
  <si>
    <t>SP RAIL L #3558</t>
  </si>
  <si>
    <t>162</t>
  </si>
  <si>
    <t>ZS51880</t>
  </si>
  <si>
    <t>SP RAIL R #3558</t>
  </si>
  <si>
    <t>163</t>
  </si>
  <si>
    <t>ZT81360</t>
  </si>
  <si>
    <t>SBR FIXTURE ANGLE #3477</t>
  </si>
  <si>
    <t>164</t>
  </si>
  <si>
    <t>ZS84080</t>
  </si>
  <si>
    <t>SUPPORT ANGLE 8R36</t>
  </si>
  <si>
    <t>165</t>
  </si>
  <si>
    <t>ZS83980</t>
  </si>
  <si>
    <t>TOP COVER PAINTED 8R36</t>
  </si>
  <si>
    <t>Cartoon Box S22DW</t>
  </si>
  <si>
    <t>166</t>
  </si>
  <si>
    <t xml:space="preserve">STAND HOOK (LEFT) </t>
  </si>
  <si>
    <t>PT. KAWAI INDONESIA</t>
  </si>
  <si>
    <t>MPFB-0094</t>
  </si>
  <si>
    <t>167</t>
  </si>
  <si>
    <t xml:space="preserve">STAND HOOK (RIGHT) </t>
  </si>
  <si>
    <t>168</t>
  </si>
  <si>
    <t xml:space="preserve">ANGLE </t>
  </si>
  <si>
    <t>KPFB-0247</t>
  </si>
  <si>
    <t>169</t>
  </si>
  <si>
    <t xml:space="preserve">KEY BED FITTING </t>
  </si>
  <si>
    <t>KPFB-0618</t>
  </si>
  <si>
    <t>170</t>
  </si>
  <si>
    <t xml:space="preserve">L FITTING </t>
  </si>
  <si>
    <t>KPFB-0840</t>
  </si>
  <si>
    <t>171</t>
  </si>
  <si>
    <t>DAMPER LEVER WEIGHT</t>
  </si>
  <si>
    <t>172</t>
  </si>
  <si>
    <t xml:space="preserve">ANGLE BRACKET </t>
  </si>
  <si>
    <t>KPFB-0726</t>
  </si>
  <si>
    <t>173</t>
  </si>
  <si>
    <t>KPFB-0495</t>
  </si>
  <si>
    <t>174</t>
  </si>
  <si>
    <t xml:space="preserve">TOP BOARD FITTING </t>
  </si>
  <si>
    <t>KPFB-0343</t>
  </si>
  <si>
    <t>175</t>
  </si>
  <si>
    <t>PCB FITTING</t>
  </si>
  <si>
    <t xml:space="preserve"> MPFB-0289</t>
  </si>
  <si>
    <t>176</t>
  </si>
  <si>
    <t xml:space="preserve">SPEAKER NET </t>
  </si>
  <si>
    <t>KPFB-0017</t>
  </si>
  <si>
    <t>177</t>
  </si>
  <si>
    <t xml:space="preserve">SP BOX FITTING </t>
  </si>
  <si>
    <t>HPFB-0017</t>
  </si>
  <si>
    <t>178</t>
  </si>
  <si>
    <t xml:space="preserve">CHEEK BLOCK FITTING (FRONT) </t>
  </si>
  <si>
    <t>KPFB-0516</t>
  </si>
  <si>
    <t>179</t>
  </si>
  <si>
    <t xml:space="preserve">CHEEK BLOCK FITTING (REAR) </t>
  </si>
  <si>
    <t>KPFB-0517</t>
  </si>
  <si>
    <t>180</t>
  </si>
  <si>
    <t>KPFB-0734</t>
  </si>
  <si>
    <t>181</t>
  </si>
  <si>
    <t>CHEEK BLOCK FITTING（FRONT）</t>
  </si>
  <si>
    <t>KPFB-0963</t>
  </si>
  <si>
    <t>182</t>
  </si>
  <si>
    <t>CHEEK BLOCK FITTING（BACK）</t>
  </si>
  <si>
    <t>KPFB-0964</t>
  </si>
  <si>
    <t>183</t>
  </si>
  <si>
    <t xml:space="preserve">LEG FITTING </t>
  </si>
  <si>
    <t>KPFB-1076</t>
  </si>
  <si>
    <t>184</t>
  </si>
  <si>
    <t>SPEAKER NET</t>
  </si>
  <si>
    <t xml:space="preserve"> KPFB-0199</t>
  </si>
  <si>
    <t>185</t>
  </si>
  <si>
    <t>AC PWB COVER</t>
  </si>
  <si>
    <t xml:space="preserve"> KPFB-1023</t>
  </si>
  <si>
    <t>186</t>
  </si>
  <si>
    <t>L FITTING 26*32*22 PAINTING BLACK</t>
  </si>
  <si>
    <t>KPFB-0996</t>
  </si>
  <si>
    <t>187</t>
  </si>
  <si>
    <t xml:space="preserve">BACK BOARD FITTING </t>
  </si>
  <si>
    <t>KPFB-0482</t>
  </si>
  <si>
    <t>188</t>
  </si>
  <si>
    <t xml:space="preserve">TRANSFORMER FITTING </t>
  </si>
  <si>
    <t>KPFB-1144</t>
  </si>
  <si>
    <t>189</t>
  </si>
  <si>
    <t xml:space="preserve">LCD FITTING (L) </t>
  </si>
  <si>
    <t>KPFB-1132</t>
  </si>
  <si>
    <t>190</t>
  </si>
  <si>
    <t xml:space="preserve">LCD FITTING (R) </t>
  </si>
  <si>
    <t>191</t>
  </si>
  <si>
    <t xml:space="preserve">USB FITTING </t>
  </si>
  <si>
    <t>KPFB-1134</t>
  </si>
  <si>
    <t>192</t>
  </si>
  <si>
    <t xml:space="preserve">WHEEL FITTING MP11 </t>
  </si>
  <si>
    <t>KPFB-1131</t>
  </si>
  <si>
    <t>193</t>
  </si>
  <si>
    <t xml:space="preserve">TRANSFORMER BRACKET </t>
  </si>
  <si>
    <t>KPFB-1129</t>
  </si>
  <si>
    <t>194</t>
  </si>
  <si>
    <t xml:space="preserve">L FITTING(25*35*50) </t>
  </si>
  <si>
    <t>KPFB-0506</t>
  </si>
  <si>
    <t>195</t>
  </si>
  <si>
    <t xml:space="preserve">L FITTING (L) PAINTING BLACK </t>
  </si>
  <si>
    <t>KPFB-0571</t>
  </si>
  <si>
    <t>196</t>
  </si>
  <si>
    <t xml:space="preserve">L FITTING (R) PAINTING BLACK </t>
  </si>
  <si>
    <t>197</t>
  </si>
  <si>
    <t xml:space="preserve">SENS. COVER（1) ASSY FOR K3 </t>
  </si>
  <si>
    <t>BF9345</t>
  </si>
  <si>
    <t>Koran</t>
  </si>
  <si>
    <t>Pakai Koran</t>
  </si>
  <si>
    <t>198</t>
  </si>
  <si>
    <t>SENS. COVER（2) ASSY FOR K2</t>
  </si>
  <si>
    <t xml:space="preserve"> BF9344</t>
  </si>
  <si>
    <t>koran</t>
  </si>
  <si>
    <t>199</t>
  </si>
  <si>
    <t>SENS. COVER（1) ASSY FOR K2</t>
  </si>
  <si>
    <t>BF9343</t>
  </si>
  <si>
    <t>200</t>
  </si>
  <si>
    <t xml:space="preserve">DC-JACK FITTING </t>
  </si>
  <si>
    <t>F27473</t>
  </si>
  <si>
    <t>201</t>
  </si>
  <si>
    <t xml:space="preserve">WEIGHT W1/CHROMATING </t>
  </si>
  <si>
    <t>KBFB-0263</t>
  </si>
  <si>
    <t>202</t>
  </si>
  <si>
    <t xml:space="preserve">WEIGHT W2/CHROMATING </t>
  </si>
  <si>
    <t>KBFB-0264</t>
  </si>
  <si>
    <t>203</t>
  </si>
  <si>
    <t xml:space="preserve">WEIGHT W3/B1/CHROMATING </t>
  </si>
  <si>
    <t>KBFB-0265</t>
  </si>
  <si>
    <t>204</t>
  </si>
  <si>
    <t xml:space="preserve">WEIGHT W4/B2/CHROMATING </t>
  </si>
  <si>
    <t>KBFB-0266</t>
  </si>
  <si>
    <t>205</t>
  </si>
  <si>
    <t xml:space="preserve">WEIGHT B3/CHROMATING </t>
  </si>
  <si>
    <t>KBFB-0267</t>
  </si>
  <si>
    <t>206</t>
  </si>
  <si>
    <t xml:space="preserve">WEIGHT W0 </t>
  </si>
  <si>
    <t>KBFB-0312</t>
  </si>
  <si>
    <t>207</t>
  </si>
  <si>
    <t xml:space="preserve">HAMMER RAIL SUPPORT </t>
  </si>
  <si>
    <t>KBFB-0317</t>
  </si>
  <si>
    <t>208</t>
  </si>
  <si>
    <t xml:space="preserve">WEIGHT W/B1 </t>
  </si>
  <si>
    <t>KBFB-0344</t>
  </si>
  <si>
    <t>209</t>
  </si>
  <si>
    <t xml:space="preserve">WEIGHT W/B2 </t>
  </si>
  <si>
    <t>KBFB-0345</t>
  </si>
  <si>
    <t>210</t>
  </si>
  <si>
    <t xml:space="preserve">WEIGHT W/B3 </t>
  </si>
  <si>
    <t>KBFB-0346</t>
  </si>
  <si>
    <t>211</t>
  </si>
  <si>
    <t xml:space="preserve">WEIGHT W/B4 </t>
  </si>
  <si>
    <t>KBFB-0347</t>
  </si>
  <si>
    <t>212</t>
  </si>
  <si>
    <t>KBFB-0305</t>
  </si>
  <si>
    <t>213</t>
  </si>
  <si>
    <t>WEIGHT W/B2</t>
  </si>
  <si>
    <t xml:space="preserve"> KBFB-0306</t>
  </si>
  <si>
    <t>214</t>
  </si>
  <si>
    <t>KBFB-0307</t>
  </si>
  <si>
    <t>215</t>
  </si>
  <si>
    <t>WEIGHT W/B4</t>
  </si>
  <si>
    <t xml:space="preserve"> KBFB-0308</t>
  </si>
  <si>
    <t>216</t>
  </si>
  <si>
    <t xml:space="preserve">HAMMER ARM B2 </t>
  </si>
  <si>
    <t>KBFB-0278</t>
  </si>
  <si>
    <t>217</t>
  </si>
  <si>
    <t xml:space="preserve">HAMMER ARM B3 </t>
  </si>
  <si>
    <t>KBFB-0279</t>
  </si>
  <si>
    <t>218</t>
  </si>
  <si>
    <t xml:space="preserve">HAMMER ARM B4 </t>
  </si>
  <si>
    <t>KBFB-0280</t>
  </si>
  <si>
    <t>219</t>
  </si>
  <si>
    <t xml:space="preserve">HAMMER ARM W0 </t>
  </si>
  <si>
    <t>KBFB-0338</t>
  </si>
  <si>
    <t>220</t>
  </si>
  <si>
    <t xml:space="preserve">HAMMER ARM B0 </t>
  </si>
  <si>
    <t>KBFB-0339</t>
  </si>
  <si>
    <t>221</t>
  </si>
  <si>
    <t>WEIGHT W/B1</t>
  </si>
  <si>
    <t>KBFB-0374</t>
  </si>
  <si>
    <t>222</t>
  </si>
  <si>
    <t>KBFB-0375</t>
  </si>
  <si>
    <t>223</t>
  </si>
  <si>
    <t>KBFB-0376</t>
  </si>
  <si>
    <t>224</t>
  </si>
  <si>
    <t>KBFB-0377</t>
  </si>
  <si>
    <t>225</t>
  </si>
  <si>
    <t>PIN JACK FITTING</t>
  </si>
  <si>
    <t>F28234</t>
  </si>
  <si>
    <t>DIN CONNECTOR FITTING</t>
  </si>
  <si>
    <t>F28235</t>
  </si>
  <si>
    <t>227</t>
  </si>
  <si>
    <t xml:space="preserve">SOUND SYSTEM ASSY </t>
  </si>
  <si>
    <t>BF10635</t>
  </si>
  <si>
    <t>228</t>
  </si>
  <si>
    <t xml:space="preserve">AMPLIFIER SYSTEM CASE </t>
  </si>
  <si>
    <t>BF10691</t>
  </si>
  <si>
    <t>229</t>
  </si>
  <si>
    <t xml:space="preserve">LCD CONTROLLER FITTING </t>
  </si>
  <si>
    <t>BF10627</t>
  </si>
  <si>
    <t>230</t>
  </si>
  <si>
    <t>VOL FITTING</t>
  </si>
  <si>
    <t>F28357</t>
  </si>
  <si>
    <t>231</t>
  </si>
  <si>
    <t>JACK PANEL -1260 CN39</t>
  </si>
  <si>
    <t>KPFB-1260</t>
  </si>
  <si>
    <t>232</t>
  </si>
  <si>
    <t>A80980</t>
  </si>
  <si>
    <t>TOP BOARD SILVER PLATE (1)</t>
  </si>
  <si>
    <t>F28475</t>
  </si>
  <si>
    <t>KORAN</t>
  </si>
  <si>
    <t>233</t>
  </si>
  <si>
    <t>A81005</t>
  </si>
  <si>
    <t>TOP BOARD SILVER PLATE (2)</t>
  </si>
  <si>
    <t>F28476</t>
  </si>
  <si>
    <t>234</t>
  </si>
  <si>
    <t xml:space="preserve">WEIGHT W/B0 </t>
  </si>
  <si>
    <t>KBFB-0397</t>
  </si>
  <si>
    <t>235</t>
  </si>
  <si>
    <t>WEIGHT W/B2A 0402</t>
  </si>
  <si>
    <t>KBFB-0402</t>
  </si>
  <si>
    <t>236</t>
  </si>
  <si>
    <t>DAMPER ARM ASSY</t>
  </si>
  <si>
    <t>AS00000844</t>
  </si>
  <si>
    <t>237</t>
  </si>
  <si>
    <t>3000002409</t>
  </si>
  <si>
    <t>KEY COVER BACK RAIL</t>
  </si>
  <si>
    <t>CP00000161</t>
  </si>
  <si>
    <t>238</t>
  </si>
  <si>
    <t>3000002411</t>
  </si>
  <si>
    <t>METAL TIE</t>
  </si>
  <si>
    <t>CP00000163</t>
  </si>
  <si>
    <t>239</t>
  </si>
  <si>
    <t>3000002757</t>
  </si>
  <si>
    <t>HP FITTING</t>
  </si>
  <si>
    <t>CP00000201</t>
  </si>
  <si>
    <t>240</t>
  </si>
  <si>
    <t>3000002761</t>
  </si>
  <si>
    <t>CASE SUPPORT BRACKET SIDE</t>
  </si>
  <si>
    <t>CP00000204</t>
  </si>
  <si>
    <t>241</t>
  </si>
  <si>
    <t>3000002762</t>
  </si>
  <si>
    <t>CABLE HOOK ANGLE</t>
  </si>
  <si>
    <t>CP00000205</t>
  </si>
  <si>
    <t>242</t>
  </si>
  <si>
    <t>3000002764</t>
  </si>
  <si>
    <t>USB FITTING</t>
  </si>
  <si>
    <t>CP00000206</t>
  </si>
  <si>
    <t>243</t>
  </si>
  <si>
    <t>3000002779</t>
  </si>
  <si>
    <t>PCB PLATE ASSY</t>
  </si>
  <si>
    <t>AS00000186</t>
  </si>
  <si>
    <t>244</t>
  </si>
  <si>
    <t>TOP BOARD PROP (SMALL)</t>
  </si>
  <si>
    <t>245</t>
  </si>
  <si>
    <t>3000003588</t>
  </si>
  <si>
    <t>METAL TIE HM-5</t>
  </si>
  <si>
    <t>CP00000355</t>
  </si>
  <si>
    <t>246</t>
  </si>
  <si>
    <t>3000003608</t>
  </si>
  <si>
    <t>CABLE COVER</t>
  </si>
  <si>
    <t>CP00000360</t>
  </si>
  <si>
    <t>247</t>
  </si>
  <si>
    <t>3000003699</t>
  </si>
  <si>
    <t>LOWER CASE SUPPORT</t>
  </si>
  <si>
    <t>CP00000352</t>
  </si>
  <si>
    <t>248</t>
  </si>
  <si>
    <t xml:space="preserve">L FITTING (L) PAINTING WHITE </t>
  </si>
  <si>
    <t>249</t>
  </si>
  <si>
    <t xml:space="preserve">L FITTING (R) PAINTING WHITE </t>
  </si>
  <si>
    <t>250</t>
  </si>
  <si>
    <t>TOP BOARD METAL 2.0</t>
  </si>
  <si>
    <t>CP00000367</t>
  </si>
  <si>
    <t>251</t>
  </si>
  <si>
    <t>PWB CHASSIS ASSY</t>
  </si>
  <si>
    <t>CP00000376</t>
  </si>
  <si>
    <t>252</t>
  </si>
  <si>
    <t>PWB CHASSIS SIDE COVER</t>
  </si>
  <si>
    <t>AS00000379</t>
  </si>
  <si>
    <t>253</t>
  </si>
  <si>
    <t>PWB CHASSIS FITTING</t>
  </si>
  <si>
    <t>AS00000380</t>
  </si>
  <si>
    <t>254</t>
  </si>
  <si>
    <t>TRANSDUCER COVER</t>
  </si>
  <si>
    <t>CP00000410</t>
  </si>
  <si>
    <t>255</t>
  </si>
  <si>
    <t>AS00000534</t>
  </si>
  <si>
    <t>256</t>
  </si>
  <si>
    <t>HOLE COVER</t>
  </si>
  <si>
    <t>CP00000559</t>
  </si>
  <si>
    <t>257</t>
  </si>
  <si>
    <t>DC JACK COVER</t>
  </si>
  <si>
    <t>F27476</t>
  </si>
  <si>
    <t>258</t>
  </si>
  <si>
    <t>CHEEK BLOCK FITTING(FRONT）</t>
  </si>
  <si>
    <t>CP00000764</t>
  </si>
  <si>
    <t>259</t>
  </si>
  <si>
    <t>CP00000765</t>
  </si>
  <si>
    <t>260</t>
  </si>
  <si>
    <t>JACK FITTING</t>
  </si>
  <si>
    <t>CP00000766</t>
  </si>
  <si>
    <t>261</t>
  </si>
  <si>
    <t>3000008062</t>
  </si>
  <si>
    <t xml:space="preserve">KEY STOP RAIL FITTING </t>
  </si>
  <si>
    <t>CP00000912</t>
  </si>
  <si>
    <t>262</t>
  </si>
  <si>
    <t>Jgn dipkai</t>
  </si>
  <si>
    <t>263</t>
  </si>
  <si>
    <t>3000007667</t>
  </si>
  <si>
    <t>JACK PANEL METAL ASSY</t>
  </si>
  <si>
    <t>AS00000735</t>
  </si>
  <si>
    <t>264</t>
  </si>
  <si>
    <t xml:space="preserve">CONTROL PANEL SUPPORT FITTING </t>
  </si>
  <si>
    <t>KPFB-0775</t>
  </si>
  <si>
    <t>265</t>
  </si>
  <si>
    <t>3000007920</t>
  </si>
  <si>
    <t>LEG FITTING L</t>
  </si>
  <si>
    <t>CP00000916</t>
  </si>
  <si>
    <t>266</t>
  </si>
  <si>
    <t>3000007921</t>
  </si>
  <si>
    <t>LEG FITTING R</t>
  </si>
  <si>
    <t>267</t>
  </si>
  <si>
    <t>3000002136</t>
  </si>
  <si>
    <t>KEY COVER BACK ANGLE</t>
  </si>
  <si>
    <t>CP00000128</t>
  </si>
  <si>
    <t>268</t>
  </si>
  <si>
    <t xml:space="preserve">STAND SUPPORT </t>
  </si>
  <si>
    <t>PT. HONORIS INDONESIA</t>
  </si>
  <si>
    <t>KPFB-1122</t>
  </si>
  <si>
    <t>269</t>
  </si>
  <si>
    <t xml:space="preserve">CASE FITTING </t>
  </si>
  <si>
    <t>KPFB-1103</t>
  </si>
  <si>
    <t>270</t>
  </si>
  <si>
    <t>VFF3690</t>
  </si>
  <si>
    <t xml:space="preserve">REINFORCEMENT PIPE </t>
  </si>
  <si>
    <t>PT. YEMI</t>
  </si>
  <si>
    <t>1380 X 150 X 80</t>
  </si>
  <si>
    <t>271</t>
  </si>
  <si>
    <t>VFU2310</t>
  </si>
  <si>
    <t>BASE PLATE A PAINTED SPS-800A</t>
  </si>
  <si>
    <t>Cartoon Box S3DW</t>
  </si>
  <si>
    <t>272</t>
  </si>
  <si>
    <t>VFU2330</t>
  </si>
  <si>
    <t>BASE PLATE PAINTED SPS-800A</t>
  </si>
  <si>
    <t>273</t>
  </si>
  <si>
    <t>VFU2390</t>
  </si>
  <si>
    <t>STAND PLATE PAINTED SPS-800A</t>
  </si>
  <si>
    <t>274</t>
  </si>
  <si>
    <t>VGE3210</t>
  </si>
  <si>
    <t>BACK TOE L 001167</t>
  </si>
  <si>
    <t>275</t>
  </si>
  <si>
    <t>VGE3220</t>
  </si>
  <si>
    <t>BACK TOE R 001167</t>
  </si>
  <si>
    <t>276</t>
  </si>
  <si>
    <t>VGE3230</t>
  </si>
  <si>
    <t>BACK TOE L 001168</t>
  </si>
  <si>
    <t>277</t>
  </si>
  <si>
    <t>VGE3240</t>
  </si>
  <si>
    <t>BACK TOE R 001168</t>
  </si>
  <si>
    <t>278</t>
  </si>
  <si>
    <t>WJ34740</t>
  </si>
  <si>
    <t>METAL HANDLE 8F82</t>
  </si>
  <si>
    <t>279</t>
  </si>
  <si>
    <t>WJ34760</t>
  </si>
  <si>
    <t>CORNER PROTECTOR 105 8F82</t>
  </si>
  <si>
    <t>280</t>
  </si>
  <si>
    <t>WJ34770</t>
  </si>
  <si>
    <t>CORNER PROTECTOR 75L 8F82</t>
  </si>
  <si>
    <t>281</t>
  </si>
  <si>
    <t>WJ34780</t>
  </si>
  <si>
    <t>CORNER PROTECTOR 75R 8F82</t>
  </si>
  <si>
    <t>282</t>
  </si>
  <si>
    <t>WJ34800</t>
  </si>
  <si>
    <t>CORNER PROTECTOR WP1 8F85</t>
  </si>
  <si>
    <t>283</t>
  </si>
  <si>
    <t>WJ34820</t>
  </si>
  <si>
    <t>CORNER PROTECTOR 120 8F85</t>
  </si>
  <si>
    <t>284</t>
  </si>
  <si>
    <t>WS56490</t>
  </si>
  <si>
    <t>METAL HANDLE PA 8J40</t>
  </si>
  <si>
    <t>285</t>
  </si>
  <si>
    <t>ZP40150</t>
  </si>
  <si>
    <t>PANEL CNT PAINTED18 8P30</t>
  </si>
  <si>
    <t>286</t>
  </si>
  <si>
    <t>GH24390</t>
  </si>
  <si>
    <t xml:space="preserve">ANGLE / TOTO CPH-24CK02 </t>
  </si>
  <si>
    <t>PT. AST INDONESIA</t>
  </si>
  <si>
    <t>287</t>
  </si>
  <si>
    <t>GH24389</t>
  </si>
  <si>
    <t xml:space="preserve">SHELF FIXER / BACK YAKOZAN UPPER </t>
  </si>
  <si>
    <t>288</t>
  </si>
  <si>
    <t>AL559010D5</t>
  </si>
  <si>
    <t xml:space="preserve">ALLUMUNIUM PANEL DIA 5 55X90 T1.0 </t>
  </si>
  <si>
    <t>PT. AXALTA</t>
  </si>
  <si>
    <t>289</t>
  </si>
  <si>
    <t>AL7515010D5</t>
  </si>
  <si>
    <t>ALLUMUNIUM PANEL DIA 5 75X150 T1.0</t>
  </si>
  <si>
    <t>290</t>
  </si>
  <si>
    <t>75X150 T0.8 DIA 5</t>
  </si>
  <si>
    <t>STEEL PANEL DIA 5 75X150 T 0.8</t>
  </si>
  <si>
    <t>291</t>
  </si>
  <si>
    <t>55X90 T0.8 DIA 5</t>
  </si>
  <si>
    <t xml:space="preserve">STEEL PANEL DIA 5 55X90 </t>
  </si>
  <si>
    <t>292</t>
  </si>
  <si>
    <t xml:space="preserve">Speaker Punching Metal (Large) </t>
  </si>
  <si>
    <t>PT. ELEMATEC</t>
  </si>
  <si>
    <t>MPFB-0304</t>
  </si>
  <si>
    <t>293</t>
  </si>
  <si>
    <t xml:space="preserve">Heat Sink Fitting L </t>
  </si>
  <si>
    <t>MPFB-0296</t>
  </si>
  <si>
    <t>294</t>
  </si>
  <si>
    <t xml:space="preserve">Heat Sink Fitting R </t>
  </si>
  <si>
    <t>295</t>
  </si>
  <si>
    <t xml:space="preserve">Cheek Block Fitting </t>
  </si>
  <si>
    <t>KPFB-0446</t>
  </si>
  <si>
    <t>296</t>
  </si>
  <si>
    <t>D7003764-AD-M-T</t>
  </si>
  <si>
    <t>Metal Insert SUS 3161 MACON</t>
  </si>
  <si>
    <t>PT. IKPI</t>
  </si>
  <si>
    <t>297</t>
  </si>
  <si>
    <t>D7004916-1</t>
  </si>
  <si>
    <t>Metal Insert SUS 3161 Italy</t>
  </si>
  <si>
    <t>298</t>
  </si>
  <si>
    <t>D7011342_AF</t>
  </si>
  <si>
    <t>Metal Bending SUS 316T</t>
  </si>
  <si>
    <t>299</t>
  </si>
  <si>
    <t xml:space="preserve">DC FITTING </t>
  </si>
  <si>
    <t>PT. KATOLEC</t>
  </si>
  <si>
    <t>KPFB-0565</t>
  </si>
  <si>
    <t>300</t>
  </si>
  <si>
    <t xml:space="preserve">PCB FITTING </t>
  </si>
  <si>
    <t>MPFB-0289</t>
  </si>
  <si>
    <t>301</t>
  </si>
  <si>
    <t>HEAT SINK FITTING  L</t>
  </si>
  <si>
    <t>302</t>
  </si>
  <si>
    <t>HEAT SINK FITTING  R</t>
  </si>
  <si>
    <t>303</t>
  </si>
  <si>
    <t xml:space="preserve">JACK FITTING </t>
  </si>
  <si>
    <t>KMFB-0072</t>
  </si>
  <si>
    <t>304</t>
  </si>
  <si>
    <t xml:space="preserve">USB HP BOX FITTING </t>
  </si>
  <si>
    <t>KPFB-1192</t>
  </si>
  <si>
    <t>FF</t>
  </si>
  <si>
    <t>305</t>
  </si>
  <si>
    <t>MINI DIN FITTING</t>
  </si>
  <si>
    <t>KPFB-1193</t>
  </si>
  <si>
    <t>306</t>
  </si>
  <si>
    <t>3000002795</t>
  </si>
  <si>
    <t>CP00000210</t>
  </si>
  <si>
    <t>307</t>
  </si>
  <si>
    <t>3000003103</t>
  </si>
  <si>
    <t>TOP BOARD METAL MZP726</t>
  </si>
  <si>
    <t>PT. MITSUYOSHI</t>
  </si>
  <si>
    <t>CP00000256</t>
  </si>
  <si>
    <t>308</t>
  </si>
  <si>
    <t>VEN3800</t>
  </si>
  <si>
    <t>T BOARD GRILLE  001188/001190</t>
  </si>
  <si>
    <t>309</t>
  </si>
  <si>
    <t>VEZ9920</t>
  </si>
  <si>
    <t>T BOARD GRILLE ASSY 001380/001381</t>
  </si>
  <si>
    <t>310</t>
  </si>
  <si>
    <t>ZJ75590</t>
  </si>
  <si>
    <t>HEADPHONE HANGER PAINTED</t>
  </si>
  <si>
    <t>PT. PANACIPTA</t>
  </si>
  <si>
    <t>311</t>
  </si>
  <si>
    <t>501-05-136-90</t>
  </si>
  <si>
    <t xml:space="preserve">CA-160 REAR PANEL </t>
  </si>
  <si>
    <t xml:space="preserve">PT. TOA GALVA INDONESIA </t>
  </si>
  <si>
    <t>312</t>
  </si>
  <si>
    <t>501-08-102-1A</t>
  </si>
  <si>
    <t xml:space="preserve">TA-102 HEAT SINK </t>
  </si>
  <si>
    <t>313</t>
  </si>
  <si>
    <t>501-21-109-3A</t>
  </si>
  <si>
    <t xml:space="preserve">CA-130A CASE G W/PAINT </t>
  </si>
  <si>
    <t>314</t>
  </si>
  <si>
    <t>501-25-161-5A</t>
  </si>
  <si>
    <t xml:space="preserve">ZA-250S FRONT CHASSIS (SECC) </t>
  </si>
  <si>
    <t>315</t>
  </si>
  <si>
    <t>501-26-008-2A</t>
  </si>
  <si>
    <t xml:space="preserve">CA-130A CHASSIS ( SECC ) </t>
  </si>
  <si>
    <t>316</t>
  </si>
  <si>
    <t>501-27-033-5A</t>
  </si>
  <si>
    <t xml:space="preserve">CA-200EV METAL FITTING W/PAINT-G </t>
  </si>
  <si>
    <t>317</t>
  </si>
  <si>
    <t>501-27-240-50</t>
  </si>
  <si>
    <t>CA-160 PCB MOUNT METAL W</t>
  </si>
  <si>
    <t>318</t>
  </si>
  <si>
    <t>ZF66760</t>
  </si>
  <si>
    <t>DAMPER S RAIL STAY</t>
  </si>
  <si>
    <t>PT. YAMAHA INDONESIA</t>
  </si>
  <si>
    <t>319</t>
  </si>
  <si>
    <t>ZF73250</t>
  </si>
  <si>
    <t>PEDAL LEVER GUIDE</t>
  </si>
  <si>
    <t>320</t>
  </si>
  <si>
    <t>ZZ53170</t>
  </si>
  <si>
    <t>DC IN BRACKET</t>
  </si>
  <si>
    <t>321</t>
  </si>
  <si>
    <t>ZZ53180</t>
  </si>
  <si>
    <t>DC IN HOLDER</t>
  </si>
  <si>
    <t>322</t>
  </si>
  <si>
    <t>VFF9930</t>
  </si>
  <si>
    <t>EXCITER BRACKET</t>
  </si>
  <si>
    <t>323</t>
  </si>
  <si>
    <t>2BM-8135H-00</t>
  </si>
  <si>
    <t>CASE MAGNET</t>
  </si>
  <si>
    <t>PT. YEID</t>
  </si>
  <si>
    <t>324</t>
  </si>
  <si>
    <t>501-05-135-8A</t>
  </si>
  <si>
    <t>CA-115 REAR PANEL</t>
  </si>
  <si>
    <t>325</t>
  </si>
  <si>
    <t>L FITTING</t>
  </si>
  <si>
    <t>CP00001354</t>
  </si>
  <si>
    <t>326</t>
  </si>
  <si>
    <t>CP00001351</t>
  </si>
  <si>
    <t>327</t>
  </si>
  <si>
    <t>5MT 0065</t>
  </si>
  <si>
    <t xml:space="preserve">KEY STOP RAIL   </t>
  </si>
  <si>
    <t>APTZ-0113</t>
  </si>
  <si>
    <t>328</t>
  </si>
  <si>
    <t>5MT 0067</t>
  </si>
  <si>
    <t>KEY LOWER LIMIT STOPPER</t>
  </si>
  <si>
    <t>APTZ-0115</t>
  </si>
  <si>
    <t>329</t>
  </si>
  <si>
    <t>ZZ29220</t>
  </si>
  <si>
    <t>SHIELD AMPS</t>
  </si>
  <si>
    <t>PT.SII</t>
  </si>
  <si>
    <t xml:space="preserve"> Box SII</t>
  </si>
  <si>
    <t>330</t>
  </si>
  <si>
    <t>ZM31710</t>
  </si>
  <si>
    <t>COUPLER ANGLE L PNT</t>
  </si>
  <si>
    <t>PT.PANACIPTA</t>
  </si>
  <si>
    <t>YDP-S35WH</t>
  </si>
  <si>
    <t>331</t>
  </si>
  <si>
    <t>ZM31730</t>
  </si>
  <si>
    <t>COUPLER ANGLE R PNT</t>
  </si>
  <si>
    <t>332</t>
  </si>
  <si>
    <t>ZN48950</t>
  </si>
  <si>
    <t>BACK BOARD ANGLE PNT</t>
  </si>
  <si>
    <t>YDP-145/165/S35/S55</t>
  </si>
  <si>
    <t>333</t>
  </si>
  <si>
    <t>VDR7240</t>
  </si>
  <si>
    <t>SUPPORT BAR PAINTED</t>
  </si>
  <si>
    <t>PT.BONECOM/YMMA</t>
  </si>
  <si>
    <t>334</t>
  </si>
  <si>
    <t>LEG ASSY DG30</t>
  </si>
  <si>
    <t>PT.KAWAI INDONSIA</t>
  </si>
  <si>
    <t>AS00000262</t>
  </si>
  <si>
    <t>Cartoon Box S7W</t>
  </si>
  <si>
    <t>335</t>
  </si>
  <si>
    <t>TOP BOARD PROP STOPPER</t>
  </si>
  <si>
    <t>CP00000366</t>
  </si>
  <si>
    <t>336</t>
  </si>
  <si>
    <t>VHU5240</t>
  </si>
  <si>
    <t>337</t>
  </si>
  <si>
    <t>VHU9220</t>
  </si>
  <si>
    <t>SUPPORT P PRESSED</t>
  </si>
  <si>
    <t>PT.YEMI</t>
  </si>
  <si>
    <t>338</t>
  </si>
  <si>
    <t>VDR7250</t>
  </si>
  <si>
    <t>339</t>
  </si>
  <si>
    <t>5MT0078</t>
  </si>
  <si>
    <t>KPTZ-4930</t>
  </si>
  <si>
    <t>HANMAD</t>
  </si>
  <si>
    <t>340</t>
  </si>
  <si>
    <t>5MT0079</t>
  </si>
  <si>
    <t>PROP HINGE</t>
  </si>
  <si>
    <t>KPTZ-4946</t>
  </si>
  <si>
    <t>341</t>
  </si>
  <si>
    <t>T 0,6X50X120</t>
  </si>
  <si>
    <t>EG SHEET /STEEL PLATE</t>
  </si>
  <si>
    <t>PT.ORIGIN DURACEM</t>
  </si>
  <si>
    <t>342</t>
  </si>
  <si>
    <t>KPFB-1211</t>
  </si>
  <si>
    <t>343</t>
  </si>
  <si>
    <t>344</t>
  </si>
  <si>
    <t xml:space="preserve">KEY STOP RAIL </t>
  </si>
  <si>
    <t>CP00001484</t>
  </si>
  <si>
    <t>345</t>
  </si>
  <si>
    <t>VJD7910</t>
  </si>
  <si>
    <t>SUPPORT P A PRESSED</t>
  </si>
  <si>
    <t>346</t>
  </si>
  <si>
    <t>VJD7920</t>
  </si>
  <si>
    <t>SUPPORT P B PRESSED</t>
  </si>
  <si>
    <t>347</t>
  </si>
  <si>
    <t>T 0,6X100X200</t>
  </si>
  <si>
    <t>348</t>
  </si>
  <si>
    <t>VJJ5220</t>
  </si>
  <si>
    <t>PT.YMMA</t>
  </si>
  <si>
    <t>349</t>
  </si>
  <si>
    <t>VHZ2690</t>
  </si>
  <si>
    <t>SUPPORT FAN</t>
  </si>
  <si>
    <t>350</t>
  </si>
  <si>
    <t>VHX8920</t>
  </si>
  <si>
    <t>351</t>
  </si>
  <si>
    <t>VHZ4050</t>
  </si>
  <si>
    <t>PLATE PS</t>
  </si>
  <si>
    <t>352</t>
  </si>
  <si>
    <t>VJA0160</t>
  </si>
  <si>
    <t>SUPPORT ASB</t>
  </si>
  <si>
    <t>353</t>
  </si>
  <si>
    <t>VJD6340</t>
  </si>
  <si>
    <t>FAN PLATE</t>
  </si>
  <si>
    <t>354</t>
  </si>
  <si>
    <t>VJC8460</t>
  </si>
  <si>
    <t>SHIELD PS PRESSED</t>
  </si>
  <si>
    <t>355</t>
  </si>
  <si>
    <t>VJJ5240</t>
  </si>
  <si>
    <t>SUPPORT AC</t>
  </si>
  <si>
    <t>356</t>
  </si>
  <si>
    <t>VJC8450</t>
  </si>
  <si>
    <t>SUPPORT DAMP</t>
  </si>
  <si>
    <t>357</t>
  </si>
  <si>
    <t>VJP0960</t>
  </si>
  <si>
    <t>BRACKET AC ADAPTER</t>
  </si>
  <si>
    <t>358</t>
  </si>
  <si>
    <t>VJP6610</t>
  </si>
  <si>
    <t>SHIELD PLATE COMP</t>
  </si>
  <si>
    <t>359</t>
  </si>
  <si>
    <t>5MT0112</t>
  </si>
  <si>
    <t>360</t>
  </si>
  <si>
    <t>5MT0113</t>
  </si>
  <si>
    <t>361</t>
  </si>
  <si>
    <t>5MT0114</t>
  </si>
  <si>
    <t>DC PEDAL METAL BOX</t>
  </si>
  <si>
    <t>362</t>
  </si>
  <si>
    <t>5MT0115</t>
  </si>
  <si>
    <t>DC PEDAL METAL BOX COVER</t>
  </si>
  <si>
    <t>363</t>
  </si>
  <si>
    <t>5MT0122</t>
  </si>
  <si>
    <t>HAMMER TAIL SUPPORT L</t>
  </si>
  <si>
    <t>CP00001822</t>
  </si>
  <si>
    <t>364</t>
  </si>
  <si>
    <t>5MT0123</t>
  </si>
  <si>
    <t>HAMMER TAIL SUPPORT R</t>
  </si>
  <si>
    <t>CP00001823</t>
  </si>
  <si>
    <t>365</t>
  </si>
  <si>
    <t>5MT0124</t>
  </si>
  <si>
    <t>HAMMER TAIL SUPPORT C</t>
  </si>
  <si>
    <t>CP00001824</t>
  </si>
  <si>
    <t>366</t>
  </si>
  <si>
    <t>VGT3750</t>
  </si>
  <si>
    <t>BASE PLATE HT7B</t>
  </si>
  <si>
    <t>367</t>
  </si>
  <si>
    <t>VHY6300</t>
  </si>
  <si>
    <t xml:space="preserve">SHIELD JK   </t>
  </si>
  <si>
    <t>368</t>
  </si>
  <si>
    <t>VJR1990</t>
  </si>
  <si>
    <t>CD PLATE 7</t>
  </si>
  <si>
    <t>369</t>
  </si>
  <si>
    <t>VJQ1480</t>
  </si>
  <si>
    <t>ANGLE LCD</t>
  </si>
  <si>
    <t>370</t>
  </si>
  <si>
    <t>1207-SUS304</t>
  </si>
  <si>
    <t>SUS304 T1,0 mm (LEG )</t>
  </si>
  <si>
    <t>PT.SOFTPRENT INDUSTRIES IND</t>
  </si>
  <si>
    <t>No</t>
  </si>
  <si>
    <t>Ukuran 
packaging
(P x L x T)</t>
  </si>
  <si>
    <t>BERAT BOX</t>
  </si>
  <si>
    <t>360 X 270 X 128</t>
  </si>
  <si>
    <t>290 X 200 X 140</t>
  </si>
  <si>
    <t>280 X 90 X 150</t>
  </si>
  <si>
    <t>Cartoon Box S4DW</t>
  </si>
  <si>
    <t>230 X 90 X 180</t>
  </si>
  <si>
    <t>390 X 350 X 280</t>
  </si>
  <si>
    <t>620 X 120 X 150</t>
  </si>
  <si>
    <t>400 X 240 X 130</t>
  </si>
  <si>
    <t>560 X 175 X 155</t>
  </si>
  <si>
    <t>Cartoon Box S20DW</t>
  </si>
  <si>
    <t>485 X 356 X 289</t>
  </si>
  <si>
    <t>810 X 160 X180</t>
  </si>
  <si>
    <t>455 X 445 X 375</t>
  </si>
  <si>
    <t>290 X 200 X 100</t>
  </si>
  <si>
    <t>1410 X 165 X 175</t>
  </si>
  <si>
    <t>Cartoon Box S26DW</t>
  </si>
  <si>
    <t>1200 X 190 X 250</t>
  </si>
  <si>
    <t>1000 X 880 X 1230</t>
  </si>
  <si>
    <t>1460 X 200 X 160</t>
  </si>
  <si>
    <t>Qty/Pack(Pcs)</t>
  </si>
  <si>
    <t>Berat total(Kg)</t>
  </si>
</sst>
</file>

<file path=xl/styles.xml><?xml version="1.0" encoding="utf-8"?>
<styleSheet xmlns="http://schemas.openxmlformats.org/spreadsheetml/2006/main">
  <numFmts count="11">
    <numFmt numFmtId="176" formatCode="dd/mm/yyyy;@"/>
    <numFmt numFmtId="177" formatCode="_-* #,##0_-;\-* #,##0_-;_-* &quot;-&quot;??_-;_-@_-"/>
    <numFmt numFmtId="178" formatCode="_-* #,##0.00_-;\-* #,##0.00_-;_-* &quot;-&quot;_-;_-@_-"/>
    <numFmt numFmtId="179" formatCode="_-* #,##0.0_-;\-* #,##0.0_-;_-* &quot;-&quot;_-;_-@_-"/>
    <numFmt numFmtId="180" formatCode="_-* #,##0.000_-;\-* #,##0.000_-;_-* &quot;-&quot;_-;_-@_-"/>
    <numFmt numFmtId="181" formatCode="_-* #,##0_-;\-* #,##0_-;_-* &quot;-&quot;_-;_-@_-"/>
    <numFmt numFmtId="42" formatCode="_(&quot;$&quot;* #,##0_);_(&quot;$&quot;* \(#,##0\);_(&quot;$&quot;* &quot;-&quot;_);_(@_)"/>
    <numFmt numFmtId="182" formatCode="_-* #,##0.00_-;\-* #,##0.00_-;_-* &quot;-&quot;??_-;_-@_-"/>
    <numFmt numFmtId="183" formatCode="0\ &quot;Pcs&quot;"/>
    <numFmt numFmtId="44" formatCode="_(&quot;$&quot;* #,##0.00_);_(&quot;$&quot;* \(#,##0.00\);_(&quot;$&quot;* &quot;-&quot;??_);_(@_)"/>
    <numFmt numFmtId="184" formatCode="dd\/mm\/yy"/>
  </numFmts>
  <fonts count="47">
    <font>
      <sz val="11"/>
      <color theme="1"/>
      <name val="Calibri"/>
      <charset val="134"/>
      <scheme val="minor"/>
    </font>
    <font>
      <b/>
      <sz val="20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sz val="12"/>
      <name val="Cambria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2"/>
      <color theme="0"/>
      <name val="Cambria"/>
      <charset val="134"/>
    </font>
    <font>
      <sz val="12"/>
      <color rgb="FF0070C0"/>
      <name val="Cambria"/>
      <charset val="134"/>
    </font>
    <font>
      <sz val="12"/>
      <color rgb="FFFF0000"/>
      <name val="Cambria"/>
      <charset val="134"/>
    </font>
    <font>
      <sz val="12"/>
      <color theme="1"/>
      <name val="Calibri"/>
      <charset val="134"/>
      <scheme val="minor"/>
    </font>
    <font>
      <sz val="11"/>
      <color rgb="FFFF0000"/>
      <name val="Cambria"/>
      <charset val="134"/>
    </font>
    <font>
      <sz val="13.5"/>
      <color theme="1"/>
      <name val="Arial Narrow"/>
      <charset val="1"/>
    </font>
    <font>
      <b/>
      <sz val="13.5"/>
      <color theme="1"/>
      <name val="Arial Narrow"/>
      <charset val="1"/>
    </font>
    <font>
      <sz val="13.5"/>
      <color theme="1"/>
      <name val="Arial Narrow"/>
      <charset val="134"/>
    </font>
    <font>
      <b/>
      <sz val="13.5"/>
      <name val="Arial Narrow"/>
      <charset val="1"/>
    </font>
    <font>
      <b/>
      <sz val="65"/>
      <color theme="1"/>
      <name val="Arial Narrow"/>
      <charset val="1"/>
    </font>
    <font>
      <sz val="13.5"/>
      <color theme="1"/>
      <name val="Barecode"/>
      <charset val="1"/>
    </font>
    <font>
      <b/>
      <sz val="36"/>
      <color theme="1"/>
      <name val="Arial Narrow"/>
      <charset val="1"/>
    </font>
    <font>
      <sz val="22"/>
      <name val="Arial Narrow"/>
      <charset val="134"/>
    </font>
    <font>
      <sz val="11"/>
      <name val="Arial Narrow"/>
      <charset val="134"/>
    </font>
    <font>
      <b/>
      <sz val="22"/>
      <name val="Arial Narrow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42" fillId="0" borderId="0"/>
    <xf numFmtId="0" fontId="25" fillId="3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39" fillId="0" borderId="0"/>
    <xf numFmtId="0" fontId="26" fillId="1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4" fillId="0" borderId="26" applyNumberFormat="0" applyFill="0" applyAlignment="0" applyProtection="0">
      <alignment vertical="center"/>
    </xf>
    <xf numFmtId="0" fontId="37" fillId="13" borderId="23" applyNumberFormat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4" fillId="17" borderId="22" applyNumberFormat="0" applyFont="0" applyAlignment="0" applyProtection="0">
      <alignment vertical="center"/>
    </xf>
    <xf numFmtId="0" fontId="34" fillId="15" borderId="21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13" borderId="21" applyNumberForma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26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182" fontId="0" fillId="0" borderId="0" applyFont="0" applyFill="0" applyBorder="0" applyAlignment="0" applyProtection="0"/>
    <xf numFmtId="0" fontId="43" fillId="35" borderId="25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0" borderId="0"/>
    <xf numFmtId="9" fontId="2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1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2" fillId="2" borderId="3" xfId="49" applyNumberFormat="1" applyFont="1" applyFill="1" applyBorder="1" applyAlignment="1">
      <alignment vertical="center"/>
    </xf>
    <xf numFmtId="0" fontId="3" fillId="2" borderId="4" xfId="49" applyFont="1" applyFill="1" applyBorder="1" applyAlignment="1">
      <alignment vertical="center" wrapText="1"/>
    </xf>
    <xf numFmtId="0" fontId="3" fillId="2" borderId="4" xfId="49" applyFont="1" applyFill="1" applyBorder="1" applyAlignment="1">
      <alignment vertical="center"/>
    </xf>
    <xf numFmtId="0" fontId="3" fillId="2" borderId="3" xfId="49" applyFont="1" applyFill="1" applyBorder="1" applyAlignment="1">
      <alignment vertical="center"/>
    </xf>
    <xf numFmtId="1" fontId="4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49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49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181" fontId="3" fillId="2" borderId="3" xfId="39" applyFont="1" applyFill="1" applyBorder="1" applyAlignment="1">
      <alignment vertical="center" wrapText="1"/>
    </xf>
    <xf numFmtId="184" fontId="3" fillId="2" borderId="3" xfId="49" applyNumberFormat="1" applyFont="1" applyFill="1" applyBorder="1" applyAlignment="1">
      <alignment vertical="center" wrapText="1"/>
    </xf>
    <xf numFmtId="184" fontId="3" fillId="2" borderId="4" xfId="49" applyNumberFormat="1" applyFont="1" applyFill="1" applyBorder="1" applyAlignment="1">
      <alignment vertical="center" wrapText="1"/>
    </xf>
    <xf numFmtId="181" fontId="3" fillId="3" borderId="4" xfId="39" applyFont="1" applyFill="1" applyBorder="1" applyAlignment="1">
      <alignment horizontal="center" vertical="center"/>
    </xf>
    <xf numFmtId="184" fontId="3" fillId="0" borderId="4" xfId="49" applyNumberFormat="1" applyFont="1" applyBorder="1" applyAlignment="1" applyProtection="1">
      <alignment horizontal="center" vertical="center"/>
      <protection locked="0"/>
    </xf>
    <xf numFmtId="184" fontId="3" fillId="0" borderId="4" xfId="49" applyNumberFormat="1" applyFont="1" applyBorder="1" applyAlignment="1">
      <alignment horizontal="center" vertical="center"/>
    </xf>
    <xf numFmtId="58" fontId="3" fillId="0" borderId="4" xfId="49" applyNumberFormat="1" applyFont="1" applyBorder="1" applyAlignment="1">
      <alignment horizontal="center" vertical="center"/>
    </xf>
    <xf numFmtId="181" fontId="3" fillId="4" borderId="4" xfId="39" applyFont="1" applyFill="1" applyBorder="1" applyAlignment="1">
      <alignment horizontal="center" vertical="center"/>
    </xf>
    <xf numFmtId="181" fontId="3" fillId="2" borderId="4" xfId="39" applyFont="1" applyFill="1" applyBorder="1" applyAlignment="1">
      <alignment horizontal="center" vertical="center" wrapText="1"/>
    </xf>
    <xf numFmtId="179" fontId="3" fillId="2" borderId="4" xfId="39" applyNumberFormat="1" applyFont="1" applyFill="1" applyBorder="1" applyAlignment="1">
      <alignment horizontal="center" vertical="center" wrapText="1"/>
    </xf>
    <xf numFmtId="178" fontId="3" fillId="2" borderId="4" xfId="39" applyNumberFormat="1" applyFont="1" applyFill="1" applyBorder="1" applyAlignment="1">
      <alignment horizontal="center" vertical="center" wrapText="1"/>
    </xf>
    <xf numFmtId="0" fontId="3" fillId="2" borderId="4" xfId="49" applyFont="1" applyFill="1" applyBorder="1" applyAlignment="1">
      <alignment horizontal="center" vertical="center" wrapText="1"/>
    </xf>
    <xf numFmtId="181" fontId="3" fillId="0" borderId="4" xfId="39" applyFont="1" applyFill="1" applyBorder="1" applyAlignment="1">
      <alignment horizontal="center" vertical="center"/>
    </xf>
    <xf numFmtId="179" fontId="3" fillId="0" borderId="4" xfId="39" applyNumberFormat="1" applyFont="1" applyFill="1" applyBorder="1" applyAlignment="1">
      <alignment horizontal="center" vertical="center"/>
    </xf>
    <xf numFmtId="178" fontId="3" fillId="0" borderId="4" xfId="39" applyNumberFormat="1" applyFont="1" applyFill="1" applyBorder="1" applyAlignment="1">
      <alignment horizontal="center" vertical="center"/>
    </xf>
    <xf numFmtId="181" fontId="3" fillId="5" borderId="4" xfId="39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5" fillId="0" borderId="4" xfId="49" applyFont="1" applyBorder="1" applyAlignment="1">
      <alignment horizontal="center" vertical="center"/>
    </xf>
    <xf numFmtId="0" fontId="5" fillId="0" borderId="4" xfId="49" applyFont="1" applyBorder="1" applyAlignment="1">
      <alignment vertical="center"/>
    </xf>
    <xf numFmtId="58" fontId="3" fillId="0" borderId="4" xfId="49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181" fontId="10" fillId="3" borderId="4" xfId="39" applyFont="1" applyFill="1" applyBorder="1" applyAlignment="1">
      <alignment horizontal="center" vertical="center"/>
    </xf>
    <xf numFmtId="184" fontId="10" fillId="0" borderId="4" xfId="49" applyNumberFormat="1" applyFont="1" applyBorder="1" applyAlignment="1" applyProtection="1">
      <alignment horizontal="center" vertical="center"/>
      <protection locked="0"/>
    </xf>
    <xf numFmtId="184" fontId="10" fillId="0" borderId="4" xfId="49" applyNumberFormat="1" applyFont="1" applyBorder="1" applyAlignment="1">
      <alignment horizontal="center" vertical="center"/>
    </xf>
    <xf numFmtId="180" fontId="3" fillId="0" borderId="4" xfId="39" applyNumberFormat="1" applyFont="1" applyFill="1" applyBorder="1" applyAlignment="1">
      <alignment horizontal="center" vertical="center"/>
    </xf>
    <xf numFmtId="181" fontId="10" fillId="0" borderId="4" xfId="39" applyFont="1" applyFill="1" applyBorder="1" applyAlignment="1">
      <alignment horizontal="center" vertical="center"/>
    </xf>
    <xf numFmtId="179" fontId="10" fillId="0" borderId="4" xfId="39" applyNumberFormat="1" applyFont="1" applyFill="1" applyBorder="1" applyAlignment="1">
      <alignment horizontal="center" vertical="center"/>
    </xf>
    <xf numFmtId="178" fontId="10" fillId="0" borderId="4" xfId="39" applyNumberFormat="1" applyFont="1" applyFill="1" applyBorder="1" applyAlignment="1">
      <alignment horizontal="center" vertical="center"/>
    </xf>
    <xf numFmtId="58" fontId="10" fillId="0" borderId="4" xfId="49" applyNumberFormat="1" applyFont="1" applyBorder="1" applyAlignment="1">
      <alignment horizontal="center" vertical="center"/>
    </xf>
    <xf numFmtId="0" fontId="3" fillId="2" borderId="5" xfId="49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81" fontId="3" fillId="0" borderId="0" xfId="39" applyFont="1" applyFill="1" applyAlignment="1">
      <alignment horizontal="center" vertical="center"/>
    </xf>
    <xf numFmtId="184" fontId="3" fillId="0" borderId="0" xfId="0" applyNumberFormat="1" applyFont="1" applyAlignment="1" applyProtection="1">
      <alignment horizontal="center" vertical="center"/>
      <protection locked="0"/>
    </xf>
    <xf numFmtId="184" fontId="3" fillId="0" borderId="0" xfId="0" applyNumberFormat="1" applyFont="1" applyAlignment="1">
      <alignment horizontal="center" vertical="center"/>
    </xf>
    <xf numFmtId="179" fontId="3" fillId="0" borderId="0" xfId="39" applyNumberFormat="1" applyFont="1" applyFill="1" applyAlignment="1">
      <alignment horizontal="center" vertical="center"/>
    </xf>
    <xf numFmtId="178" fontId="3" fillId="0" borderId="0" xfId="39" applyNumberFormat="1" applyFont="1" applyAlignment="1">
      <alignment horizontal="center" vertical="center"/>
    </xf>
    <xf numFmtId="1" fontId="2" fillId="2" borderId="3" xfId="49" applyNumberFormat="1" applyFont="1" applyFill="1" applyBorder="1" applyAlignment="1">
      <alignment horizontal="center" vertical="center"/>
    </xf>
    <xf numFmtId="0" fontId="3" fillId="2" borderId="4" xfId="49" applyFont="1" applyFill="1" applyBorder="1" applyAlignment="1">
      <alignment horizontal="center" vertical="center"/>
    </xf>
    <xf numFmtId="0" fontId="3" fillId="2" borderId="3" xfId="49" applyFont="1" applyFill="1" applyBorder="1" applyAlignment="1">
      <alignment horizontal="center" vertical="center"/>
    </xf>
    <xf numFmtId="1" fontId="2" fillId="2" borderId="6" xfId="49" applyNumberFormat="1" applyFont="1" applyFill="1" applyBorder="1" applyAlignment="1">
      <alignment horizontal="center" vertical="center"/>
    </xf>
    <xf numFmtId="0" fontId="3" fillId="2" borderId="6" xfId="49" applyFont="1" applyFill="1" applyBorder="1" applyAlignment="1">
      <alignment horizontal="center" vertical="center"/>
    </xf>
    <xf numFmtId="181" fontId="3" fillId="2" borderId="3" xfId="39" applyFont="1" applyFill="1" applyBorder="1" applyAlignment="1">
      <alignment horizontal="center" vertical="center" wrapText="1"/>
    </xf>
    <xf numFmtId="184" fontId="3" fillId="2" borderId="3" xfId="49" applyNumberFormat="1" applyFont="1" applyFill="1" applyBorder="1" applyAlignment="1">
      <alignment horizontal="center" vertical="center" wrapText="1"/>
    </xf>
    <xf numFmtId="184" fontId="3" fillId="2" borderId="4" xfId="49" applyNumberFormat="1" applyFont="1" applyFill="1" applyBorder="1" applyAlignment="1">
      <alignment horizontal="center" vertical="center" wrapText="1"/>
    </xf>
    <xf numFmtId="181" fontId="3" fillId="2" borderId="6" xfId="39" applyFont="1" applyFill="1" applyBorder="1" applyAlignment="1">
      <alignment horizontal="center" vertical="center" wrapText="1"/>
    </xf>
    <xf numFmtId="184" fontId="3" fillId="2" borderId="6" xfId="49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8" borderId="7" xfId="1" applyFont="1" applyFill="1" applyBorder="1" applyAlignment="1">
      <alignment horizontal="left" vertical="center" wrapText="1"/>
    </xf>
    <xf numFmtId="0" fontId="14" fillId="8" borderId="8" xfId="1" applyFont="1" applyFill="1" applyBorder="1" applyAlignment="1">
      <alignment horizontal="left" vertical="center" wrapText="1"/>
    </xf>
    <xf numFmtId="0" fontId="14" fillId="8" borderId="8" xfId="1" applyFont="1" applyFill="1" applyBorder="1" applyAlignment="1">
      <alignment horizontal="left" vertical="center"/>
    </xf>
    <xf numFmtId="0" fontId="13" fillId="8" borderId="7" xfId="1" applyFont="1" applyFill="1" applyBorder="1" applyAlignment="1">
      <alignment vertical="center"/>
    </xf>
    <xf numFmtId="0" fontId="13" fillId="8" borderId="8" xfId="1" applyFont="1" applyFill="1" applyBorder="1" applyAlignment="1">
      <alignment horizontal="left" vertical="center"/>
    </xf>
    <xf numFmtId="0" fontId="13" fillId="8" borderId="8" xfId="1" applyFont="1" applyFill="1" applyBorder="1" applyAlignment="1">
      <alignment vertical="center"/>
    </xf>
    <xf numFmtId="2" fontId="13" fillId="8" borderId="8" xfId="1" applyNumberFormat="1" applyFont="1" applyFill="1" applyBorder="1" applyAlignment="1">
      <alignment horizontal="center" vertical="center"/>
    </xf>
    <xf numFmtId="2" fontId="13" fillId="8" borderId="8" xfId="1" applyNumberFormat="1" applyFont="1" applyFill="1" applyBorder="1" applyAlignment="1">
      <alignment vertical="center"/>
    </xf>
    <xf numFmtId="177" fontId="15" fillId="8" borderId="8" xfId="46" applyNumberFormat="1" applyFont="1" applyFill="1" applyBorder="1" applyAlignment="1">
      <alignment horizontal="center" vertical="center"/>
    </xf>
    <xf numFmtId="0" fontId="13" fillId="8" borderId="9" xfId="1" applyFont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13" fillId="8" borderId="10" xfId="1" applyFont="1" applyFill="1" applyBorder="1" applyAlignment="1">
      <alignment horizontal="center" vertical="center"/>
    </xf>
    <xf numFmtId="58" fontId="13" fillId="8" borderId="11" xfId="1" applyNumberFormat="1" applyFont="1" applyFill="1" applyBorder="1" applyAlignment="1">
      <alignment horizontal="center" vertical="center"/>
    </xf>
    <xf numFmtId="58" fontId="13" fillId="8" borderId="2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77" fontId="13" fillId="8" borderId="8" xfId="46" applyNumberFormat="1" applyFont="1" applyFill="1" applyBorder="1" applyAlignment="1">
      <alignment horizontal="center" vertical="center"/>
    </xf>
    <xf numFmtId="0" fontId="16" fillId="8" borderId="8" xfId="1" applyFont="1" applyFill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14" fillId="8" borderId="12" xfId="1" applyFont="1" applyFill="1" applyBorder="1" applyAlignment="1">
      <alignment horizontal="left" vertical="center"/>
    </xf>
    <xf numFmtId="0" fontId="13" fillId="8" borderId="3" xfId="1" applyFont="1" applyFill="1" applyBorder="1" applyAlignment="1">
      <alignment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3" fillId="8" borderId="12" xfId="1" applyFont="1" applyFill="1" applyBorder="1" applyAlignment="1">
      <alignment horizontal="left" vertical="center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11" fontId="13" fillId="8" borderId="8" xfId="1" applyNumberFormat="1" applyFont="1" applyFill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7" fillId="8" borderId="6" xfId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6" fillId="8" borderId="12" xfId="1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0" fillId="0" borderId="0" xfId="20" applyFont="1" applyAlignment="1">
      <alignment vertical="center"/>
    </xf>
    <xf numFmtId="0" fontId="21" fillId="0" borderId="0" xfId="20" applyFont="1" applyAlignment="1">
      <alignment horizontal="left" vertical="center"/>
    </xf>
    <xf numFmtId="0" fontId="21" fillId="0" borderId="0" xfId="20" applyFont="1" applyAlignment="1">
      <alignment vertical="center"/>
    </xf>
    <xf numFmtId="0" fontId="22" fillId="0" borderId="4" xfId="20" applyFont="1" applyBorder="1" applyAlignment="1">
      <alignment horizontal="center" vertical="center"/>
    </xf>
    <xf numFmtId="0" fontId="22" fillId="0" borderId="8" xfId="20" applyFont="1" applyBorder="1" applyAlignment="1">
      <alignment horizontal="center" vertical="center"/>
    </xf>
    <xf numFmtId="0" fontId="22" fillId="0" borderId="12" xfId="20" applyFont="1" applyBorder="1" applyAlignment="1">
      <alignment horizontal="center" vertical="center"/>
    </xf>
    <xf numFmtId="0" fontId="21" fillId="0" borderId="17" xfId="20" applyFont="1" applyBorder="1" applyAlignment="1">
      <alignment horizontal="left" vertical="center"/>
    </xf>
    <xf numFmtId="0" fontId="21" fillId="0" borderId="18" xfId="20" applyFont="1" applyBorder="1" applyAlignment="1">
      <alignment horizontal="left" vertical="center"/>
    </xf>
    <xf numFmtId="0" fontId="21" fillId="0" borderId="18" xfId="20" applyFont="1" applyBorder="1" applyAlignment="1" applyProtection="1">
      <alignment horizontal="left" vertical="center"/>
      <protection locked="0"/>
    </xf>
    <xf numFmtId="183" fontId="21" fillId="0" borderId="18" xfId="20" applyNumberFormat="1" applyFont="1" applyBorder="1" applyAlignment="1" applyProtection="1">
      <alignment horizontal="left" vertical="center"/>
      <protection locked="0"/>
    </xf>
    <xf numFmtId="0" fontId="21" fillId="0" borderId="18" xfId="20" applyFont="1" applyBorder="1" applyAlignment="1">
      <alignment horizontal="center" vertical="center"/>
    </xf>
    <xf numFmtId="176" fontId="21" fillId="0" borderId="18" xfId="20" applyNumberFormat="1" applyFont="1" applyBorder="1" applyAlignment="1" applyProtection="1">
      <alignment horizontal="left" vertical="center"/>
      <protection locked="0"/>
    </xf>
    <xf numFmtId="0" fontId="21" fillId="0" borderId="11" xfId="20" applyFont="1" applyBorder="1" applyAlignment="1">
      <alignment horizontal="left" vertical="center"/>
    </xf>
    <xf numFmtId="0" fontId="21" fillId="0" borderId="2" xfId="20" applyFont="1" applyBorder="1" applyAlignment="1">
      <alignment vertical="center"/>
    </xf>
    <xf numFmtId="0" fontId="21" fillId="0" borderId="16" xfId="20" applyFont="1" applyBorder="1" applyAlignment="1">
      <alignment vertical="center"/>
    </xf>
    <xf numFmtId="0" fontId="21" fillId="0" borderId="17" xfId="20" applyFont="1" applyBorder="1" applyAlignment="1">
      <alignment vertical="center"/>
    </xf>
    <xf numFmtId="0" fontId="21" fillId="0" borderId="18" xfId="20" applyFont="1" applyBorder="1" applyAlignment="1">
      <alignment vertical="center"/>
    </xf>
    <xf numFmtId="183" fontId="21" fillId="0" borderId="18" xfId="20" applyNumberFormat="1" applyFont="1" applyBorder="1" applyAlignment="1">
      <alignment horizontal="left" vertical="center"/>
    </xf>
    <xf numFmtId="176" fontId="21" fillId="0" borderId="18" xfId="20" applyNumberFormat="1" applyFont="1" applyBorder="1" applyAlignment="1">
      <alignment horizontal="left" vertical="center"/>
    </xf>
    <xf numFmtId="0" fontId="21" fillId="0" borderId="11" xfId="20" applyFont="1" applyBorder="1" applyAlignment="1">
      <alignment vertical="center"/>
    </xf>
    <xf numFmtId="0" fontId="22" fillId="0" borderId="4" xfId="20" applyFont="1" applyBorder="1" applyAlignment="1" quotePrefix="1">
      <alignment horizontal="center" vertical="center"/>
    </xf>
    <xf numFmtId="0" fontId="17" fillId="8" borderId="5" xfId="1" applyFont="1" applyFill="1" applyBorder="1" applyAlignment="1" applyProtection="1" quotePrefix="1">
      <alignment horizontal="center" vertical="center"/>
      <protection locked="0"/>
    </xf>
    <xf numFmtId="58" fontId="3" fillId="0" borderId="4" xfId="49" applyNumberFormat="1" applyFont="1" applyBorder="1" applyAlignment="1" quotePrefix="1">
      <alignment horizontal="center" vertical="center"/>
    </xf>
    <xf numFmtId="1" fontId="4" fillId="0" borderId="4" xfId="0" applyNumberFormat="1" applyFont="1" applyBorder="1" applyAlignment="1" quotePrefix="1">
      <alignment horizontal="center" vertical="center"/>
    </xf>
    <xf numFmtId="58" fontId="3" fillId="0" borderId="4" xfId="49" applyNumberFormat="1" applyFont="1" applyBorder="1" applyAlignment="1" quotePrefix="1">
      <alignment horizontal="left" vertical="center"/>
    </xf>
    <xf numFmtId="58" fontId="10" fillId="0" borderId="4" xfId="49" applyNumberFormat="1" applyFont="1" applyBorder="1" applyAlignment="1" quotePrefix="1">
      <alignment horizontal="center" vertical="center"/>
    </xf>
    <xf numFmtId="0" fontId="3" fillId="0" borderId="4" xfId="0" applyFont="1" applyBorder="1" applyAlignment="1" quotePrefix="1">
      <alignment horizontal="center" vertical="center"/>
    </xf>
    <xf numFmtId="0" fontId="3" fillId="0" borderId="4" xfId="0" applyFont="1" applyBorder="1" applyAlignment="1" quotePrefix="1">
      <alignment vertical="center"/>
    </xf>
  </cellXfs>
  <cellStyles count="52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Normal 3" xfId="20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Normal 19" xfId="49"/>
    <cellStyle name="Percent" xfId="50" builtinId="5"/>
    <cellStyle name="Hyperlink" xfId="51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177801</xdr:colOff>
      <xdr:row>0</xdr:row>
      <xdr:rowOff>19050</xdr:rowOff>
    </xdr:from>
    <xdr:to>
      <xdr:col>0</xdr:col>
      <xdr:colOff>971551</xdr:colOff>
      <xdr:row>0</xdr:row>
      <xdr:rowOff>304800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77800" y="1905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0</xdr:row>
      <xdr:rowOff>19050</xdr:rowOff>
    </xdr:from>
    <xdr:to>
      <xdr:col>7</xdr:col>
      <xdr:colOff>971551</xdr:colOff>
      <xdr:row>0</xdr:row>
      <xdr:rowOff>304800</xdr:rowOff>
    </xdr:to>
    <xdr:pic>
      <xdr:nvPicPr>
        <xdr:cNvPr id="7" name="Picture 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322185" y="1905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13</xdr:row>
      <xdr:rowOff>19050</xdr:rowOff>
    </xdr:from>
    <xdr:to>
      <xdr:col>0</xdr:col>
      <xdr:colOff>971551</xdr:colOff>
      <xdr:row>13</xdr:row>
      <xdr:rowOff>304800</xdr:rowOff>
    </xdr:to>
    <xdr:pic>
      <xdr:nvPicPr>
        <xdr:cNvPr id="31" name="Picture 30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77800" y="309054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13</xdr:row>
      <xdr:rowOff>19050</xdr:rowOff>
    </xdr:from>
    <xdr:to>
      <xdr:col>7</xdr:col>
      <xdr:colOff>971551</xdr:colOff>
      <xdr:row>13</xdr:row>
      <xdr:rowOff>304800</xdr:rowOff>
    </xdr:to>
    <xdr:pic>
      <xdr:nvPicPr>
        <xdr:cNvPr id="32" name="Picture 3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322185" y="309054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26</xdr:row>
      <xdr:rowOff>19050</xdr:rowOff>
    </xdr:from>
    <xdr:to>
      <xdr:col>0</xdr:col>
      <xdr:colOff>971551</xdr:colOff>
      <xdr:row>26</xdr:row>
      <xdr:rowOff>304800</xdr:rowOff>
    </xdr:to>
    <xdr:pic>
      <xdr:nvPicPr>
        <xdr:cNvPr id="33" name="Picture 3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77800" y="61474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26</xdr:row>
      <xdr:rowOff>19050</xdr:rowOff>
    </xdr:from>
    <xdr:to>
      <xdr:col>7</xdr:col>
      <xdr:colOff>971551</xdr:colOff>
      <xdr:row>26</xdr:row>
      <xdr:rowOff>304800</xdr:rowOff>
    </xdr:to>
    <xdr:pic>
      <xdr:nvPicPr>
        <xdr:cNvPr id="34" name="Picture 3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322185" y="61474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39</xdr:row>
      <xdr:rowOff>19050</xdr:rowOff>
    </xdr:from>
    <xdr:to>
      <xdr:col>0</xdr:col>
      <xdr:colOff>971551</xdr:colOff>
      <xdr:row>39</xdr:row>
      <xdr:rowOff>304800</xdr:rowOff>
    </xdr:to>
    <xdr:pic>
      <xdr:nvPicPr>
        <xdr:cNvPr id="35" name="Picture 3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77800" y="92208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39</xdr:row>
      <xdr:rowOff>19050</xdr:rowOff>
    </xdr:from>
    <xdr:to>
      <xdr:col>7</xdr:col>
      <xdr:colOff>971551</xdr:colOff>
      <xdr:row>39</xdr:row>
      <xdr:rowOff>304800</xdr:rowOff>
    </xdr:to>
    <xdr:pic>
      <xdr:nvPicPr>
        <xdr:cNvPr id="36" name="Picture 3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322185" y="92208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52</xdr:row>
      <xdr:rowOff>19050</xdr:rowOff>
    </xdr:from>
    <xdr:to>
      <xdr:col>0</xdr:col>
      <xdr:colOff>971551</xdr:colOff>
      <xdr:row>52</xdr:row>
      <xdr:rowOff>304800</xdr:rowOff>
    </xdr:to>
    <xdr:pic>
      <xdr:nvPicPr>
        <xdr:cNvPr id="37" name="Picture 3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77800" y="1231138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52</xdr:row>
      <xdr:rowOff>19050</xdr:rowOff>
    </xdr:from>
    <xdr:to>
      <xdr:col>7</xdr:col>
      <xdr:colOff>971551</xdr:colOff>
      <xdr:row>52</xdr:row>
      <xdr:rowOff>304800</xdr:rowOff>
    </xdr:to>
    <xdr:pic>
      <xdr:nvPicPr>
        <xdr:cNvPr id="38" name="Picture 37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7322185" y="1231138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149087</xdr:colOff>
      <xdr:row>0</xdr:row>
      <xdr:rowOff>33130</xdr:rowOff>
    </xdr:from>
    <xdr:to>
      <xdr:col>6</xdr:col>
      <xdr:colOff>149088</xdr:colOff>
      <xdr:row>63</xdr:row>
      <xdr:rowOff>55217</xdr:rowOff>
    </xdr:to>
    <xdr:cxnSp>
      <xdr:nvCxnSpPr>
        <xdr:cNvPr id="4" name="Straight Connector 3"/>
        <xdr:cNvCxnSpPr/>
      </xdr:nvCxnSpPr>
      <xdr:spPr>
        <a:xfrm flipH="1">
          <a:off x="6871335" y="33020"/>
          <a:ext cx="0" cy="15023465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5522</xdr:colOff>
      <xdr:row>12</xdr:row>
      <xdr:rowOff>27609</xdr:rowOff>
    </xdr:from>
    <xdr:to>
      <xdr:col>12</xdr:col>
      <xdr:colOff>1131957</xdr:colOff>
      <xdr:row>12</xdr:row>
      <xdr:rowOff>44174</xdr:rowOff>
    </xdr:to>
    <xdr:cxnSp>
      <xdr:nvCxnSpPr>
        <xdr:cNvPr id="10" name="Straight Connector 9"/>
        <xdr:cNvCxnSpPr/>
      </xdr:nvCxnSpPr>
      <xdr:spPr>
        <a:xfrm flipV="1">
          <a:off x="5080" y="2965450"/>
          <a:ext cx="13415010" cy="16510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38652</xdr:rowOff>
    </xdr:from>
    <xdr:to>
      <xdr:col>12</xdr:col>
      <xdr:colOff>1126435</xdr:colOff>
      <xdr:row>25</xdr:row>
      <xdr:rowOff>38653</xdr:rowOff>
    </xdr:to>
    <xdr:cxnSp>
      <xdr:nvCxnSpPr>
        <xdr:cNvPr id="20" name="Straight Connector 19"/>
        <xdr:cNvCxnSpPr/>
      </xdr:nvCxnSpPr>
      <xdr:spPr>
        <a:xfrm flipV="1">
          <a:off x="0" y="6033135"/>
          <a:ext cx="13414375" cy="0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</xdr:row>
      <xdr:rowOff>49696</xdr:rowOff>
    </xdr:from>
    <xdr:to>
      <xdr:col>12</xdr:col>
      <xdr:colOff>1115391</xdr:colOff>
      <xdr:row>38</xdr:row>
      <xdr:rowOff>57982</xdr:rowOff>
    </xdr:to>
    <xdr:cxnSp>
      <xdr:nvCxnSpPr>
        <xdr:cNvPr id="21" name="Straight Connector 20"/>
        <xdr:cNvCxnSpPr/>
      </xdr:nvCxnSpPr>
      <xdr:spPr>
        <a:xfrm flipV="1">
          <a:off x="0" y="9127490"/>
          <a:ext cx="13403580" cy="8255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</xdr:row>
      <xdr:rowOff>33130</xdr:rowOff>
    </xdr:from>
    <xdr:to>
      <xdr:col>12</xdr:col>
      <xdr:colOff>1082261</xdr:colOff>
      <xdr:row>51</xdr:row>
      <xdr:rowOff>41416</xdr:rowOff>
    </xdr:to>
    <xdr:cxnSp>
      <xdr:nvCxnSpPr>
        <xdr:cNvPr id="22" name="Straight Connector 21"/>
        <xdr:cNvCxnSpPr/>
      </xdr:nvCxnSpPr>
      <xdr:spPr>
        <a:xfrm flipV="1">
          <a:off x="0" y="12172950"/>
          <a:ext cx="13370560" cy="8255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65315;&#65331;&#35519;&#26619;&#65329;&#65297;&#65298;master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ＣＳ調査Ｑ１２master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スコアカード (2)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実績 （実際）"/>
      <sheetName val="実績 （報告）"/>
      <sheetName val="係total"/>
    </sheetNames>
    <definedNames>
      <definedName name="ボタン2_Click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8"/>
  <sheetViews>
    <sheetView workbookViewId="0">
      <selection activeCell="C47" sqref="C47"/>
    </sheetView>
  </sheetViews>
  <sheetFormatPr defaultColWidth="9" defaultRowHeight="15"/>
  <cols>
    <col min="1" max="1" width="9.42666666666667" style="121" customWidth="1"/>
    <col min="2" max="2" width="1.28666666666667" style="122" customWidth="1"/>
    <col min="3" max="3" width="32.7133333333333" style="122" customWidth="1"/>
    <col min="4" max="4" width="2.71333333333333" style="122" customWidth="1"/>
    <col min="5" max="5" width="9.42666666666667" style="122" customWidth="1"/>
    <col min="6" max="6" width="1.28666666666667" style="122" customWidth="1"/>
    <col min="7" max="7" width="32.7133333333333" style="122" customWidth="1"/>
    <col min="8" max="8" width="2.71333333333333" style="122" customWidth="1"/>
    <col min="9" max="9" width="9.42666666666667" style="122" customWidth="1"/>
    <col min="10" max="10" width="1.28666666666667" style="122" customWidth="1"/>
    <col min="11" max="11" width="32.7133333333333" style="122" customWidth="1"/>
    <col min="12" max="12" width="2.71333333333333" style="122" customWidth="1"/>
    <col min="13" max="13" width="9.42666666666667" style="122" customWidth="1"/>
    <col min="14" max="14" width="1.28666666666667" style="122" customWidth="1"/>
    <col min="15" max="15" width="32.7133333333333" style="122" customWidth="1"/>
    <col min="16" max="257" width="9.14" style="122"/>
    <col min="258" max="258" width="1.42666666666667" style="122" customWidth="1"/>
    <col min="259" max="259" width="14.8533333333333" style="122" customWidth="1"/>
    <col min="260" max="260" width="1.85333333333333" style="122" customWidth="1"/>
    <col min="261" max="261" width="9.14" style="122"/>
    <col min="262" max="262" width="1.57333333333333" style="122" customWidth="1"/>
    <col min="263" max="263" width="14.8533333333333" style="122" customWidth="1"/>
    <col min="264" max="264" width="2.42666666666667" style="122" customWidth="1"/>
    <col min="265" max="265" width="9.85333333333333" style="122" customWidth="1"/>
    <col min="266" max="266" width="2" style="122" customWidth="1"/>
    <col min="267" max="267" width="14.8533333333333" style="122" customWidth="1"/>
    <col min="268" max="268" width="2.42666666666667" style="122" customWidth="1"/>
    <col min="269" max="269" width="9.85333333333333" style="122" customWidth="1"/>
    <col min="270" max="270" width="2" style="122" customWidth="1"/>
    <col min="271" max="271" width="14.8533333333333" style="122" customWidth="1"/>
    <col min="272" max="513" width="9.14" style="122"/>
    <col min="514" max="514" width="1.42666666666667" style="122" customWidth="1"/>
    <col min="515" max="515" width="14.8533333333333" style="122" customWidth="1"/>
    <col min="516" max="516" width="1.85333333333333" style="122" customWidth="1"/>
    <col min="517" max="517" width="9.14" style="122"/>
    <col min="518" max="518" width="1.57333333333333" style="122" customWidth="1"/>
    <col min="519" max="519" width="14.8533333333333" style="122" customWidth="1"/>
    <col min="520" max="520" width="2.42666666666667" style="122" customWidth="1"/>
    <col min="521" max="521" width="9.85333333333333" style="122" customWidth="1"/>
    <col min="522" max="522" width="2" style="122" customWidth="1"/>
    <col min="523" max="523" width="14.8533333333333" style="122" customWidth="1"/>
    <col min="524" max="524" width="2.42666666666667" style="122" customWidth="1"/>
    <col min="525" max="525" width="9.85333333333333" style="122" customWidth="1"/>
    <col min="526" max="526" width="2" style="122" customWidth="1"/>
    <col min="527" max="527" width="14.8533333333333" style="122" customWidth="1"/>
    <col min="528" max="769" width="9.14" style="122"/>
    <col min="770" max="770" width="1.42666666666667" style="122" customWidth="1"/>
    <col min="771" max="771" width="14.8533333333333" style="122" customWidth="1"/>
    <col min="772" max="772" width="1.85333333333333" style="122" customWidth="1"/>
    <col min="773" max="773" width="9.14" style="122"/>
    <col min="774" max="774" width="1.57333333333333" style="122" customWidth="1"/>
    <col min="775" max="775" width="14.8533333333333" style="122" customWidth="1"/>
    <col min="776" max="776" width="2.42666666666667" style="122" customWidth="1"/>
    <col min="777" max="777" width="9.85333333333333" style="122" customWidth="1"/>
    <col min="778" max="778" width="2" style="122" customWidth="1"/>
    <col min="779" max="779" width="14.8533333333333" style="122" customWidth="1"/>
    <col min="780" max="780" width="2.42666666666667" style="122" customWidth="1"/>
    <col min="781" max="781" width="9.85333333333333" style="122" customWidth="1"/>
    <col min="782" max="782" width="2" style="122" customWidth="1"/>
    <col min="783" max="783" width="14.8533333333333" style="122" customWidth="1"/>
    <col min="784" max="1025" width="9.14" style="122"/>
    <col min="1026" max="1026" width="1.42666666666667" style="122" customWidth="1"/>
    <col min="1027" max="1027" width="14.8533333333333" style="122" customWidth="1"/>
    <col min="1028" max="1028" width="1.85333333333333" style="122" customWidth="1"/>
    <col min="1029" max="1029" width="9.14" style="122"/>
    <col min="1030" max="1030" width="1.57333333333333" style="122" customWidth="1"/>
    <col min="1031" max="1031" width="14.8533333333333" style="122" customWidth="1"/>
    <col min="1032" max="1032" width="2.42666666666667" style="122" customWidth="1"/>
    <col min="1033" max="1033" width="9.85333333333333" style="122" customWidth="1"/>
    <col min="1034" max="1034" width="2" style="122" customWidth="1"/>
    <col min="1035" max="1035" width="14.8533333333333" style="122" customWidth="1"/>
    <col min="1036" max="1036" width="2.42666666666667" style="122" customWidth="1"/>
    <col min="1037" max="1037" width="9.85333333333333" style="122" customWidth="1"/>
    <col min="1038" max="1038" width="2" style="122" customWidth="1"/>
    <col min="1039" max="1039" width="14.8533333333333" style="122" customWidth="1"/>
    <col min="1040" max="1281" width="9.14" style="122"/>
    <col min="1282" max="1282" width="1.42666666666667" style="122" customWidth="1"/>
    <col min="1283" max="1283" width="14.8533333333333" style="122" customWidth="1"/>
    <col min="1284" max="1284" width="1.85333333333333" style="122" customWidth="1"/>
    <col min="1285" max="1285" width="9.14" style="122"/>
    <col min="1286" max="1286" width="1.57333333333333" style="122" customWidth="1"/>
    <col min="1287" max="1287" width="14.8533333333333" style="122" customWidth="1"/>
    <col min="1288" max="1288" width="2.42666666666667" style="122" customWidth="1"/>
    <col min="1289" max="1289" width="9.85333333333333" style="122" customWidth="1"/>
    <col min="1290" max="1290" width="2" style="122" customWidth="1"/>
    <col min="1291" max="1291" width="14.8533333333333" style="122" customWidth="1"/>
    <col min="1292" max="1292" width="2.42666666666667" style="122" customWidth="1"/>
    <col min="1293" max="1293" width="9.85333333333333" style="122" customWidth="1"/>
    <col min="1294" max="1294" width="2" style="122" customWidth="1"/>
    <col min="1295" max="1295" width="14.8533333333333" style="122" customWidth="1"/>
    <col min="1296" max="1537" width="9.14" style="122"/>
    <col min="1538" max="1538" width="1.42666666666667" style="122" customWidth="1"/>
    <col min="1539" max="1539" width="14.8533333333333" style="122" customWidth="1"/>
    <col min="1540" max="1540" width="1.85333333333333" style="122" customWidth="1"/>
    <col min="1541" max="1541" width="9.14" style="122"/>
    <col min="1542" max="1542" width="1.57333333333333" style="122" customWidth="1"/>
    <col min="1543" max="1543" width="14.8533333333333" style="122" customWidth="1"/>
    <col min="1544" max="1544" width="2.42666666666667" style="122" customWidth="1"/>
    <col min="1545" max="1545" width="9.85333333333333" style="122" customWidth="1"/>
    <col min="1546" max="1546" width="2" style="122" customWidth="1"/>
    <col min="1547" max="1547" width="14.8533333333333" style="122" customWidth="1"/>
    <col min="1548" max="1548" width="2.42666666666667" style="122" customWidth="1"/>
    <col min="1549" max="1549" width="9.85333333333333" style="122" customWidth="1"/>
    <col min="1550" max="1550" width="2" style="122" customWidth="1"/>
    <col min="1551" max="1551" width="14.8533333333333" style="122" customWidth="1"/>
    <col min="1552" max="1793" width="9.14" style="122"/>
    <col min="1794" max="1794" width="1.42666666666667" style="122" customWidth="1"/>
    <col min="1795" max="1795" width="14.8533333333333" style="122" customWidth="1"/>
    <col min="1796" max="1796" width="1.85333333333333" style="122" customWidth="1"/>
    <col min="1797" max="1797" width="9.14" style="122"/>
    <col min="1798" max="1798" width="1.57333333333333" style="122" customWidth="1"/>
    <col min="1799" max="1799" width="14.8533333333333" style="122" customWidth="1"/>
    <col min="1800" max="1800" width="2.42666666666667" style="122" customWidth="1"/>
    <col min="1801" max="1801" width="9.85333333333333" style="122" customWidth="1"/>
    <col min="1802" max="1802" width="2" style="122" customWidth="1"/>
    <col min="1803" max="1803" width="14.8533333333333" style="122" customWidth="1"/>
    <col min="1804" max="1804" width="2.42666666666667" style="122" customWidth="1"/>
    <col min="1805" max="1805" width="9.85333333333333" style="122" customWidth="1"/>
    <col min="1806" max="1806" width="2" style="122" customWidth="1"/>
    <col min="1807" max="1807" width="14.8533333333333" style="122" customWidth="1"/>
    <col min="1808" max="2049" width="9.14" style="122"/>
    <col min="2050" max="2050" width="1.42666666666667" style="122" customWidth="1"/>
    <col min="2051" max="2051" width="14.8533333333333" style="122" customWidth="1"/>
    <col min="2052" max="2052" width="1.85333333333333" style="122" customWidth="1"/>
    <col min="2053" max="2053" width="9.14" style="122"/>
    <col min="2054" max="2054" width="1.57333333333333" style="122" customWidth="1"/>
    <col min="2055" max="2055" width="14.8533333333333" style="122" customWidth="1"/>
    <col min="2056" max="2056" width="2.42666666666667" style="122" customWidth="1"/>
    <col min="2057" max="2057" width="9.85333333333333" style="122" customWidth="1"/>
    <col min="2058" max="2058" width="2" style="122" customWidth="1"/>
    <col min="2059" max="2059" width="14.8533333333333" style="122" customWidth="1"/>
    <col min="2060" max="2060" width="2.42666666666667" style="122" customWidth="1"/>
    <col min="2061" max="2061" width="9.85333333333333" style="122" customWidth="1"/>
    <col min="2062" max="2062" width="2" style="122" customWidth="1"/>
    <col min="2063" max="2063" width="14.8533333333333" style="122" customWidth="1"/>
    <col min="2064" max="2305" width="9.14" style="122"/>
    <col min="2306" max="2306" width="1.42666666666667" style="122" customWidth="1"/>
    <col min="2307" max="2307" width="14.8533333333333" style="122" customWidth="1"/>
    <col min="2308" max="2308" width="1.85333333333333" style="122" customWidth="1"/>
    <col min="2309" max="2309" width="9.14" style="122"/>
    <col min="2310" max="2310" width="1.57333333333333" style="122" customWidth="1"/>
    <col min="2311" max="2311" width="14.8533333333333" style="122" customWidth="1"/>
    <col min="2312" max="2312" width="2.42666666666667" style="122" customWidth="1"/>
    <col min="2313" max="2313" width="9.85333333333333" style="122" customWidth="1"/>
    <col min="2314" max="2314" width="2" style="122" customWidth="1"/>
    <col min="2315" max="2315" width="14.8533333333333" style="122" customWidth="1"/>
    <col min="2316" max="2316" width="2.42666666666667" style="122" customWidth="1"/>
    <col min="2317" max="2317" width="9.85333333333333" style="122" customWidth="1"/>
    <col min="2318" max="2318" width="2" style="122" customWidth="1"/>
    <col min="2319" max="2319" width="14.8533333333333" style="122" customWidth="1"/>
    <col min="2320" max="2561" width="9.14" style="122"/>
    <col min="2562" max="2562" width="1.42666666666667" style="122" customWidth="1"/>
    <col min="2563" max="2563" width="14.8533333333333" style="122" customWidth="1"/>
    <col min="2564" max="2564" width="1.85333333333333" style="122" customWidth="1"/>
    <col min="2565" max="2565" width="9.14" style="122"/>
    <col min="2566" max="2566" width="1.57333333333333" style="122" customWidth="1"/>
    <col min="2567" max="2567" width="14.8533333333333" style="122" customWidth="1"/>
    <col min="2568" max="2568" width="2.42666666666667" style="122" customWidth="1"/>
    <col min="2569" max="2569" width="9.85333333333333" style="122" customWidth="1"/>
    <col min="2570" max="2570" width="2" style="122" customWidth="1"/>
    <col min="2571" max="2571" width="14.8533333333333" style="122" customWidth="1"/>
    <col min="2572" max="2572" width="2.42666666666667" style="122" customWidth="1"/>
    <col min="2573" max="2573" width="9.85333333333333" style="122" customWidth="1"/>
    <col min="2574" max="2574" width="2" style="122" customWidth="1"/>
    <col min="2575" max="2575" width="14.8533333333333" style="122" customWidth="1"/>
    <col min="2576" max="2817" width="9.14" style="122"/>
    <col min="2818" max="2818" width="1.42666666666667" style="122" customWidth="1"/>
    <col min="2819" max="2819" width="14.8533333333333" style="122" customWidth="1"/>
    <col min="2820" max="2820" width="1.85333333333333" style="122" customWidth="1"/>
    <col min="2821" max="2821" width="9.14" style="122"/>
    <col min="2822" max="2822" width="1.57333333333333" style="122" customWidth="1"/>
    <col min="2823" max="2823" width="14.8533333333333" style="122" customWidth="1"/>
    <col min="2824" max="2824" width="2.42666666666667" style="122" customWidth="1"/>
    <col min="2825" max="2825" width="9.85333333333333" style="122" customWidth="1"/>
    <col min="2826" max="2826" width="2" style="122" customWidth="1"/>
    <col min="2827" max="2827" width="14.8533333333333" style="122" customWidth="1"/>
    <col min="2828" max="2828" width="2.42666666666667" style="122" customWidth="1"/>
    <col min="2829" max="2829" width="9.85333333333333" style="122" customWidth="1"/>
    <col min="2830" max="2830" width="2" style="122" customWidth="1"/>
    <col min="2831" max="2831" width="14.8533333333333" style="122" customWidth="1"/>
    <col min="2832" max="3073" width="9.14" style="122"/>
    <col min="3074" max="3074" width="1.42666666666667" style="122" customWidth="1"/>
    <col min="3075" max="3075" width="14.8533333333333" style="122" customWidth="1"/>
    <col min="3076" max="3076" width="1.85333333333333" style="122" customWidth="1"/>
    <col min="3077" max="3077" width="9.14" style="122"/>
    <col min="3078" max="3078" width="1.57333333333333" style="122" customWidth="1"/>
    <col min="3079" max="3079" width="14.8533333333333" style="122" customWidth="1"/>
    <col min="3080" max="3080" width="2.42666666666667" style="122" customWidth="1"/>
    <col min="3081" max="3081" width="9.85333333333333" style="122" customWidth="1"/>
    <col min="3082" max="3082" width="2" style="122" customWidth="1"/>
    <col min="3083" max="3083" width="14.8533333333333" style="122" customWidth="1"/>
    <col min="3084" max="3084" width="2.42666666666667" style="122" customWidth="1"/>
    <col min="3085" max="3085" width="9.85333333333333" style="122" customWidth="1"/>
    <col min="3086" max="3086" width="2" style="122" customWidth="1"/>
    <col min="3087" max="3087" width="14.8533333333333" style="122" customWidth="1"/>
    <col min="3088" max="3329" width="9.14" style="122"/>
    <col min="3330" max="3330" width="1.42666666666667" style="122" customWidth="1"/>
    <col min="3331" max="3331" width="14.8533333333333" style="122" customWidth="1"/>
    <col min="3332" max="3332" width="1.85333333333333" style="122" customWidth="1"/>
    <col min="3333" max="3333" width="9.14" style="122"/>
    <col min="3334" max="3334" width="1.57333333333333" style="122" customWidth="1"/>
    <col min="3335" max="3335" width="14.8533333333333" style="122" customWidth="1"/>
    <col min="3336" max="3336" width="2.42666666666667" style="122" customWidth="1"/>
    <col min="3337" max="3337" width="9.85333333333333" style="122" customWidth="1"/>
    <col min="3338" max="3338" width="2" style="122" customWidth="1"/>
    <col min="3339" max="3339" width="14.8533333333333" style="122" customWidth="1"/>
    <col min="3340" max="3340" width="2.42666666666667" style="122" customWidth="1"/>
    <col min="3341" max="3341" width="9.85333333333333" style="122" customWidth="1"/>
    <col min="3342" max="3342" width="2" style="122" customWidth="1"/>
    <col min="3343" max="3343" width="14.8533333333333" style="122" customWidth="1"/>
    <col min="3344" max="3585" width="9.14" style="122"/>
    <col min="3586" max="3586" width="1.42666666666667" style="122" customWidth="1"/>
    <col min="3587" max="3587" width="14.8533333333333" style="122" customWidth="1"/>
    <col min="3588" max="3588" width="1.85333333333333" style="122" customWidth="1"/>
    <col min="3589" max="3589" width="9.14" style="122"/>
    <col min="3590" max="3590" width="1.57333333333333" style="122" customWidth="1"/>
    <col min="3591" max="3591" width="14.8533333333333" style="122" customWidth="1"/>
    <col min="3592" max="3592" width="2.42666666666667" style="122" customWidth="1"/>
    <col min="3593" max="3593" width="9.85333333333333" style="122" customWidth="1"/>
    <col min="3594" max="3594" width="2" style="122" customWidth="1"/>
    <col min="3595" max="3595" width="14.8533333333333" style="122" customWidth="1"/>
    <col min="3596" max="3596" width="2.42666666666667" style="122" customWidth="1"/>
    <col min="3597" max="3597" width="9.85333333333333" style="122" customWidth="1"/>
    <col min="3598" max="3598" width="2" style="122" customWidth="1"/>
    <col min="3599" max="3599" width="14.8533333333333" style="122" customWidth="1"/>
    <col min="3600" max="3841" width="9.14" style="122"/>
    <col min="3842" max="3842" width="1.42666666666667" style="122" customWidth="1"/>
    <col min="3843" max="3843" width="14.8533333333333" style="122" customWidth="1"/>
    <col min="3844" max="3844" width="1.85333333333333" style="122" customWidth="1"/>
    <col min="3845" max="3845" width="9.14" style="122"/>
    <col min="3846" max="3846" width="1.57333333333333" style="122" customWidth="1"/>
    <col min="3847" max="3847" width="14.8533333333333" style="122" customWidth="1"/>
    <col min="3848" max="3848" width="2.42666666666667" style="122" customWidth="1"/>
    <col min="3849" max="3849" width="9.85333333333333" style="122" customWidth="1"/>
    <col min="3850" max="3850" width="2" style="122" customWidth="1"/>
    <col min="3851" max="3851" width="14.8533333333333" style="122" customWidth="1"/>
    <col min="3852" max="3852" width="2.42666666666667" style="122" customWidth="1"/>
    <col min="3853" max="3853" width="9.85333333333333" style="122" customWidth="1"/>
    <col min="3854" max="3854" width="2" style="122" customWidth="1"/>
    <col min="3855" max="3855" width="14.8533333333333" style="122" customWidth="1"/>
    <col min="3856" max="4097" width="9.14" style="122"/>
    <col min="4098" max="4098" width="1.42666666666667" style="122" customWidth="1"/>
    <col min="4099" max="4099" width="14.8533333333333" style="122" customWidth="1"/>
    <col min="4100" max="4100" width="1.85333333333333" style="122" customWidth="1"/>
    <col min="4101" max="4101" width="9.14" style="122"/>
    <col min="4102" max="4102" width="1.57333333333333" style="122" customWidth="1"/>
    <col min="4103" max="4103" width="14.8533333333333" style="122" customWidth="1"/>
    <col min="4104" max="4104" width="2.42666666666667" style="122" customWidth="1"/>
    <col min="4105" max="4105" width="9.85333333333333" style="122" customWidth="1"/>
    <col min="4106" max="4106" width="2" style="122" customWidth="1"/>
    <col min="4107" max="4107" width="14.8533333333333" style="122" customWidth="1"/>
    <col min="4108" max="4108" width="2.42666666666667" style="122" customWidth="1"/>
    <col min="4109" max="4109" width="9.85333333333333" style="122" customWidth="1"/>
    <col min="4110" max="4110" width="2" style="122" customWidth="1"/>
    <col min="4111" max="4111" width="14.8533333333333" style="122" customWidth="1"/>
    <col min="4112" max="4353" width="9.14" style="122"/>
    <col min="4354" max="4354" width="1.42666666666667" style="122" customWidth="1"/>
    <col min="4355" max="4355" width="14.8533333333333" style="122" customWidth="1"/>
    <col min="4356" max="4356" width="1.85333333333333" style="122" customWidth="1"/>
    <col min="4357" max="4357" width="9.14" style="122"/>
    <col min="4358" max="4358" width="1.57333333333333" style="122" customWidth="1"/>
    <col min="4359" max="4359" width="14.8533333333333" style="122" customWidth="1"/>
    <col min="4360" max="4360" width="2.42666666666667" style="122" customWidth="1"/>
    <col min="4361" max="4361" width="9.85333333333333" style="122" customWidth="1"/>
    <col min="4362" max="4362" width="2" style="122" customWidth="1"/>
    <col min="4363" max="4363" width="14.8533333333333" style="122" customWidth="1"/>
    <col min="4364" max="4364" width="2.42666666666667" style="122" customWidth="1"/>
    <col min="4365" max="4365" width="9.85333333333333" style="122" customWidth="1"/>
    <col min="4366" max="4366" width="2" style="122" customWidth="1"/>
    <col min="4367" max="4367" width="14.8533333333333" style="122" customWidth="1"/>
    <col min="4368" max="4609" width="9.14" style="122"/>
    <col min="4610" max="4610" width="1.42666666666667" style="122" customWidth="1"/>
    <col min="4611" max="4611" width="14.8533333333333" style="122" customWidth="1"/>
    <col min="4612" max="4612" width="1.85333333333333" style="122" customWidth="1"/>
    <col min="4613" max="4613" width="9.14" style="122"/>
    <col min="4614" max="4614" width="1.57333333333333" style="122" customWidth="1"/>
    <col min="4615" max="4615" width="14.8533333333333" style="122" customWidth="1"/>
    <col min="4616" max="4616" width="2.42666666666667" style="122" customWidth="1"/>
    <col min="4617" max="4617" width="9.85333333333333" style="122" customWidth="1"/>
    <col min="4618" max="4618" width="2" style="122" customWidth="1"/>
    <col min="4619" max="4619" width="14.8533333333333" style="122" customWidth="1"/>
    <col min="4620" max="4620" width="2.42666666666667" style="122" customWidth="1"/>
    <col min="4621" max="4621" width="9.85333333333333" style="122" customWidth="1"/>
    <col min="4622" max="4622" width="2" style="122" customWidth="1"/>
    <col min="4623" max="4623" width="14.8533333333333" style="122" customWidth="1"/>
    <col min="4624" max="4865" width="9.14" style="122"/>
    <col min="4866" max="4866" width="1.42666666666667" style="122" customWidth="1"/>
    <col min="4867" max="4867" width="14.8533333333333" style="122" customWidth="1"/>
    <col min="4868" max="4868" width="1.85333333333333" style="122" customWidth="1"/>
    <col min="4869" max="4869" width="9.14" style="122"/>
    <col min="4870" max="4870" width="1.57333333333333" style="122" customWidth="1"/>
    <col min="4871" max="4871" width="14.8533333333333" style="122" customWidth="1"/>
    <col min="4872" max="4872" width="2.42666666666667" style="122" customWidth="1"/>
    <col min="4873" max="4873" width="9.85333333333333" style="122" customWidth="1"/>
    <col min="4874" max="4874" width="2" style="122" customWidth="1"/>
    <col min="4875" max="4875" width="14.8533333333333" style="122" customWidth="1"/>
    <col min="4876" max="4876" width="2.42666666666667" style="122" customWidth="1"/>
    <col min="4877" max="4877" width="9.85333333333333" style="122" customWidth="1"/>
    <col min="4878" max="4878" width="2" style="122" customWidth="1"/>
    <col min="4879" max="4879" width="14.8533333333333" style="122" customWidth="1"/>
    <col min="4880" max="5121" width="9.14" style="122"/>
    <col min="5122" max="5122" width="1.42666666666667" style="122" customWidth="1"/>
    <col min="5123" max="5123" width="14.8533333333333" style="122" customWidth="1"/>
    <col min="5124" max="5124" width="1.85333333333333" style="122" customWidth="1"/>
    <col min="5125" max="5125" width="9.14" style="122"/>
    <col min="5126" max="5126" width="1.57333333333333" style="122" customWidth="1"/>
    <col min="5127" max="5127" width="14.8533333333333" style="122" customWidth="1"/>
    <col min="5128" max="5128" width="2.42666666666667" style="122" customWidth="1"/>
    <col min="5129" max="5129" width="9.85333333333333" style="122" customWidth="1"/>
    <col min="5130" max="5130" width="2" style="122" customWidth="1"/>
    <col min="5131" max="5131" width="14.8533333333333" style="122" customWidth="1"/>
    <col min="5132" max="5132" width="2.42666666666667" style="122" customWidth="1"/>
    <col min="5133" max="5133" width="9.85333333333333" style="122" customWidth="1"/>
    <col min="5134" max="5134" width="2" style="122" customWidth="1"/>
    <col min="5135" max="5135" width="14.8533333333333" style="122" customWidth="1"/>
    <col min="5136" max="5377" width="9.14" style="122"/>
    <col min="5378" max="5378" width="1.42666666666667" style="122" customWidth="1"/>
    <col min="5379" max="5379" width="14.8533333333333" style="122" customWidth="1"/>
    <col min="5380" max="5380" width="1.85333333333333" style="122" customWidth="1"/>
    <col min="5381" max="5381" width="9.14" style="122"/>
    <col min="5382" max="5382" width="1.57333333333333" style="122" customWidth="1"/>
    <col min="5383" max="5383" width="14.8533333333333" style="122" customWidth="1"/>
    <col min="5384" max="5384" width="2.42666666666667" style="122" customWidth="1"/>
    <col min="5385" max="5385" width="9.85333333333333" style="122" customWidth="1"/>
    <col min="5386" max="5386" width="2" style="122" customWidth="1"/>
    <col min="5387" max="5387" width="14.8533333333333" style="122" customWidth="1"/>
    <col min="5388" max="5388" width="2.42666666666667" style="122" customWidth="1"/>
    <col min="5389" max="5389" width="9.85333333333333" style="122" customWidth="1"/>
    <col min="5390" max="5390" width="2" style="122" customWidth="1"/>
    <col min="5391" max="5391" width="14.8533333333333" style="122" customWidth="1"/>
    <col min="5392" max="5633" width="9.14" style="122"/>
    <col min="5634" max="5634" width="1.42666666666667" style="122" customWidth="1"/>
    <col min="5635" max="5635" width="14.8533333333333" style="122" customWidth="1"/>
    <col min="5636" max="5636" width="1.85333333333333" style="122" customWidth="1"/>
    <col min="5637" max="5637" width="9.14" style="122"/>
    <col min="5638" max="5638" width="1.57333333333333" style="122" customWidth="1"/>
    <col min="5639" max="5639" width="14.8533333333333" style="122" customWidth="1"/>
    <col min="5640" max="5640" width="2.42666666666667" style="122" customWidth="1"/>
    <col min="5641" max="5641" width="9.85333333333333" style="122" customWidth="1"/>
    <col min="5642" max="5642" width="2" style="122" customWidth="1"/>
    <col min="5643" max="5643" width="14.8533333333333" style="122" customWidth="1"/>
    <col min="5644" max="5644" width="2.42666666666667" style="122" customWidth="1"/>
    <col min="5645" max="5645" width="9.85333333333333" style="122" customWidth="1"/>
    <col min="5646" max="5646" width="2" style="122" customWidth="1"/>
    <col min="5647" max="5647" width="14.8533333333333" style="122" customWidth="1"/>
    <col min="5648" max="5889" width="9.14" style="122"/>
    <col min="5890" max="5890" width="1.42666666666667" style="122" customWidth="1"/>
    <col min="5891" max="5891" width="14.8533333333333" style="122" customWidth="1"/>
    <col min="5892" max="5892" width="1.85333333333333" style="122" customWidth="1"/>
    <col min="5893" max="5893" width="9.14" style="122"/>
    <col min="5894" max="5894" width="1.57333333333333" style="122" customWidth="1"/>
    <col min="5895" max="5895" width="14.8533333333333" style="122" customWidth="1"/>
    <col min="5896" max="5896" width="2.42666666666667" style="122" customWidth="1"/>
    <col min="5897" max="5897" width="9.85333333333333" style="122" customWidth="1"/>
    <col min="5898" max="5898" width="2" style="122" customWidth="1"/>
    <col min="5899" max="5899" width="14.8533333333333" style="122" customWidth="1"/>
    <col min="5900" max="5900" width="2.42666666666667" style="122" customWidth="1"/>
    <col min="5901" max="5901" width="9.85333333333333" style="122" customWidth="1"/>
    <col min="5902" max="5902" width="2" style="122" customWidth="1"/>
    <col min="5903" max="5903" width="14.8533333333333" style="122" customWidth="1"/>
    <col min="5904" max="6145" width="9.14" style="122"/>
    <col min="6146" max="6146" width="1.42666666666667" style="122" customWidth="1"/>
    <col min="6147" max="6147" width="14.8533333333333" style="122" customWidth="1"/>
    <col min="6148" max="6148" width="1.85333333333333" style="122" customWidth="1"/>
    <col min="6149" max="6149" width="9.14" style="122"/>
    <col min="6150" max="6150" width="1.57333333333333" style="122" customWidth="1"/>
    <col min="6151" max="6151" width="14.8533333333333" style="122" customWidth="1"/>
    <col min="6152" max="6152" width="2.42666666666667" style="122" customWidth="1"/>
    <col min="6153" max="6153" width="9.85333333333333" style="122" customWidth="1"/>
    <col min="6154" max="6154" width="2" style="122" customWidth="1"/>
    <col min="6155" max="6155" width="14.8533333333333" style="122" customWidth="1"/>
    <col min="6156" max="6156" width="2.42666666666667" style="122" customWidth="1"/>
    <col min="6157" max="6157" width="9.85333333333333" style="122" customWidth="1"/>
    <col min="6158" max="6158" width="2" style="122" customWidth="1"/>
    <col min="6159" max="6159" width="14.8533333333333" style="122" customWidth="1"/>
    <col min="6160" max="6401" width="9.14" style="122"/>
    <col min="6402" max="6402" width="1.42666666666667" style="122" customWidth="1"/>
    <col min="6403" max="6403" width="14.8533333333333" style="122" customWidth="1"/>
    <col min="6404" max="6404" width="1.85333333333333" style="122" customWidth="1"/>
    <col min="6405" max="6405" width="9.14" style="122"/>
    <col min="6406" max="6406" width="1.57333333333333" style="122" customWidth="1"/>
    <col min="6407" max="6407" width="14.8533333333333" style="122" customWidth="1"/>
    <col min="6408" max="6408" width="2.42666666666667" style="122" customWidth="1"/>
    <col min="6409" max="6409" width="9.85333333333333" style="122" customWidth="1"/>
    <col min="6410" max="6410" width="2" style="122" customWidth="1"/>
    <col min="6411" max="6411" width="14.8533333333333" style="122" customWidth="1"/>
    <col min="6412" max="6412" width="2.42666666666667" style="122" customWidth="1"/>
    <col min="6413" max="6413" width="9.85333333333333" style="122" customWidth="1"/>
    <col min="6414" max="6414" width="2" style="122" customWidth="1"/>
    <col min="6415" max="6415" width="14.8533333333333" style="122" customWidth="1"/>
    <col min="6416" max="6657" width="9.14" style="122"/>
    <col min="6658" max="6658" width="1.42666666666667" style="122" customWidth="1"/>
    <col min="6659" max="6659" width="14.8533333333333" style="122" customWidth="1"/>
    <col min="6660" max="6660" width="1.85333333333333" style="122" customWidth="1"/>
    <col min="6661" max="6661" width="9.14" style="122"/>
    <col min="6662" max="6662" width="1.57333333333333" style="122" customWidth="1"/>
    <col min="6663" max="6663" width="14.8533333333333" style="122" customWidth="1"/>
    <col min="6664" max="6664" width="2.42666666666667" style="122" customWidth="1"/>
    <col min="6665" max="6665" width="9.85333333333333" style="122" customWidth="1"/>
    <col min="6666" max="6666" width="2" style="122" customWidth="1"/>
    <col min="6667" max="6667" width="14.8533333333333" style="122" customWidth="1"/>
    <col min="6668" max="6668" width="2.42666666666667" style="122" customWidth="1"/>
    <col min="6669" max="6669" width="9.85333333333333" style="122" customWidth="1"/>
    <col min="6670" max="6670" width="2" style="122" customWidth="1"/>
    <col min="6671" max="6671" width="14.8533333333333" style="122" customWidth="1"/>
    <col min="6672" max="6913" width="9.14" style="122"/>
    <col min="6914" max="6914" width="1.42666666666667" style="122" customWidth="1"/>
    <col min="6915" max="6915" width="14.8533333333333" style="122" customWidth="1"/>
    <col min="6916" max="6916" width="1.85333333333333" style="122" customWidth="1"/>
    <col min="6917" max="6917" width="9.14" style="122"/>
    <col min="6918" max="6918" width="1.57333333333333" style="122" customWidth="1"/>
    <col min="6919" max="6919" width="14.8533333333333" style="122" customWidth="1"/>
    <col min="6920" max="6920" width="2.42666666666667" style="122" customWidth="1"/>
    <col min="6921" max="6921" width="9.85333333333333" style="122" customWidth="1"/>
    <col min="6922" max="6922" width="2" style="122" customWidth="1"/>
    <col min="6923" max="6923" width="14.8533333333333" style="122" customWidth="1"/>
    <col min="6924" max="6924" width="2.42666666666667" style="122" customWidth="1"/>
    <col min="6925" max="6925" width="9.85333333333333" style="122" customWidth="1"/>
    <col min="6926" max="6926" width="2" style="122" customWidth="1"/>
    <col min="6927" max="6927" width="14.8533333333333" style="122" customWidth="1"/>
    <col min="6928" max="7169" width="9.14" style="122"/>
    <col min="7170" max="7170" width="1.42666666666667" style="122" customWidth="1"/>
    <col min="7171" max="7171" width="14.8533333333333" style="122" customWidth="1"/>
    <col min="7172" max="7172" width="1.85333333333333" style="122" customWidth="1"/>
    <col min="7173" max="7173" width="9.14" style="122"/>
    <col min="7174" max="7174" width="1.57333333333333" style="122" customWidth="1"/>
    <col min="7175" max="7175" width="14.8533333333333" style="122" customWidth="1"/>
    <col min="7176" max="7176" width="2.42666666666667" style="122" customWidth="1"/>
    <col min="7177" max="7177" width="9.85333333333333" style="122" customWidth="1"/>
    <col min="7178" max="7178" width="2" style="122" customWidth="1"/>
    <col min="7179" max="7179" width="14.8533333333333" style="122" customWidth="1"/>
    <col min="7180" max="7180" width="2.42666666666667" style="122" customWidth="1"/>
    <col min="7181" max="7181" width="9.85333333333333" style="122" customWidth="1"/>
    <col min="7182" max="7182" width="2" style="122" customWidth="1"/>
    <col min="7183" max="7183" width="14.8533333333333" style="122" customWidth="1"/>
    <col min="7184" max="7425" width="9.14" style="122"/>
    <col min="7426" max="7426" width="1.42666666666667" style="122" customWidth="1"/>
    <col min="7427" max="7427" width="14.8533333333333" style="122" customWidth="1"/>
    <col min="7428" max="7428" width="1.85333333333333" style="122" customWidth="1"/>
    <col min="7429" max="7429" width="9.14" style="122"/>
    <col min="7430" max="7430" width="1.57333333333333" style="122" customWidth="1"/>
    <col min="7431" max="7431" width="14.8533333333333" style="122" customWidth="1"/>
    <col min="7432" max="7432" width="2.42666666666667" style="122" customWidth="1"/>
    <col min="7433" max="7433" width="9.85333333333333" style="122" customWidth="1"/>
    <col min="7434" max="7434" width="2" style="122" customWidth="1"/>
    <col min="7435" max="7435" width="14.8533333333333" style="122" customWidth="1"/>
    <col min="7436" max="7436" width="2.42666666666667" style="122" customWidth="1"/>
    <col min="7437" max="7437" width="9.85333333333333" style="122" customWidth="1"/>
    <col min="7438" max="7438" width="2" style="122" customWidth="1"/>
    <col min="7439" max="7439" width="14.8533333333333" style="122" customWidth="1"/>
    <col min="7440" max="7681" width="9.14" style="122"/>
    <col min="7682" max="7682" width="1.42666666666667" style="122" customWidth="1"/>
    <col min="7683" max="7683" width="14.8533333333333" style="122" customWidth="1"/>
    <col min="7684" max="7684" width="1.85333333333333" style="122" customWidth="1"/>
    <col min="7685" max="7685" width="9.14" style="122"/>
    <col min="7686" max="7686" width="1.57333333333333" style="122" customWidth="1"/>
    <col min="7687" max="7687" width="14.8533333333333" style="122" customWidth="1"/>
    <col min="7688" max="7688" width="2.42666666666667" style="122" customWidth="1"/>
    <col min="7689" max="7689" width="9.85333333333333" style="122" customWidth="1"/>
    <col min="7690" max="7690" width="2" style="122" customWidth="1"/>
    <col min="7691" max="7691" width="14.8533333333333" style="122" customWidth="1"/>
    <col min="7692" max="7692" width="2.42666666666667" style="122" customWidth="1"/>
    <col min="7693" max="7693" width="9.85333333333333" style="122" customWidth="1"/>
    <col min="7694" max="7694" width="2" style="122" customWidth="1"/>
    <col min="7695" max="7695" width="14.8533333333333" style="122" customWidth="1"/>
    <col min="7696" max="7937" width="9.14" style="122"/>
    <col min="7938" max="7938" width="1.42666666666667" style="122" customWidth="1"/>
    <col min="7939" max="7939" width="14.8533333333333" style="122" customWidth="1"/>
    <col min="7940" max="7940" width="1.85333333333333" style="122" customWidth="1"/>
    <col min="7941" max="7941" width="9.14" style="122"/>
    <col min="7942" max="7942" width="1.57333333333333" style="122" customWidth="1"/>
    <col min="7943" max="7943" width="14.8533333333333" style="122" customWidth="1"/>
    <col min="7944" max="7944" width="2.42666666666667" style="122" customWidth="1"/>
    <col min="7945" max="7945" width="9.85333333333333" style="122" customWidth="1"/>
    <col min="7946" max="7946" width="2" style="122" customWidth="1"/>
    <col min="7947" max="7947" width="14.8533333333333" style="122" customWidth="1"/>
    <col min="7948" max="7948" width="2.42666666666667" style="122" customWidth="1"/>
    <col min="7949" max="7949" width="9.85333333333333" style="122" customWidth="1"/>
    <col min="7950" max="7950" width="2" style="122" customWidth="1"/>
    <col min="7951" max="7951" width="14.8533333333333" style="122" customWidth="1"/>
    <col min="7952" max="8193" width="9.14" style="122"/>
    <col min="8194" max="8194" width="1.42666666666667" style="122" customWidth="1"/>
    <col min="8195" max="8195" width="14.8533333333333" style="122" customWidth="1"/>
    <col min="8196" max="8196" width="1.85333333333333" style="122" customWidth="1"/>
    <col min="8197" max="8197" width="9.14" style="122"/>
    <col min="8198" max="8198" width="1.57333333333333" style="122" customWidth="1"/>
    <col min="8199" max="8199" width="14.8533333333333" style="122" customWidth="1"/>
    <col min="8200" max="8200" width="2.42666666666667" style="122" customWidth="1"/>
    <col min="8201" max="8201" width="9.85333333333333" style="122" customWidth="1"/>
    <col min="8202" max="8202" width="2" style="122" customWidth="1"/>
    <col min="8203" max="8203" width="14.8533333333333" style="122" customWidth="1"/>
    <col min="8204" max="8204" width="2.42666666666667" style="122" customWidth="1"/>
    <col min="8205" max="8205" width="9.85333333333333" style="122" customWidth="1"/>
    <col min="8206" max="8206" width="2" style="122" customWidth="1"/>
    <col min="8207" max="8207" width="14.8533333333333" style="122" customWidth="1"/>
    <col min="8208" max="8449" width="9.14" style="122"/>
    <col min="8450" max="8450" width="1.42666666666667" style="122" customWidth="1"/>
    <col min="8451" max="8451" width="14.8533333333333" style="122" customWidth="1"/>
    <col min="8452" max="8452" width="1.85333333333333" style="122" customWidth="1"/>
    <col min="8453" max="8453" width="9.14" style="122"/>
    <col min="8454" max="8454" width="1.57333333333333" style="122" customWidth="1"/>
    <col min="8455" max="8455" width="14.8533333333333" style="122" customWidth="1"/>
    <col min="8456" max="8456" width="2.42666666666667" style="122" customWidth="1"/>
    <col min="8457" max="8457" width="9.85333333333333" style="122" customWidth="1"/>
    <col min="8458" max="8458" width="2" style="122" customWidth="1"/>
    <col min="8459" max="8459" width="14.8533333333333" style="122" customWidth="1"/>
    <col min="8460" max="8460" width="2.42666666666667" style="122" customWidth="1"/>
    <col min="8461" max="8461" width="9.85333333333333" style="122" customWidth="1"/>
    <col min="8462" max="8462" width="2" style="122" customWidth="1"/>
    <col min="8463" max="8463" width="14.8533333333333" style="122" customWidth="1"/>
    <col min="8464" max="8705" width="9.14" style="122"/>
    <col min="8706" max="8706" width="1.42666666666667" style="122" customWidth="1"/>
    <col min="8707" max="8707" width="14.8533333333333" style="122" customWidth="1"/>
    <col min="8708" max="8708" width="1.85333333333333" style="122" customWidth="1"/>
    <col min="8709" max="8709" width="9.14" style="122"/>
    <col min="8710" max="8710" width="1.57333333333333" style="122" customWidth="1"/>
    <col min="8711" max="8711" width="14.8533333333333" style="122" customWidth="1"/>
    <col min="8712" max="8712" width="2.42666666666667" style="122" customWidth="1"/>
    <col min="8713" max="8713" width="9.85333333333333" style="122" customWidth="1"/>
    <col min="8714" max="8714" width="2" style="122" customWidth="1"/>
    <col min="8715" max="8715" width="14.8533333333333" style="122" customWidth="1"/>
    <col min="8716" max="8716" width="2.42666666666667" style="122" customWidth="1"/>
    <col min="8717" max="8717" width="9.85333333333333" style="122" customWidth="1"/>
    <col min="8718" max="8718" width="2" style="122" customWidth="1"/>
    <col min="8719" max="8719" width="14.8533333333333" style="122" customWidth="1"/>
    <col min="8720" max="8961" width="9.14" style="122"/>
    <col min="8962" max="8962" width="1.42666666666667" style="122" customWidth="1"/>
    <col min="8963" max="8963" width="14.8533333333333" style="122" customWidth="1"/>
    <col min="8964" max="8964" width="1.85333333333333" style="122" customWidth="1"/>
    <col min="8965" max="8965" width="9.14" style="122"/>
    <col min="8966" max="8966" width="1.57333333333333" style="122" customWidth="1"/>
    <col min="8967" max="8967" width="14.8533333333333" style="122" customWidth="1"/>
    <col min="8968" max="8968" width="2.42666666666667" style="122" customWidth="1"/>
    <col min="8969" max="8969" width="9.85333333333333" style="122" customWidth="1"/>
    <col min="8970" max="8970" width="2" style="122" customWidth="1"/>
    <col min="8971" max="8971" width="14.8533333333333" style="122" customWidth="1"/>
    <col min="8972" max="8972" width="2.42666666666667" style="122" customWidth="1"/>
    <col min="8973" max="8973" width="9.85333333333333" style="122" customWidth="1"/>
    <col min="8974" max="8974" width="2" style="122" customWidth="1"/>
    <col min="8975" max="8975" width="14.8533333333333" style="122" customWidth="1"/>
    <col min="8976" max="9217" width="9.14" style="122"/>
    <col min="9218" max="9218" width="1.42666666666667" style="122" customWidth="1"/>
    <col min="9219" max="9219" width="14.8533333333333" style="122" customWidth="1"/>
    <col min="9220" max="9220" width="1.85333333333333" style="122" customWidth="1"/>
    <col min="9221" max="9221" width="9.14" style="122"/>
    <col min="9222" max="9222" width="1.57333333333333" style="122" customWidth="1"/>
    <col min="9223" max="9223" width="14.8533333333333" style="122" customWidth="1"/>
    <col min="9224" max="9224" width="2.42666666666667" style="122" customWidth="1"/>
    <col min="9225" max="9225" width="9.85333333333333" style="122" customWidth="1"/>
    <col min="9226" max="9226" width="2" style="122" customWidth="1"/>
    <col min="9227" max="9227" width="14.8533333333333" style="122" customWidth="1"/>
    <col min="9228" max="9228" width="2.42666666666667" style="122" customWidth="1"/>
    <col min="9229" max="9229" width="9.85333333333333" style="122" customWidth="1"/>
    <col min="9230" max="9230" width="2" style="122" customWidth="1"/>
    <col min="9231" max="9231" width="14.8533333333333" style="122" customWidth="1"/>
    <col min="9232" max="9473" width="9.14" style="122"/>
    <col min="9474" max="9474" width="1.42666666666667" style="122" customWidth="1"/>
    <col min="9475" max="9475" width="14.8533333333333" style="122" customWidth="1"/>
    <col min="9476" max="9476" width="1.85333333333333" style="122" customWidth="1"/>
    <col min="9477" max="9477" width="9.14" style="122"/>
    <col min="9478" max="9478" width="1.57333333333333" style="122" customWidth="1"/>
    <col min="9479" max="9479" width="14.8533333333333" style="122" customWidth="1"/>
    <col min="9480" max="9480" width="2.42666666666667" style="122" customWidth="1"/>
    <col min="9481" max="9481" width="9.85333333333333" style="122" customWidth="1"/>
    <col min="9482" max="9482" width="2" style="122" customWidth="1"/>
    <col min="9483" max="9483" width="14.8533333333333" style="122" customWidth="1"/>
    <col min="9484" max="9484" width="2.42666666666667" style="122" customWidth="1"/>
    <col min="9485" max="9485" width="9.85333333333333" style="122" customWidth="1"/>
    <col min="9486" max="9486" width="2" style="122" customWidth="1"/>
    <col min="9487" max="9487" width="14.8533333333333" style="122" customWidth="1"/>
    <col min="9488" max="9729" width="9.14" style="122"/>
    <col min="9730" max="9730" width="1.42666666666667" style="122" customWidth="1"/>
    <col min="9731" max="9731" width="14.8533333333333" style="122" customWidth="1"/>
    <col min="9732" max="9732" width="1.85333333333333" style="122" customWidth="1"/>
    <col min="9733" max="9733" width="9.14" style="122"/>
    <col min="9734" max="9734" width="1.57333333333333" style="122" customWidth="1"/>
    <col min="9735" max="9735" width="14.8533333333333" style="122" customWidth="1"/>
    <col min="9736" max="9736" width="2.42666666666667" style="122" customWidth="1"/>
    <col min="9737" max="9737" width="9.85333333333333" style="122" customWidth="1"/>
    <col min="9738" max="9738" width="2" style="122" customWidth="1"/>
    <col min="9739" max="9739" width="14.8533333333333" style="122" customWidth="1"/>
    <col min="9740" max="9740" width="2.42666666666667" style="122" customWidth="1"/>
    <col min="9741" max="9741" width="9.85333333333333" style="122" customWidth="1"/>
    <col min="9742" max="9742" width="2" style="122" customWidth="1"/>
    <col min="9743" max="9743" width="14.8533333333333" style="122" customWidth="1"/>
    <col min="9744" max="9985" width="9.14" style="122"/>
    <col min="9986" max="9986" width="1.42666666666667" style="122" customWidth="1"/>
    <col min="9987" max="9987" width="14.8533333333333" style="122" customWidth="1"/>
    <col min="9988" max="9988" width="1.85333333333333" style="122" customWidth="1"/>
    <col min="9989" max="9989" width="9.14" style="122"/>
    <col min="9990" max="9990" width="1.57333333333333" style="122" customWidth="1"/>
    <col min="9991" max="9991" width="14.8533333333333" style="122" customWidth="1"/>
    <col min="9992" max="9992" width="2.42666666666667" style="122" customWidth="1"/>
    <col min="9993" max="9993" width="9.85333333333333" style="122" customWidth="1"/>
    <col min="9994" max="9994" width="2" style="122" customWidth="1"/>
    <col min="9995" max="9995" width="14.8533333333333" style="122" customWidth="1"/>
    <col min="9996" max="9996" width="2.42666666666667" style="122" customWidth="1"/>
    <col min="9997" max="9997" width="9.85333333333333" style="122" customWidth="1"/>
    <col min="9998" max="9998" width="2" style="122" customWidth="1"/>
    <col min="9999" max="9999" width="14.8533333333333" style="122" customWidth="1"/>
    <col min="10000" max="10241" width="9.14" style="122"/>
    <col min="10242" max="10242" width="1.42666666666667" style="122" customWidth="1"/>
    <col min="10243" max="10243" width="14.8533333333333" style="122" customWidth="1"/>
    <col min="10244" max="10244" width="1.85333333333333" style="122" customWidth="1"/>
    <col min="10245" max="10245" width="9.14" style="122"/>
    <col min="10246" max="10246" width="1.57333333333333" style="122" customWidth="1"/>
    <col min="10247" max="10247" width="14.8533333333333" style="122" customWidth="1"/>
    <col min="10248" max="10248" width="2.42666666666667" style="122" customWidth="1"/>
    <col min="10249" max="10249" width="9.85333333333333" style="122" customWidth="1"/>
    <col min="10250" max="10250" width="2" style="122" customWidth="1"/>
    <col min="10251" max="10251" width="14.8533333333333" style="122" customWidth="1"/>
    <col min="10252" max="10252" width="2.42666666666667" style="122" customWidth="1"/>
    <col min="10253" max="10253" width="9.85333333333333" style="122" customWidth="1"/>
    <col min="10254" max="10254" width="2" style="122" customWidth="1"/>
    <col min="10255" max="10255" width="14.8533333333333" style="122" customWidth="1"/>
    <col min="10256" max="10497" width="9.14" style="122"/>
    <col min="10498" max="10498" width="1.42666666666667" style="122" customWidth="1"/>
    <col min="10499" max="10499" width="14.8533333333333" style="122" customWidth="1"/>
    <col min="10500" max="10500" width="1.85333333333333" style="122" customWidth="1"/>
    <col min="10501" max="10501" width="9.14" style="122"/>
    <col min="10502" max="10502" width="1.57333333333333" style="122" customWidth="1"/>
    <col min="10503" max="10503" width="14.8533333333333" style="122" customWidth="1"/>
    <col min="10504" max="10504" width="2.42666666666667" style="122" customWidth="1"/>
    <col min="10505" max="10505" width="9.85333333333333" style="122" customWidth="1"/>
    <col min="10506" max="10506" width="2" style="122" customWidth="1"/>
    <col min="10507" max="10507" width="14.8533333333333" style="122" customWidth="1"/>
    <col min="10508" max="10508" width="2.42666666666667" style="122" customWidth="1"/>
    <col min="10509" max="10509" width="9.85333333333333" style="122" customWidth="1"/>
    <col min="10510" max="10510" width="2" style="122" customWidth="1"/>
    <col min="10511" max="10511" width="14.8533333333333" style="122" customWidth="1"/>
    <col min="10512" max="10753" width="9.14" style="122"/>
    <col min="10754" max="10754" width="1.42666666666667" style="122" customWidth="1"/>
    <col min="10755" max="10755" width="14.8533333333333" style="122" customWidth="1"/>
    <col min="10756" max="10756" width="1.85333333333333" style="122" customWidth="1"/>
    <col min="10757" max="10757" width="9.14" style="122"/>
    <col min="10758" max="10758" width="1.57333333333333" style="122" customWidth="1"/>
    <col min="10759" max="10759" width="14.8533333333333" style="122" customWidth="1"/>
    <col min="10760" max="10760" width="2.42666666666667" style="122" customWidth="1"/>
    <col min="10761" max="10761" width="9.85333333333333" style="122" customWidth="1"/>
    <col min="10762" max="10762" width="2" style="122" customWidth="1"/>
    <col min="10763" max="10763" width="14.8533333333333" style="122" customWidth="1"/>
    <col min="10764" max="10764" width="2.42666666666667" style="122" customWidth="1"/>
    <col min="10765" max="10765" width="9.85333333333333" style="122" customWidth="1"/>
    <col min="10766" max="10766" width="2" style="122" customWidth="1"/>
    <col min="10767" max="10767" width="14.8533333333333" style="122" customWidth="1"/>
    <col min="10768" max="11009" width="9.14" style="122"/>
    <col min="11010" max="11010" width="1.42666666666667" style="122" customWidth="1"/>
    <col min="11011" max="11011" width="14.8533333333333" style="122" customWidth="1"/>
    <col min="11012" max="11012" width="1.85333333333333" style="122" customWidth="1"/>
    <col min="11013" max="11013" width="9.14" style="122"/>
    <col min="11014" max="11014" width="1.57333333333333" style="122" customWidth="1"/>
    <col min="11015" max="11015" width="14.8533333333333" style="122" customWidth="1"/>
    <col min="11016" max="11016" width="2.42666666666667" style="122" customWidth="1"/>
    <col min="11017" max="11017" width="9.85333333333333" style="122" customWidth="1"/>
    <col min="11018" max="11018" width="2" style="122" customWidth="1"/>
    <col min="11019" max="11019" width="14.8533333333333" style="122" customWidth="1"/>
    <col min="11020" max="11020" width="2.42666666666667" style="122" customWidth="1"/>
    <col min="11021" max="11021" width="9.85333333333333" style="122" customWidth="1"/>
    <col min="11022" max="11022" width="2" style="122" customWidth="1"/>
    <col min="11023" max="11023" width="14.8533333333333" style="122" customWidth="1"/>
    <col min="11024" max="11265" width="9.14" style="122"/>
    <col min="11266" max="11266" width="1.42666666666667" style="122" customWidth="1"/>
    <col min="11267" max="11267" width="14.8533333333333" style="122" customWidth="1"/>
    <col min="11268" max="11268" width="1.85333333333333" style="122" customWidth="1"/>
    <col min="11269" max="11269" width="9.14" style="122"/>
    <col min="11270" max="11270" width="1.57333333333333" style="122" customWidth="1"/>
    <col min="11271" max="11271" width="14.8533333333333" style="122" customWidth="1"/>
    <col min="11272" max="11272" width="2.42666666666667" style="122" customWidth="1"/>
    <col min="11273" max="11273" width="9.85333333333333" style="122" customWidth="1"/>
    <col min="11274" max="11274" width="2" style="122" customWidth="1"/>
    <col min="11275" max="11275" width="14.8533333333333" style="122" customWidth="1"/>
    <col min="11276" max="11276" width="2.42666666666667" style="122" customWidth="1"/>
    <col min="11277" max="11277" width="9.85333333333333" style="122" customWidth="1"/>
    <col min="11278" max="11278" width="2" style="122" customWidth="1"/>
    <col min="11279" max="11279" width="14.8533333333333" style="122" customWidth="1"/>
    <col min="11280" max="11521" width="9.14" style="122"/>
    <col min="11522" max="11522" width="1.42666666666667" style="122" customWidth="1"/>
    <col min="11523" max="11523" width="14.8533333333333" style="122" customWidth="1"/>
    <col min="11524" max="11524" width="1.85333333333333" style="122" customWidth="1"/>
    <col min="11525" max="11525" width="9.14" style="122"/>
    <col min="11526" max="11526" width="1.57333333333333" style="122" customWidth="1"/>
    <col min="11527" max="11527" width="14.8533333333333" style="122" customWidth="1"/>
    <col min="11528" max="11528" width="2.42666666666667" style="122" customWidth="1"/>
    <col min="11529" max="11529" width="9.85333333333333" style="122" customWidth="1"/>
    <col min="11530" max="11530" width="2" style="122" customWidth="1"/>
    <col min="11531" max="11531" width="14.8533333333333" style="122" customWidth="1"/>
    <col min="11532" max="11532" width="2.42666666666667" style="122" customWidth="1"/>
    <col min="11533" max="11533" width="9.85333333333333" style="122" customWidth="1"/>
    <col min="11534" max="11534" width="2" style="122" customWidth="1"/>
    <col min="11535" max="11535" width="14.8533333333333" style="122" customWidth="1"/>
    <col min="11536" max="11777" width="9.14" style="122"/>
    <col min="11778" max="11778" width="1.42666666666667" style="122" customWidth="1"/>
    <col min="11779" max="11779" width="14.8533333333333" style="122" customWidth="1"/>
    <col min="11780" max="11780" width="1.85333333333333" style="122" customWidth="1"/>
    <col min="11781" max="11781" width="9.14" style="122"/>
    <col min="11782" max="11782" width="1.57333333333333" style="122" customWidth="1"/>
    <col min="11783" max="11783" width="14.8533333333333" style="122" customWidth="1"/>
    <col min="11784" max="11784" width="2.42666666666667" style="122" customWidth="1"/>
    <col min="11785" max="11785" width="9.85333333333333" style="122" customWidth="1"/>
    <col min="11786" max="11786" width="2" style="122" customWidth="1"/>
    <col min="11787" max="11787" width="14.8533333333333" style="122" customWidth="1"/>
    <col min="11788" max="11788" width="2.42666666666667" style="122" customWidth="1"/>
    <col min="11789" max="11789" width="9.85333333333333" style="122" customWidth="1"/>
    <col min="11790" max="11790" width="2" style="122" customWidth="1"/>
    <col min="11791" max="11791" width="14.8533333333333" style="122" customWidth="1"/>
    <col min="11792" max="12033" width="9.14" style="122"/>
    <col min="12034" max="12034" width="1.42666666666667" style="122" customWidth="1"/>
    <col min="12035" max="12035" width="14.8533333333333" style="122" customWidth="1"/>
    <col min="12036" max="12036" width="1.85333333333333" style="122" customWidth="1"/>
    <col min="12037" max="12037" width="9.14" style="122"/>
    <col min="12038" max="12038" width="1.57333333333333" style="122" customWidth="1"/>
    <col min="12039" max="12039" width="14.8533333333333" style="122" customWidth="1"/>
    <col min="12040" max="12040" width="2.42666666666667" style="122" customWidth="1"/>
    <col min="12041" max="12041" width="9.85333333333333" style="122" customWidth="1"/>
    <col min="12042" max="12042" width="2" style="122" customWidth="1"/>
    <col min="12043" max="12043" width="14.8533333333333" style="122" customWidth="1"/>
    <col min="12044" max="12044" width="2.42666666666667" style="122" customWidth="1"/>
    <col min="12045" max="12045" width="9.85333333333333" style="122" customWidth="1"/>
    <col min="12046" max="12046" width="2" style="122" customWidth="1"/>
    <col min="12047" max="12047" width="14.8533333333333" style="122" customWidth="1"/>
    <col min="12048" max="12289" width="9.14" style="122"/>
    <col min="12290" max="12290" width="1.42666666666667" style="122" customWidth="1"/>
    <col min="12291" max="12291" width="14.8533333333333" style="122" customWidth="1"/>
    <col min="12292" max="12292" width="1.85333333333333" style="122" customWidth="1"/>
    <col min="12293" max="12293" width="9.14" style="122"/>
    <col min="12294" max="12294" width="1.57333333333333" style="122" customWidth="1"/>
    <col min="12295" max="12295" width="14.8533333333333" style="122" customWidth="1"/>
    <col min="12296" max="12296" width="2.42666666666667" style="122" customWidth="1"/>
    <col min="12297" max="12297" width="9.85333333333333" style="122" customWidth="1"/>
    <col min="12298" max="12298" width="2" style="122" customWidth="1"/>
    <col min="12299" max="12299" width="14.8533333333333" style="122" customWidth="1"/>
    <col min="12300" max="12300" width="2.42666666666667" style="122" customWidth="1"/>
    <col min="12301" max="12301" width="9.85333333333333" style="122" customWidth="1"/>
    <col min="12302" max="12302" width="2" style="122" customWidth="1"/>
    <col min="12303" max="12303" width="14.8533333333333" style="122" customWidth="1"/>
    <col min="12304" max="12545" width="9.14" style="122"/>
    <col min="12546" max="12546" width="1.42666666666667" style="122" customWidth="1"/>
    <col min="12547" max="12547" width="14.8533333333333" style="122" customWidth="1"/>
    <col min="12548" max="12548" width="1.85333333333333" style="122" customWidth="1"/>
    <col min="12549" max="12549" width="9.14" style="122"/>
    <col min="12550" max="12550" width="1.57333333333333" style="122" customWidth="1"/>
    <col min="12551" max="12551" width="14.8533333333333" style="122" customWidth="1"/>
    <col min="12552" max="12552" width="2.42666666666667" style="122" customWidth="1"/>
    <col min="12553" max="12553" width="9.85333333333333" style="122" customWidth="1"/>
    <col min="12554" max="12554" width="2" style="122" customWidth="1"/>
    <col min="12555" max="12555" width="14.8533333333333" style="122" customWidth="1"/>
    <col min="12556" max="12556" width="2.42666666666667" style="122" customWidth="1"/>
    <col min="12557" max="12557" width="9.85333333333333" style="122" customWidth="1"/>
    <col min="12558" max="12558" width="2" style="122" customWidth="1"/>
    <col min="12559" max="12559" width="14.8533333333333" style="122" customWidth="1"/>
    <col min="12560" max="12801" width="9.14" style="122"/>
    <col min="12802" max="12802" width="1.42666666666667" style="122" customWidth="1"/>
    <col min="12803" max="12803" width="14.8533333333333" style="122" customWidth="1"/>
    <col min="12804" max="12804" width="1.85333333333333" style="122" customWidth="1"/>
    <col min="12805" max="12805" width="9.14" style="122"/>
    <col min="12806" max="12806" width="1.57333333333333" style="122" customWidth="1"/>
    <col min="12807" max="12807" width="14.8533333333333" style="122" customWidth="1"/>
    <col min="12808" max="12808" width="2.42666666666667" style="122" customWidth="1"/>
    <col min="12809" max="12809" width="9.85333333333333" style="122" customWidth="1"/>
    <col min="12810" max="12810" width="2" style="122" customWidth="1"/>
    <col min="12811" max="12811" width="14.8533333333333" style="122" customWidth="1"/>
    <col min="12812" max="12812" width="2.42666666666667" style="122" customWidth="1"/>
    <col min="12813" max="12813" width="9.85333333333333" style="122" customWidth="1"/>
    <col min="12814" max="12814" width="2" style="122" customWidth="1"/>
    <col min="12815" max="12815" width="14.8533333333333" style="122" customWidth="1"/>
    <col min="12816" max="13057" width="9.14" style="122"/>
    <col min="13058" max="13058" width="1.42666666666667" style="122" customWidth="1"/>
    <col min="13059" max="13059" width="14.8533333333333" style="122" customWidth="1"/>
    <col min="13060" max="13060" width="1.85333333333333" style="122" customWidth="1"/>
    <col min="13061" max="13061" width="9.14" style="122"/>
    <col min="13062" max="13062" width="1.57333333333333" style="122" customWidth="1"/>
    <col min="13063" max="13063" width="14.8533333333333" style="122" customWidth="1"/>
    <col min="13064" max="13064" width="2.42666666666667" style="122" customWidth="1"/>
    <col min="13065" max="13065" width="9.85333333333333" style="122" customWidth="1"/>
    <col min="13066" max="13066" width="2" style="122" customWidth="1"/>
    <col min="13067" max="13067" width="14.8533333333333" style="122" customWidth="1"/>
    <col min="13068" max="13068" width="2.42666666666667" style="122" customWidth="1"/>
    <col min="13069" max="13069" width="9.85333333333333" style="122" customWidth="1"/>
    <col min="13070" max="13070" width="2" style="122" customWidth="1"/>
    <col min="13071" max="13071" width="14.8533333333333" style="122" customWidth="1"/>
    <col min="13072" max="13313" width="9.14" style="122"/>
    <col min="13314" max="13314" width="1.42666666666667" style="122" customWidth="1"/>
    <col min="13315" max="13315" width="14.8533333333333" style="122" customWidth="1"/>
    <col min="13316" max="13316" width="1.85333333333333" style="122" customWidth="1"/>
    <col min="13317" max="13317" width="9.14" style="122"/>
    <col min="13318" max="13318" width="1.57333333333333" style="122" customWidth="1"/>
    <col min="13319" max="13319" width="14.8533333333333" style="122" customWidth="1"/>
    <col min="13320" max="13320" width="2.42666666666667" style="122" customWidth="1"/>
    <col min="13321" max="13321" width="9.85333333333333" style="122" customWidth="1"/>
    <col min="13322" max="13322" width="2" style="122" customWidth="1"/>
    <col min="13323" max="13323" width="14.8533333333333" style="122" customWidth="1"/>
    <col min="13324" max="13324" width="2.42666666666667" style="122" customWidth="1"/>
    <col min="13325" max="13325" width="9.85333333333333" style="122" customWidth="1"/>
    <col min="13326" max="13326" width="2" style="122" customWidth="1"/>
    <col min="13327" max="13327" width="14.8533333333333" style="122" customWidth="1"/>
    <col min="13328" max="13569" width="9.14" style="122"/>
    <col min="13570" max="13570" width="1.42666666666667" style="122" customWidth="1"/>
    <col min="13571" max="13571" width="14.8533333333333" style="122" customWidth="1"/>
    <col min="13572" max="13572" width="1.85333333333333" style="122" customWidth="1"/>
    <col min="13573" max="13573" width="9.14" style="122"/>
    <col min="13574" max="13574" width="1.57333333333333" style="122" customWidth="1"/>
    <col min="13575" max="13575" width="14.8533333333333" style="122" customWidth="1"/>
    <col min="13576" max="13576" width="2.42666666666667" style="122" customWidth="1"/>
    <col min="13577" max="13577" width="9.85333333333333" style="122" customWidth="1"/>
    <col min="13578" max="13578" width="2" style="122" customWidth="1"/>
    <col min="13579" max="13579" width="14.8533333333333" style="122" customWidth="1"/>
    <col min="13580" max="13580" width="2.42666666666667" style="122" customWidth="1"/>
    <col min="13581" max="13581" width="9.85333333333333" style="122" customWidth="1"/>
    <col min="13582" max="13582" width="2" style="122" customWidth="1"/>
    <col min="13583" max="13583" width="14.8533333333333" style="122" customWidth="1"/>
    <col min="13584" max="13825" width="9.14" style="122"/>
    <col min="13826" max="13826" width="1.42666666666667" style="122" customWidth="1"/>
    <col min="13827" max="13827" width="14.8533333333333" style="122" customWidth="1"/>
    <col min="13828" max="13828" width="1.85333333333333" style="122" customWidth="1"/>
    <col min="13829" max="13829" width="9.14" style="122"/>
    <col min="13830" max="13830" width="1.57333333333333" style="122" customWidth="1"/>
    <col min="13831" max="13831" width="14.8533333333333" style="122" customWidth="1"/>
    <col min="13832" max="13832" width="2.42666666666667" style="122" customWidth="1"/>
    <col min="13833" max="13833" width="9.85333333333333" style="122" customWidth="1"/>
    <col min="13834" max="13834" width="2" style="122" customWidth="1"/>
    <col min="13835" max="13835" width="14.8533333333333" style="122" customWidth="1"/>
    <col min="13836" max="13836" width="2.42666666666667" style="122" customWidth="1"/>
    <col min="13837" max="13837" width="9.85333333333333" style="122" customWidth="1"/>
    <col min="13838" max="13838" width="2" style="122" customWidth="1"/>
    <col min="13839" max="13839" width="14.8533333333333" style="122" customWidth="1"/>
    <col min="13840" max="14081" width="9.14" style="122"/>
    <col min="14082" max="14082" width="1.42666666666667" style="122" customWidth="1"/>
    <col min="14083" max="14083" width="14.8533333333333" style="122" customWidth="1"/>
    <col min="14084" max="14084" width="1.85333333333333" style="122" customWidth="1"/>
    <col min="14085" max="14085" width="9.14" style="122"/>
    <col min="14086" max="14086" width="1.57333333333333" style="122" customWidth="1"/>
    <col min="14087" max="14087" width="14.8533333333333" style="122" customWidth="1"/>
    <col min="14088" max="14088" width="2.42666666666667" style="122" customWidth="1"/>
    <col min="14089" max="14089" width="9.85333333333333" style="122" customWidth="1"/>
    <col min="14090" max="14090" width="2" style="122" customWidth="1"/>
    <col min="14091" max="14091" width="14.8533333333333" style="122" customWidth="1"/>
    <col min="14092" max="14092" width="2.42666666666667" style="122" customWidth="1"/>
    <col min="14093" max="14093" width="9.85333333333333" style="122" customWidth="1"/>
    <col min="14094" max="14094" width="2" style="122" customWidth="1"/>
    <col min="14095" max="14095" width="14.8533333333333" style="122" customWidth="1"/>
    <col min="14096" max="14337" width="9.14" style="122"/>
    <col min="14338" max="14338" width="1.42666666666667" style="122" customWidth="1"/>
    <col min="14339" max="14339" width="14.8533333333333" style="122" customWidth="1"/>
    <col min="14340" max="14340" width="1.85333333333333" style="122" customWidth="1"/>
    <col min="14341" max="14341" width="9.14" style="122"/>
    <col min="14342" max="14342" width="1.57333333333333" style="122" customWidth="1"/>
    <col min="14343" max="14343" width="14.8533333333333" style="122" customWidth="1"/>
    <col min="14344" max="14344" width="2.42666666666667" style="122" customWidth="1"/>
    <col min="14345" max="14345" width="9.85333333333333" style="122" customWidth="1"/>
    <col min="14346" max="14346" width="2" style="122" customWidth="1"/>
    <col min="14347" max="14347" width="14.8533333333333" style="122" customWidth="1"/>
    <col min="14348" max="14348" width="2.42666666666667" style="122" customWidth="1"/>
    <col min="14349" max="14349" width="9.85333333333333" style="122" customWidth="1"/>
    <col min="14350" max="14350" width="2" style="122" customWidth="1"/>
    <col min="14351" max="14351" width="14.8533333333333" style="122" customWidth="1"/>
    <col min="14352" max="14593" width="9.14" style="122"/>
    <col min="14594" max="14594" width="1.42666666666667" style="122" customWidth="1"/>
    <col min="14595" max="14595" width="14.8533333333333" style="122" customWidth="1"/>
    <col min="14596" max="14596" width="1.85333333333333" style="122" customWidth="1"/>
    <col min="14597" max="14597" width="9.14" style="122"/>
    <col min="14598" max="14598" width="1.57333333333333" style="122" customWidth="1"/>
    <col min="14599" max="14599" width="14.8533333333333" style="122" customWidth="1"/>
    <col min="14600" max="14600" width="2.42666666666667" style="122" customWidth="1"/>
    <col min="14601" max="14601" width="9.85333333333333" style="122" customWidth="1"/>
    <col min="14602" max="14602" width="2" style="122" customWidth="1"/>
    <col min="14603" max="14603" width="14.8533333333333" style="122" customWidth="1"/>
    <col min="14604" max="14604" width="2.42666666666667" style="122" customWidth="1"/>
    <col min="14605" max="14605" width="9.85333333333333" style="122" customWidth="1"/>
    <col min="14606" max="14606" width="2" style="122" customWidth="1"/>
    <col min="14607" max="14607" width="14.8533333333333" style="122" customWidth="1"/>
    <col min="14608" max="14849" width="9.14" style="122"/>
    <col min="14850" max="14850" width="1.42666666666667" style="122" customWidth="1"/>
    <col min="14851" max="14851" width="14.8533333333333" style="122" customWidth="1"/>
    <col min="14852" max="14852" width="1.85333333333333" style="122" customWidth="1"/>
    <col min="14853" max="14853" width="9.14" style="122"/>
    <col min="14854" max="14854" width="1.57333333333333" style="122" customWidth="1"/>
    <col min="14855" max="14855" width="14.8533333333333" style="122" customWidth="1"/>
    <col min="14856" max="14856" width="2.42666666666667" style="122" customWidth="1"/>
    <col min="14857" max="14857" width="9.85333333333333" style="122" customWidth="1"/>
    <col min="14858" max="14858" width="2" style="122" customWidth="1"/>
    <col min="14859" max="14859" width="14.8533333333333" style="122" customWidth="1"/>
    <col min="14860" max="14860" width="2.42666666666667" style="122" customWidth="1"/>
    <col min="14861" max="14861" width="9.85333333333333" style="122" customWidth="1"/>
    <col min="14862" max="14862" width="2" style="122" customWidth="1"/>
    <col min="14863" max="14863" width="14.8533333333333" style="122" customWidth="1"/>
    <col min="14864" max="15105" width="9.14" style="122"/>
    <col min="15106" max="15106" width="1.42666666666667" style="122" customWidth="1"/>
    <col min="15107" max="15107" width="14.8533333333333" style="122" customWidth="1"/>
    <col min="15108" max="15108" width="1.85333333333333" style="122" customWidth="1"/>
    <col min="15109" max="15109" width="9.14" style="122"/>
    <col min="15110" max="15110" width="1.57333333333333" style="122" customWidth="1"/>
    <col min="15111" max="15111" width="14.8533333333333" style="122" customWidth="1"/>
    <col min="15112" max="15112" width="2.42666666666667" style="122" customWidth="1"/>
    <col min="15113" max="15113" width="9.85333333333333" style="122" customWidth="1"/>
    <col min="15114" max="15114" width="2" style="122" customWidth="1"/>
    <col min="15115" max="15115" width="14.8533333333333" style="122" customWidth="1"/>
    <col min="15116" max="15116" width="2.42666666666667" style="122" customWidth="1"/>
    <col min="15117" max="15117" width="9.85333333333333" style="122" customWidth="1"/>
    <col min="15118" max="15118" width="2" style="122" customWidth="1"/>
    <col min="15119" max="15119" width="14.8533333333333" style="122" customWidth="1"/>
    <col min="15120" max="15361" width="9.14" style="122"/>
    <col min="15362" max="15362" width="1.42666666666667" style="122" customWidth="1"/>
    <col min="15363" max="15363" width="14.8533333333333" style="122" customWidth="1"/>
    <col min="15364" max="15364" width="1.85333333333333" style="122" customWidth="1"/>
    <col min="15365" max="15365" width="9.14" style="122"/>
    <col min="15366" max="15366" width="1.57333333333333" style="122" customWidth="1"/>
    <col min="15367" max="15367" width="14.8533333333333" style="122" customWidth="1"/>
    <col min="15368" max="15368" width="2.42666666666667" style="122" customWidth="1"/>
    <col min="15369" max="15369" width="9.85333333333333" style="122" customWidth="1"/>
    <col min="15370" max="15370" width="2" style="122" customWidth="1"/>
    <col min="15371" max="15371" width="14.8533333333333" style="122" customWidth="1"/>
    <col min="15372" max="15372" width="2.42666666666667" style="122" customWidth="1"/>
    <col min="15373" max="15373" width="9.85333333333333" style="122" customWidth="1"/>
    <col min="15374" max="15374" width="2" style="122" customWidth="1"/>
    <col min="15375" max="15375" width="14.8533333333333" style="122" customWidth="1"/>
    <col min="15376" max="15617" width="9.14" style="122"/>
    <col min="15618" max="15618" width="1.42666666666667" style="122" customWidth="1"/>
    <col min="15619" max="15619" width="14.8533333333333" style="122" customWidth="1"/>
    <col min="15620" max="15620" width="1.85333333333333" style="122" customWidth="1"/>
    <col min="15621" max="15621" width="9.14" style="122"/>
    <col min="15622" max="15622" width="1.57333333333333" style="122" customWidth="1"/>
    <col min="15623" max="15623" width="14.8533333333333" style="122" customWidth="1"/>
    <col min="15624" max="15624" width="2.42666666666667" style="122" customWidth="1"/>
    <col min="15625" max="15625" width="9.85333333333333" style="122" customWidth="1"/>
    <col min="15626" max="15626" width="2" style="122" customWidth="1"/>
    <col min="15627" max="15627" width="14.8533333333333" style="122" customWidth="1"/>
    <col min="15628" max="15628" width="2.42666666666667" style="122" customWidth="1"/>
    <col min="15629" max="15629" width="9.85333333333333" style="122" customWidth="1"/>
    <col min="15630" max="15630" width="2" style="122" customWidth="1"/>
    <col min="15631" max="15631" width="14.8533333333333" style="122" customWidth="1"/>
    <col min="15632" max="15873" width="9.14" style="122"/>
    <col min="15874" max="15874" width="1.42666666666667" style="122" customWidth="1"/>
    <col min="15875" max="15875" width="14.8533333333333" style="122" customWidth="1"/>
    <col min="15876" max="15876" width="1.85333333333333" style="122" customWidth="1"/>
    <col min="15877" max="15877" width="9.14" style="122"/>
    <col min="15878" max="15878" width="1.57333333333333" style="122" customWidth="1"/>
    <col min="15879" max="15879" width="14.8533333333333" style="122" customWidth="1"/>
    <col min="15880" max="15880" width="2.42666666666667" style="122" customWidth="1"/>
    <col min="15881" max="15881" width="9.85333333333333" style="122" customWidth="1"/>
    <col min="15882" max="15882" width="2" style="122" customWidth="1"/>
    <col min="15883" max="15883" width="14.8533333333333" style="122" customWidth="1"/>
    <col min="15884" max="15884" width="2.42666666666667" style="122" customWidth="1"/>
    <col min="15885" max="15885" width="9.85333333333333" style="122" customWidth="1"/>
    <col min="15886" max="15886" width="2" style="122" customWidth="1"/>
    <col min="15887" max="15887" width="14.8533333333333" style="122" customWidth="1"/>
    <col min="15888" max="16129" width="9.14" style="122"/>
    <col min="16130" max="16130" width="1.42666666666667" style="122" customWidth="1"/>
    <col min="16131" max="16131" width="14.8533333333333" style="122" customWidth="1"/>
    <col min="16132" max="16132" width="1.85333333333333" style="122" customWidth="1"/>
    <col min="16133" max="16133" width="9.14" style="122"/>
    <col min="16134" max="16134" width="1.57333333333333" style="122" customWidth="1"/>
    <col min="16135" max="16135" width="14.8533333333333" style="122" customWidth="1"/>
    <col min="16136" max="16136" width="2.42666666666667" style="122" customWidth="1"/>
    <col min="16137" max="16137" width="9.85333333333333" style="122" customWidth="1"/>
    <col min="16138" max="16138" width="2" style="122" customWidth="1"/>
    <col min="16139" max="16139" width="14.8533333333333" style="122" customWidth="1"/>
    <col min="16140" max="16140" width="2.42666666666667" style="122" customWidth="1"/>
    <col min="16141" max="16141" width="9.85333333333333" style="122" customWidth="1"/>
    <col min="16142" max="16142" width="2" style="122" customWidth="1"/>
    <col min="16143" max="16143" width="14.8533333333333" style="122" customWidth="1"/>
    <col min="16144" max="16384" width="9.14" style="122"/>
  </cols>
  <sheetData>
    <row r="1" s="120" customFormat="1" ht="30" spans="1:15">
      <c r="A1" s="140" t="str">
        <f t="array" ref="A1">'Label FG'!F3:F3</f>
        <v>226</v>
      </c>
      <c r="B1" s="124" t="s">
        <v>0</v>
      </c>
      <c r="C1" s="125"/>
      <c r="E1" s="140" t="str">
        <f>$A$1</f>
        <v>226</v>
      </c>
      <c r="F1" s="124" t="s">
        <v>0</v>
      </c>
      <c r="G1" s="125"/>
      <c r="I1" s="140" t="str">
        <f>$A$1</f>
        <v>226</v>
      </c>
      <c r="J1" s="124" t="s">
        <v>0</v>
      </c>
      <c r="K1" s="125"/>
      <c r="M1" s="140" t="str">
        <f>$A$1</f>
        <v>226</v>
      </c>
      <c r="N1" s="124" t="s">
        <v>0</v>
      </c>
      <c r="O1" s="125"/>
    </row>
    <row r="2" spans="1:15">
      <c r="A2" s="126" t="s">
        <v>1</v>
      </c>
      <c r="B2" s="122" t="s">
        <v>2</v>
      </c>
      <c r="C2" s="127">
        <f>VLOOKUP(A1,'List Part'!$A$5:$C$374,2,0)</f>
        <v>955985</v>
      </c>
      <c r="E2" s="126" t="s">
        <v>1</v>
      </c>
      <c r="F2" s="122" t="s">
        <v>2</v>
      </c>
      <c r="G2" s="127">
        <f>$C$2</f>
        <v>955985</v>
      </c>
      <c r="I2" s="126" t="s">
        <v>1</v>
      </c>
      <c r="J2" s="122" t="s">
        <v>2</v>
      </c>
      <c r="K2" s="127">
        <f>$C$2</f>
        <v>955985</v>
      </c>
      <c r="M2" s="126" t="s">
        <v>1</v>
      </c>
      <c r="N2" s="122" t="s">
        <v>2</v>
      </c>
      <c r="O2" s="127">
        <f>$C$2</f>
        <v>955985</v>
      </c>
    </row>
    <row r="3" spans="1:15">
      <c r="A3" s="126" t="s">
        <v>3</v>
      </c>
      <c r="B3" s="122" t="s">
        <v>2</v>
      </c>
      <c r="C3" s="128" t="str">
        <f>VLOOKUP(A1,'List Part'!$A$5:$C$374,3,0)</f>
        <v>DIN CONNECTOR FITTING</v>
      </c>
      <c r="E3" s="135" t="s">
        <v>3</v>
      </c>
      <c r="F3" s="122" t="s">
        <v>2</v>
      </c>
      <c r="G3" s="136" t="str">
        <f>$C$3</f>
        <v>DIN CONNECTOR FITTING</v>
      </c>
      <c r="I3" s="135" t="s">
        <v>3</v>
      </c>
      <c r="J3" s="122" t="s">
        <v>2</v>
      </c>
      <c r="K3" s="136" t="str">
        <f>$C$3</f>
        <v>DIN CONNECTOR FITTING</v>
      </c>
      <c r="M3" s="135" t="s">
        <v>3</v>
      </c>
      <c r="N3" s="122" t="s">
        <v>2</v>
      </c>
      <c r="O3" s="136" t="str">
        <f>$C$3</f>
        <v>DIN CONNECTOR FITTING</v>
      </c>
    </row>
    <row r="4" spans="1:15">
      <c r="A4" s="126" t="s">
        <v>4</v>
      </c>
      <c r="B4" s="122" t="s">
        <v>2</v>
      </c>
      <c r="C4" s="129">
        <f>VLOOKUP(A1,'List Part'!$A$5:$P$374,15,0)</f>
        <v>200</v>
      </c>
      <c r="E4" s="135" t="s">
        <v>4</v>
      </c>
      <c r="F4" s="122" t="s">
        <v>2</v>
      </c>
      <c r="G4" s="137">
        <f>$C$4</f>
        <v>200</v>
      </c>
      <c r="I4" s="135" t="s">
        <v>4</v>
      </c>
      <c r="J4" s="122" t="s">
        <v>2</v>
      </c>
      <c r="K4" s="137">
        <f>$C$4</f>
        <v>200</v>
      </c>
      <c r="M4" s="135" t="s">
        <v>4</v>
      </c>
      <c r="N4" s="122" t="s">
        <v>2</v>
      </c>
      <c r="O4" s="137">
        <f>$C$4</f>
        <v>200</v>
      </c>
    </row>
    <row r="5" spans="1:15">
      <c r="A5" s="126" t="s">
        <v>5</v>
      </c>
      <c r="B5" s="122" t="s">
        <v>2</v>
      </c>
      <c r="C5" s="130" t="s">
        <v>6</v>
      </c>
      <c r="E5" s="135" t="s">
        <v>5</v>
      </c>
      <c r="F5" s="122" t="s">
        <v>2</v>
      </c>
      <c r="G5" s="130" t="s">
        <v>6</v>
      </c>
      <c r="I5" s="135" t="s">
        <v>5</v>
      </c>
      <c r="J5" s="122" t="s">
        <v>2</v>
      </c>
      <c r="K5" s="130" t="s">
        <v>6</v>
      </c>
      <c r="M5" s="135" t="s">
        <v>5</v>
      </c>
      <c r="N5" s="122" t="s">
        <v>2</v>
      </c>
      <c r="O5" s="130" t="s">
        <v>6</v>
      </c>
    </row>
    <row r="6" spans="1:15">
      <c r="A6" s="126" t="s">
        <v>7</v>
      </c>
      <c r="B6" s="122" t="s">
        <v>2</v>
      </c>
      <c r="C6" s="131">
        <f>VLOOKUP(A1,'List Part'!$A$5:$P$374,6,0)</f>
        <v>0</v>
      </c>
      <c r="E6" s="126" t="s">
        <v>7</v>
      </c>
      <c r="F6" s="122" t="s">
        <v>2</v>
      </c>
      <c r="G6" s="138">
        <f>$C$6</f>
        <v>0</v>
      </c>
      <c r="I6" s="126" t="s">
        <v>7</v>
      </c>
      <c r="J6" s="122" t="s">
        <v>2</v>
      </c>
      <c r="K6" s="138">
        <f>$C$6</f>
        <v>0</v>
      </c>
      <c r="M6" s="126" t="s">
        <v>7</v>
      </c>
      <c r="N6" s="122" t="s">
        <v>2</v>
      </c>
      <c r="O6" s="138">
        <f>$C$6</f>
        <v>0</v>
      </c>
    </row>
    <row r="7" spans="1:15">
      <c r="A7" s="132" t="s">
        <v>8</v>
      </c>
      <c r="B7" s="133" t="s">
        <v>2</v>
      </c>
      <c r="C7" s="134" t="s">
        <v>9</v>
      </c>
      <c r="E7" s="139" t="s">
        <v>8</v>
      </c>
      <c r="F7" s="133" t="s">
        <v>2</v>
      </c>
      <c r="G7" s="134" t="str">
        <f>C7</f>
        <v>IN 06 04</v>
      </c>
      <c r="I7" s="139" t="s">
        <v>8</v>
      </c>
      <c r="J7" s="133" t="s">
        <v>2</v>
      </c>
      <c r="K7" s="134" t="str">
        <f>G7</f>
        <v>IN 06 04</v>
      </c>
      <c r="M7" s="139" t="s">
        <v>8</v>
      </c>
      <c r="N7" s="133" t="s">
        <v>2</v>
      </c>
      <c r="O7" s="134" t="str">
        <f>K7</f>
        <v>IN 06 04</v>
      </c>
    </row>
    <row r="8" ht="12.95" customHeight="1" spans="3:3">
      <c r="C8" s="121"/>
    </row>
    <row r="9" s="120" customFormat="1" ht="30" spans="1:15">
      <c r="A9" s="140" t="str">
        <f>$A$1</f>
        <v>226</v>
      </c>
      <c r="B9" s="124" t="s">
        <v>0</v>
      </c>
      <c r="C9" s="125"/>
      <c r="E9" s="140" t="str">
        <f>$A$1</f>
        <v>226</v>
      </c>
      <c r="F9" s="124" t="s">
        <v>0</v>
      </c>
      <c r="G9" s="125"/>
      <c r="I9" s="140" t="str">
        <f>$A$1</f>
        <v>226</v>
      </c>
      <c r="J9" s="124" t="s">
        <v>0</v>
      </c>
      <c r="K9" s="125"/>
      <c r="M9" s="140" t="str">
        <f>$A$1</f>
        <v>226</v>
      </c>
      <c r="N9" s="124" t="s">
        <v>0</v>
      </c>
      <c r="O9" s="125"/>
    </row>
    <row r="10" spans="1:15">
      <c r="A10" s="126" t="s">
        <v>1</v>
      </c>
      <c r="B10" s="122" t="s">
        <v>2</v>
      </c>
      <c r="C10" s="127">
        <f>$C$2</f>
        <v>955985</v>
      </c>
      <c r="E10" s="126" t="s">
        <v>1</v>
      </c>
      <c r="F10" s="122" t="s">
        <v>2</v>
      </c>
      <c r="G10" s="127">
        <f>$C$2</f>
        <v>955985</v>
      </c>
      <c r="I10" s="126" t="s">
        <v>1</v>
      </c>
      <c r="J10" s="122" t="s">
        <v>2</v>
      </c>
      <c r="K10" s="127">
        <f>$C$2</f>
        <v>955985</v>
      </c>
      <c r="M10" s="126" t="s">
        <v>1</v>
      </c>
      <c r="N10" s="122" t="s">
        <v>2</v>
      </c>
      <c r="O10" s="127">
        <f>$C$2</f>
        <v>955985</v>
      </c>
    </row>
    <row r="11" spans="1:15">
      <c r="A11" s="135" t="s">
        <v>3</v>
      </c>
      <c r="B11" s="122" t="s">
        <v>2</v>
      </c>
      <c r="C11" s="136" t="str">
        <f>$C$3</f>
        <v>DIN CONNECTOR FITTING</v>
      </c>
      <c r="E11" s="135" t="s">
        <v>3</v>
      </c>
      <c r="F11" s="122" t="s">
        <v>2</v>
      </c>
      <c r="G11" s="136" t="str">
        <f>$C$3</f>
        <v>DIN CONNECTOR FITTING</v>
      </c>
      <c r="I11" s="135" t="s">
        <v>3</v>
      </c>
      <c r="J11" s="122" t="s">
        <v>2</v>
      </c>
      <c r="K11" s="136" t="str">
        <f>$C$3</f>
        <v>DIN CONNECTOR FITTING</v>
      </c>
      <c r="M11" s="135" t="s">
        <v>3</v>
      </c>
      <c r="N11" s="122" t="s">
        <v>2</v>
      </c>
      <c r="O11" s="136" t="str">
        <f>$C$3</f>
        <v>DIN CONNECTOR FITTING</v>
      </c>
    </row>
    <row r="12" spans="1:15">
      <c r="A12" s="135" t="s">
        <v>4</v>
      </c>
      <c r="B12" s="122" t="s">
        <v>2</v>
      </c>
      <c r="C12" s="137">
        <f>$C$4</f>
        <v>200</v>
      </c>
      <c r="E12" s="135" t="s">
        <v>4</v>
      </c>
      <c r="F12" s="122" t="s">
        <v>2</v>
      </c>
      <c r="G12" s="137">
        <f>$C$4</f>
        <v>200</v>
      </c>
      <c r="I12" s="135" t="s">
        <v>4</v>
      </c>
      <c r="J12" s="122" t="s">
        <v>2</v>
      </c>
      <c r="K12" s="137">
        <f>$C$4</f>
        <v>200</v>
      </c>
      <c r="M12" s="135" t="s">
        <v>4</v>
      </c>
      <c r="N12" s="122" t="s">
        <v>2</v>
      </c>
      <c r="O12" s="137">
        <f>$C$4</f>
        <v>200</v>
      </c>
    </row>
    <row r="13" spans="1:15">
      <c r="A13" s="135" t="s">
        <v>5</v>
      </c>
      <c r="B13" s="122" t="s">
        <v>2</v>
      </c>
      <c r="C13" s="130" t="s">
        <v>6</v>
      </c>
      <c r="E13" s="135" t="s">
        <v>5</v>
      </c>
      <c r="F13" s="122" t="s">
        <v>2</v>
      </c>
      <c r="G13" s="130" t="s">
        <v>6</v>
      </c>
      <c r="I13" s="135" t="s">
        <v>5</v>
      </c>
      <c r="J13" s="122" t="s">
        <v>2</v>
      </c>
      <c r="K13" s="130" t="s">
        <v>6</v>
      </c>
      <c r="M13" s="135" t="s">
        <v>5</v>
      </c>
      <c r="N13" s="122" t="s">
        <v>2</v>
      </c>
      <c r="O13" s="130" t="s">
        <v>6</v>
      </c>
    </row>
    <row r="14" spans="1:15">
      <c r="A14" s="126" t="s">
        <v>7</v>
      </c>
      <c r="B14" s="122" t="s">
        <v>2</v>
      </c>
      <c r="C14" s="138">
        <f>$C$6</f>
        <v>0</v>
      </c>
      <c r="E14" s="126" t="s">
        <v>7</v>
      </c>
      <c r="F14" s="122" t="s">
        <v>2</v>
      </c>
      <c r="G14" s="138">
        <f>$C$6</f>
        <v>0</v>
      </c>
      <c r="I14" s="126" t="s">
        <v>7</v>
      </c>
      <c r="J14" s="122" t="s">
        <v>2</v>
      </c>
      <c r="K14" s="138">
        <f>$C$6</f>
        <v>0</v>
      </c>
      <c r="M14" s="126" t="s">
        <v>7</v>
      </c>
      <c r="N14" s="122" t="s">
        <v>2</v>
      </c>
      <c r="O14" s="138">
        <f>$C$6</f>
        <v>0</v>
      </c>
    </row>
    <row r="15" spans="1:15">
      <c r="A15" s="139" t="s">
        <v>8</v>
      </c>
      <c r="B15" s="133" t="s">
        <v>2</v>
      </c>
      <c r="C15" s="134" t="str">
        <f>C7</f>
        <v>IN 06 04</v>
      </c>
      <c r="E15" s="139" t="s">
        <v>8</v>
      </c>
      <c r="F15" s="133" t="s">
        <v>2</v>
      </c>
      <c r="G15" s="134" t="str">
        <f>C15</f>
        <v>IN 06 04</v>
      </c>
      <c r="I15" s="139" t="s">
        <v>8</v>
      </c>
      <c r="J15" s="133" t="s">
        <v>2</v>
      </c>
      <c r="K15" s="134" t="str">
        <f>G15</f>
        <v>IN 06 04</v>
      </c>
      <c r="M15" s="139" t="s">
        <v>8</v>
      </c>
      <c r="N15" s="133" t="s">
        <v>2</v>
      </c>
      <c r="O15" s="134" t="str">
        <f>K15</f>
        <v>IN 06 04</v>
      </c>
    </row>
    <row r="16" ht="12.95" customHeight="1"/>
    <row r="17" s="120" customFormat="1" ht="30" spans="1:15">
      <c r="A17" s="140" t="str">
        <f>$A$1</f>
        <v>226</v>
      </c>
      <c r="B17" s="124" t="s">
        <v>0</v>
      </c>
      <c r="C17" s="125"/>
      <c r="E17" s="140" t="str">
        <f>$A$1</f>
        <v>226</v>
      </c>
      <c r="F17" s="124" t="s">
        <v>0</v>
      </c>
      <c r="G17" s="125"/>
      <c r="I17" s="140" t="str">
        <f>$A$1</f>
        <v>226</v>
      </c>
      <c r="J17" s="124" t="s">
        <v>0</v>
      </c>
      <c r="K17" s="125"/>
      <c r="M17" s="140" t="str">
        <f>$A$1</f>
        <v>226</v>
      </c>
      <c r="N17" s="124" t="s">
        <v>0</v>
      </c>
      <c r="O17" s="125"/>
    </row>
    <row r="18" spans="1:15">
      <c r="A18" s="126" t="s">
        <v>1</v>
      </c>
      <c r="B18" s="122" t="s">
        <v>2</v>
      </c>
      <c r="C18" s="127">
        <f>$C$2</f>
        <v>955985</v>
      </c>
      <c r="E18" s="126" t="s">
        <v>1</v>
      </c>
      <c r="F18" s="122" t="s">
        <v>2</v>
      </c>
      <c r="G18" s="127">
        <f>$C$2</f>
        <v>955985</v>
      </c>
      <c r="I18" s="126" t="s">
        <v>1</v>
      </c>
      <c r="J18" s="122" t="s">
        <v>2</v>
      </c>
      <c r="K18" s="127">
        <f>$C$2</f>
        <v>955985</v>
      </c>
      <c r="M18" s="126" t="s">
        <v>1</v>
      </c>
      <c r="N18" s="122" t="s">
        <v>2</v>
      </c>
      <c r="O18" s="127">
        <f>$C$2</f>
        <v>955985</v>
      </c>
    </row>
    <row r="19" spans="1:15">
      <c r="A19" s="135" t="s">
        <v>3</v>
      </c>
      <c r="B19" s="122" t="s">
        <v>2</v>
      </c>
      <c r="C19" s="136" t="str">
        <f>$C$3</f>
        <v>DIN CONNECTOR FITTING</v>
      </c>
      <c r="E19" s="135" t="s">
        <v>3</v>
      </c>
      <c r="F19" s="122" t="s">
        <v>2</v>
      </c>
      <c r="G19" s="136" t="str">
        <f>$C$3</f>
        <v>DIN CONNECTOR FITTING</v>
      </c>
      <c r="I19" s="135" t="s">
        <v>3</v>
      </c>
      <c r="J19" s="122" t="s">
        <v>2</v>
      </c>
      <c r="K19" s="136" t="str">
        <f>$C$3</f>
        <v>DIN CONNECTOR FITTING</v>
      </c>
      <c r="M19" s="135" t="s">
        <v>3</v>
      </c>
      <c r="N19" s="122" t="s">
        <v>2</v>
      </c>
      <c r="O19" s="136" t="str">
        <f>$C$3</f>
        <v>DIN CONNECTOR FITTING</v>
      </c>
    </row>
    <row r="20" spans="1:15">
      <c r="A20" s="135" t="s">
        <v>4</v>
      </c>
      <c r="B20" s="122" t="s">
        <v>2</v>
      </c>
      <c r="C20" s="137">
        <f>$C$4</f>
        <v>200</v>
      </c>
      <c r="E20" s="135" t="s">
        <v>4</v>
      </c>
      <c r="F20" s="122" t="s">
        <v>2</v>
      </c>
      <c r="G20" s="137">
        <f>$C$4</f>
        <v>200</v>
      </c>
      <c r="I20" s="135" t="s">
        <v>4</v>
      </c>
      <c r="J20" s="122" t="s">
        <v>2</v>
      </c>
      <c r="K20" s="137">
        <f>$C$4</f>
        <v>200</v>
      </c>
      <c r="M20" s="135" t="s">
        <v>4</v>
      </c>
      <c r="N20" s="122" t="s">
        <v>2</v>
      </c>
      <c r="O20" s="137">
        <f>$C$4</f>
        <v>200</v>
      </c>
    </row>
    <row r="21" spans="1:15">
      <c r="A21" s="135" t="s">
        <v>5</v>
      </c>
      <c r="B21" s="122" t="s">
        <v>2</v>
      </c>
      <c r="C21" s="130" t="s">
        <v>6</v>
      </c>
      <c r="E21" s="135" t="s">
        <v>5</v>
      </c>
      <c r="F21" s="122" t="s">
        <v>2</v>
      </c>
      <c r="G21" s="130" t="s">
        <v>6</v>
      </c>
      <c r="I21" s="135" t="s">
        <v>5</v>
      </c>
      <c r="J21" s="122" t="s">
        <v>2</v>
      </c>
      <c r="K21" s="130" t="s">
        <v>6</v>
      </c>
      <c r="M21" s="135" t="s">
        <v>5</v>
      </c>
      <c r="N21" s="122" t="s">
        <v>2</v>
      </c>
      <c r="O21" s="130" t="s">
        <v>6</v>
      </c>
    </row>
    <row r="22" spans="1:15">
      <c r="A22" s="126" t="s">
        <v>7</v>
      </c>
      <c r="B22" s="122" t="s">
        <v>2</v>
      </c>
      <c r="C22" s="138">
        <f>$C$6</f>
        <v>0</v>
      </c>
      <c r="E22" s="126" t="s">
        <v>7</v>
      </c>
      <c r="F22" s="122" t="s">
        <v>2</v>
      </c>
      <c r="G22" s="138">
        <f>$C$6</f>
        <v>0</v>
      </c>
      <c r="I22" s="126" t="s">
        <v>7</v>
      </c>
      <c r="J22" s="122" t="s">
        <v>2</v>
      </c>
      <c r="K22" s="138">
        <f>$C$6</f>
        <v>0</v>
      </c>
      <c r="M22" s="126" t="s">
        <v>7</v>
      </c>
      <c r="N22" s="122" t="s">
        <v>2</v>
      </c>
      <c r="O22" s="138">
        <f>$C$6</f>
        <v>0</v>
      </c>
    </row>
    <row r="23" spans="1:15">
      <c r="A23" s="139" t="s">
        <v>8</v>
      </c>
      <c r="B23" s="133" t="s">
        <v>2</v>
      </c>
      <c r="C23" s="134" t="str">
        <f>C15</f>
        <v>IN 06 04</v>
      </c>
      <c r="E23" s="139" t="s">
        <v>8</v>
      </c>
      <c r="F23" s="133" t="s">
        <v>2</v>
      </c>
      <c r="G23" s="134" t="str">
        <f>C23</f>
        <v>IN 06 04</v>
      </c>
      <c r="I23" s="139" t="s">
        <v>8</v>
      </c>
      <c r="J23" s="133" t="s">
        <v>2</v>
      </c>
      <c r="K23" s="134" t="str">
        <f>G23</f>
        <v>IN 06 04</v>
      </c>
      <c r="M23" s="139" t="s">
        <v>8</v>
      </c>
      <c r="N23" s="133" t="s">
        <v>2</v>
      </c>
      <c r="O23" s="134" t="str">
        <f>K23</f>
        <v>IN 06 04</v>
      </c>
    </row>
    <row r="24" ht="12.95" customHeight="1"/>
    <row r="25" s="120" customFormat="1" ht="30" spans="1:15">
      <c r="A25" s="140" t="str">
        <f>$A$1</f>
        <v>226</v>
      </c>
      <c r="B25" s="124" t="s">
        <v>0</v>
      </c>
      <c r="C25" s="125"/>
      <c r="E25" s="140" t="str">
        <f>$A$1</f>
        <v>226</v>
      </c>
      <c r="F25" s="124" t="s">
        <v>0</v>
      </c>
      <c r="G25" s="125"/>
      <c r="I25" s="140" t="str">
        <f>$A$1</f>
        <v>226</v>
      </c>
      <c r="J25" s="124" t="s">
        <v>0</v>
      </c>
      <c r="K25" s="125"/>
      <c r="M25" s="140" t="str">
        <f>$A$1</f>
        <v>226</v>
      </c>
      <c r="N25" s="124" t="s">
        <v>0</v>
      </c>
      <c r="O25" s="125"/>
    </row>
    <row r="26" spans="1:15">
      <c r="A26" s="126" t="s">
        <v>1</v>
      </c>
      <c r="B26" s="122" t="s">
        <v>2</v>
      </c>
      <c r="C26" s="127">
        <f>$C$2</f>
        <v>955985</v>
      </c>
      <c r="E26" s="126" t="s">
        <v>1</v>
      </c>
      <c r="F26" s="122" t="s">
        <v>2</v>
      </c>
      <c r="G26" s="127">
        <f>$C$2</f>
        <v>955985</v>
      </c>
      <c r="I26" s="126" t="s">
        <v>1</v>
      </c>
      <c r="J26" s="122" t="s">
        <v>2</v>
      </c>
      <c r="K26" s="127">
        <f>$C$2</f>
        <v>955985</v>
      </c>
      <c r="M26" s="126" t="s">
        <v>1</v>
      </c>
      <c r="N26" s="122" t="s">
        <v>2</v>
      </c>
      <c r="O26" s="127">
        <f>$C$2</f>
        <v>955985</v>
      </c>
    </row>
    <row r="27" spans="1:15">
      <c r="A27" s="135" t="s">
        <v>3</v>
      </c>
      <c r="B27" s="122" t="s">
        <v>2</v>
      </c>
      <c r="C27" s="136" t="str">
        <f>$C$3</f>
        <v>DIN CONNECTOR FITTING</v>
      </c>
      <c r="E27" s="135" t="s">
        <v>3</v>
      </c>
      <c r="F27" s="122" t="s">
        <v>2</v>
      </c>
      <c r="G27" s="136" t="str">
        <f>$C$3</f>
        <v>DIN CONNECTOR FITTING</v>
      </c>
      <c r="I27" s="135" t="s">
        <v>3</v>
      </c>
      <c r="J27" s="122" t="s">
        <v>2</v>
      </c>
      <c r="K27" s="136" t="str">
        <f>$C$3</f>
        <v>DIN CONNECTOR FITTING</v>
      </c>
      <c r="M27" s="135" t="s">
        <v>3</v>
      </c>
      <c r="N27" s="122" t="s">
        <v>2</v>
      </c>
      <c r="O27" s="136" t="str">
        <f>$C$3</f>
        <v>DIN CONNECTOR FITTING</v>
      </c>
    </row>
    <row r="28" spans="1:15">
      <c r="A28" s="135" t="s">
        <v>4</v>
      </c>
      <c r="B28" s="122" t="s">
        <v>2</v>
      </c>
      <c r="C28" s="137">
        <f>$C$4</f>
        <v>200</v>
      </c>
      <c r="E28" s="135" t="s">
        <v>4</v>
      </c>
      <c r="F28" s="122" t="s">
        <v>2</v>
      </c>
      <c r="G28" s="137">
        <f>$C$4</f>
        <v>200</v>
      </c>
      <c r="I28" s="135" t="s">
        <v>4</v>
      </c>
      <c r="J28" s="122" t="s">
        <v>2</v>
      </c>
      <c r="K28" s="137">
        <f>$C$4</f>
        <v>200</v>
      </c>
      <c r="M28" s="135" t="s">
        <v>4</v>
      </c>
      <c r="N28" s="122" t="s">
        <v>2</v>
      </c>
      <c r="O28" s="137">
        <f>$C$4</f>
        <v>200</v>
      </c>
    </row>
    <row r="29" spans="1:15">
      <c r="A29" s="135" t="s">
        <v>5</v>
      </c>
      <c r="B29" s="122" t="s">
        <v>2</v>
      </c>
      <c r="C29" s="130" t="s">
        <v>6</v>
      </c>
      <c r="E29" s="135" t="s">
        <v>5</v>
      </c>
      <c r="F29" s="122" t="s">
        <v>2</v>
      </c>
      <c r="G29" s="130" t="s">
        <v>6</v>
      </c>
      <c r="I29" s="135" t="s">
        <v>5</v>
      </c>
      <c r="J29" s="122" t="s">
        <v>2</v>
      </c>
      <c r="K29" s="130" t="s">
        <v>6</v>
      </c>
      <c r="M29" s="135" t="s">
        <v>5</v>
      </c>
      <c r="N29" s="122" t="s">
        <v>2</v>
      </c>
      <c r="O29" s="130" t="s">
        <v>6</v>
      </c>
    </row>
    <row r="30" spans="1:15">
      <c r="A30" s="126" t="s">
        <v>7</v>
      </c>
      <c r="B30" s="122" t="s">
        <v>2</v>
      </c>
      <c r="C30" s="138">
        <f>$C$6</f>
        <v>0</v>
      </c>
      <c r="E30" s="126" t="s">
        <v>7</v>
      </c>
      <c r="F30" s="122" t="s">
        <v>2</v>
      </c>
      <c r="G30" s="138">
        <f>$C$6</f>
        <v>0</v>
      </c>
      <c r="I30" s="126" t="s">
        <v>7</v>
      </c>
      <c r="J30" s="122" t="s">
        <v>2</v>
      </c>
      <c r="K30" s="138">
        <f>$C$6</f>
        <v>0</v>
      </c>
      <c r="M30" s="126" t="s">
        <v>7</v>
      </c>
      <c r="N30" s="122" t="s">
        <v>2</v>
      </c>
      <c r="O30" s="138">
        <f>$C$6</f>
        <v>0</v>
      </c>
    </row>
    <row r="31" spans="1:15">
      <c r="A31" s="139" t="s">
        <v>8</v>
      </c>
      <c r="B31" s="133" t="s">
        <v>2</v>
      </c>
      <c r="C31" s="134" t="str">
        <f>C23</f>
        <v>IN 06 04</v>
      </c>
      <c r="E31" s="139" t="s">
        <v>8</v>
      </c>
      <c r="F31" s="133" t="s">
        <v>2</v>
      </c>
      <c r="G31" s="134" t="str">
        <f>C31</f>
        <v>IN 06 04</v>
      </c>
      <c r="I31" s="139" t="s">
        <v>8</v>
      </c>
      <c r="J31" s="133" t="s">
        <v>2</v>
      </c>
      <c r="K31" s="134" t="str">
        <f>G31</f>
        <v>IN 06 04</v>
      </c>
      <c r="M31" s="139" t="s">
        <v>8</v>
      </c>
      <c r="N31" s="133" t="s">
        <v>2</v>
      </c>
      <c r="O31" s="134" t="str">
        <f>K31</f>
        <v>IN 06 04</v>
      </c>
    </row>
    <row r="32" ht="12.95" customHeight="1"/>
    <row r="33" s="120" customFormat="1" ht="30" spans="1:15">
      <c r="A33" s="140" t="str">
        <f>$A$1</f>
        <v>226</v>
      </c>
      <c r="B33" s="124" t="s">
        <v>0</v>
      </c>
      <c r="C33" s="125"/>
      <c r="E33" s="140" t="str">
        <f>$A$1</f>
        <v>226</v>
      </c>
      <c r="F33" s="124" t="s">
        <v>0</v>
      </c>
      <c r="G33" s="125"/>
      <c r="I33" s="140" t="str">
        <f>$A$1</f>
        <v>226</v>
      </c>
      <c r="J33" s="124" t="s">
        <v>0</v>
      </c>
      <c r="K33" s="125"/>
      <c r="M33" s="140" t="str">
        <f>$A$1</f>
        <v>226</v>
      </c>
      <c r="N33" s="124" t="s">
        <v>0</v>
      </c>
      <c r="O33" s="125"/>
    </row>
    <row r="34" spans="1:15">
      <c r="A34" s="126" t="s">
        <v>1</v>
      </c>
      <c r="B34" s="122" t="s">
        <v>2</v>
      </c>
      <c r="C34" s="127">
        <f>$C$2</f>
        <v>955985</v>
      </c>
      <c r="E34" s="126" t="s">
        <v>1</v>
      </c>
      <c r="F34" s="122" t="s">
        <v>2</v>
      </c>
      <c r="G34" s="127">
        <f>$C$2</f>
        <v>955985</v>
      </c>
      <c r="I34" s="126" t="s">
        <v>1</v>
      </c>
      <c r="J34" s="122" t="s">
        <v>2</v>
      </c>
      <c r="K34" s="127">
        <f>$C$2</f>
        <v>955985</v>
      </c>
      <c r="M34" s="126" t="s">
        <v>1</v>
      </c>
      <c r="N34" s="122" t="s">
        <v>2</v>
      </c>
      <c r="O34" s="127">
        <f>$C$2</f>
        <v>955985</v>
      </c>
    </row>
    <row r="35" spans="1:15">
      <c r="A35" s="135" t="s">
        <v>3</v>
      </c>
      <c r="B35" s="122" t="s">
        <v>2</v>
      </c>
      <c r="C35" s="136" t="str">
        <f>$C$3</f>
        <v>DIN CONNECTOR FITTING</v>
      </c>
      <c r="E35" s="135" t="s">
        <v>3</v>
      </c>
      <c r="F35" s="122" t="s">
        <v>2</v>
      </c>
      <c r="G35" s="136" t="str">
        <f>$C$3</f>
        <v>DIN CONNECTOR FITTING</v>
      </c>
      <c r="I35" s="135" t="s">
        <v>3</v>
      </c>
      <c r="J35" s="122" t="s">
        <v>2</v>
      </c>
      <c r="K35" s="136" t="str">
        <f>$C$3</f>
        <v>DIN CONNECTOR FITTING</v>
      </c>
      <c r="M35" s="135" t="s">
        <v>3</v>
      </c>
      <c r="N35" s="122" t="s">
        <v>2</v>
      </c>
      <c r="O35" s="136" t="str">
        <f>$C$3</f>
        <v>DIN CONNECTOR FITTING</v>
      </c>
    </row>
    <row r="36" spans="1:15">
      <c r="A36" s="135" t="s">
        <v>4</v>
      </c>
      <c r="B36" s="122" t="s">
        <v>2</v>
      </c>
      <c r="C36" s="137">
        <f>$C$4</f>
        <v>200</v>
      </c>
      <c r="E36" s="135" t="s">
        <v>4</v>
      </c>
      <c r="F36" s="122" t="s">
        <v>2</v>
      </c>
      <c r="G36" s="137">
        <f>$C$4</f>
        <v>200</v>
      </c>
      <c r="I36" s="135" t="s">
        <v>4</v>
      </c>
      <c r="J36" s="122" t="s">
        <v>2</v>
      </c>
      <c r="K36" s="137">
        <f>$C$4</f>
        <v>200</v>
      </c>
      <c r="M36" s="135" t="s">
        <v>4</v>
      </c>
      <c r="N36" s="122" t="s">
        <v>2</v>
      </c>
      <c r="O36" s="137">
        <f>$C$4</f>
        <v>200</v>
      </c>
    </row>
    <row r="37" spans="1:15">
      <c r="A37" s="135" t="s">
        <v>5</v>
      </c>
      <c r="B37" s="122" t="s">
        <v>2</v>
      </c>
      <c r="C37" s="130" t="s">
        <v>6</v>
      </c>
      <c r="E37" s="135" t="s">
        <v>5</v>
      </c>
      <c r="F37" s="122" t="s">
        <v>2</v>
      </c>
      <c r="G37" s="130" t="s">
        <v>6</v>
      </c>
      <c r="I37" s="135" t="s">
        <v>5</v>
      </c>
      <c r="J37" s="122" t="s">
        <v>2</v>
      </c>
      <c r="K37" s="130" t="s">
        <v>6</v>
      </c>
      <c r="M37" s="135" t="s">
        <v>5</v>
      </c>
      <c r="N37" s="122" t="s">
        <v>2</v>
      </c>
      <c r="O37" s="130" t="s">
        <v>6</v>
      </c>
    </row>
    <row r="38" spans="1:15">
      <c r="A38" s="126" t="s">
        <v>7</v>
      </c>
      <c r="B38" s="122" t="s">
        <v>2</v>
      </c>
      <c r="C38" s="138">
        <f>$C$6</f>
        <v>0</v>
      </c>
      <c r="E38" s="126" t="s">
        <v>7</v>
      </c>
      <c r="F38" s="122" t="s">
        <v>2</v>
      </c>
      <c r="G38" s="138">
        <f>$C$6</f>
        <v>0</v>
      </c>
      <c r="I38" s="126" t="s">
        <v>7</v>
      </c>
      <c r="J38" s="122" t="s">
        <v>2</v>
      </c>
      <c r="K38" s="138">
        <f>$C$6</f>
        <v>0</v>
      </c>
      <c r="M38" s="126" t="s">
        <v>7</v>
      </c>
      <c r="N38" s="122" t="s">
        <v>2</v>
      </c>
      <c r="O38" s="138">
        <f>$C$6</f>
        <v>0</v>
      </c>
    </row>
    <row r="39" spans="1:15">
      <c r="A39" s="139" t="s">
        <v>8</v>
      </c>
      <c r="B39" s="133" t="s">
        <v>2</v>
      </c>
      <c r="C39" s="134" t="str">
        <f>C31</f>
        <v>IN 06 04</v>
      </c>
      <c r="E39" s="139" t="s">
        <v>8</v>
      </c>
      <c r="F39" s="133" t="s">
        <v>2</v>
      </c>
      <c r="G39" s="134" t="str">
        <f>C39</f>
        <v>IN 06 04</v>
      </c>
      <c r="I39" s="139" t="s">
        <v>8</v>
      </c>
      <c r="J39" s="133" t="s">
        <v>2</v>
      </c>
      <c r="K39" s="134" t="str">
        <f>G39</f>
        <v>IN 06 04</v>
      </c>
      <c r="M39" s="139" t="s">
        <v>8</v>
      </c>
      <c r="N39" s="133" t="s">
        <v>2</v>
      </c>
      <c r="O39" s="134" t="str">
        <f>K39</f>
        <v>IN 06 04</v>
      </c>
    </row>
    <row r="40" ht="12.95" customHeight="1"/>
    <row r="41" s="120" customFormat="1" ht="30" spans="1:15">
      <c r="A41" s="140" t="str">
        <f>$A$1</f>
        <v>226</v>
      </c>
      <c r="B41" s="124" t="s">
        <v>0</v>
      </c>
      <c r="C41" s="125"/>
      <c r="E41" s="140" t="str">
        <f>$A$1</f>
        <v>226</v>
      </c>
      <c r="F41" s="124" t="s">
        <v>0</v>
      </c>
      <c r="G41" s="125"/>
      <c r="I41" s="140" t="str">
        <f>$A$1</f>
        <v>226</v>
      </c>
      <c r="J41" s="124" t="s">
        <v>0</v>
      </c>
      <c r="K41" s="125"/>
      <c r="M41" s="140" t="str">
        <f>$A$1</f>
        <v>226</v>
      </c>
      <c r="N41" s="124" t="s">
        <v>0</v>
      </c>
      <c r="O41" s="125"/>
    </row>
    <row r="42" spans="1:15">
      <c r="A42" s="126" t="s">
        <v>1</v>
      </c>
      <c r="B42" s="122" t="s">
        <v>2</v>
      </c>
      <c r="C42" s="127">
        <f>$C$2</f>
        <v>955985</v>
      </c>
      <c r="E42" s="126" t="s">
        <v>1</v>
      </c>
      <c r="F42" s="122" t="s">
        <v>2</v>
      </c>
      <c r="G42" s="127">
        <f>$C$2</f>
        <v>955985</v>
      </c>
      <c r="I42" s="126" t="s">
        <v>1</v>
      </c>
      <c r="J42" s="122" t="s">
        <v>2</v>
      </c>
      <c r="K42" s="127">
        <f>$C$2</f>
        <v>955985</v>
      </c>
      <c r="M42" s="126" t="s">
        <v>1</v>
      </c>
      <c r="N42" s="122" t="s">
        <v>2</v>
      </c>
      <c r="O42" s="127">
        <f>$C$2</f>
        <v>955985</v>
      </c>
    </row>
    <row r="43" spans="1:15">
      <c r="A43" s="135" t="s">
        <v>3</v>
      </c>
      <c r="B43" s="122" t="s">
        <v>2</v>
      </c>
      <c r="C43" s="136" t="str">
        <f>$C$3</f>
        <v>DIN CONNECTOR FITTING</v>
      </c>
      <c r="E43" s="135" t="s">
        <v>3</v>
      </c>
      <c r="F43" s="122" t="s">
        <v>2</v>
      </c>
      <c r="G43" s="136" t="str">
        <f>$C$3</f>
        <v>DIN CONNECTOR FITTING</v>
      </c>
      <c r="I43" s="135" t="s">
        <v>3</v>
      </c>
      <c r="J43" s="122" t="s">
        <v>2</v>
      </c>
      <c r="K43" s="136" t="str">
        <f>$C$3</f>
        <v>DIN CONNECTOR FITTING</v>
      </c>
      <c r="M43" s="135" t="s">
        <v>3</v>
      </c>
      <c r="N43" s="122" t="s">
        <v>2</v>
      </c>
      <c r="O43" s="136" t="str">
        <f>$C$3</f>
        <v>DIN CONNECTOR FITTING</v>
      </c>
    </row>
    <row r="44" spans="1:15">
      <c r="A44" s="135" t="s">
        <v>4</v>
      </c>
      <c r="B44" s="122" t="s">
        <v>2</v>
      </c>
      <c r="C44" s="137">
        <f>$C$4</f>
        <v>200</v>
      </c>
      <c r="E44" s="135" t="s">
        <v>4</v>
      </c>
      <c r="F44" s="122" t="s">
        <v>2</v>
      </c>
      <c r="G44" s="137">
        <f>$C$4</f>
        <v>200</v>
      </c>
      <c r="I44" s="135" t="s">
        <v>4</v>
      </c>
      <c r="J44" s="122" t="s">
        <v>2</v>
      </c>
      <c r="K44" s="137">
        <f>$C$4</f>
        <v>200</v>
      </c>
      <c r="M44" s="135" t="s">
        <v>4</v>
      </c>
      <c r="N44" s="122" t="s">
        <v>2</v>
      </c>
      <c r="O44" s="137">
        <f>$C$4</f>
        <v>200</v>
      </c>
    </row>
    <row r="45" spans="1:15">
      <c r="A45" s="135" t="s">
        <v>5</v>
      </c>
      <c r="B45" s="122" t="s">
        <v>2</v>
      </c>
      <c r="C45" s="130" t="s">
        <v>6</v>
      </c>
      <c r="E45" s="135" t="s">
        <v>5</v>
      </c>
      <c r="F45" s="122" t="s">
        <v>2</v>
      </c>
      <c r="G45" s="130" t="s">
        <v>6</v>
      </c>
      <c r="I45" s="135" t="s">
        <v>5</v>
      </c>
      <c r="J45" s="122" t="s">
        <v>2</v>
      </c>
      <c r="K45" s="130" t="s">
        <v>6</v>
      </c>
      <c r="M45" s="135" t="s">
        <v>5</v>
      </c>
      <c r="N45" s="122" t="s">
        <v>2</v>
      </c>
      <c r="O45" s="130" t="s">
        <v>6</v>
      </c>
    </row>
    <row r="46" spans="1:15">
      <c r="A46" s="126" t="s">
        <v>7</v>
      </c>
      <c r="B46" s="122" t="s">
        <v>2</v>
      </c>
      <c r="C46" s="138">
        <f>$C$6</f>
        <v>0</v>
      </c>
      <c r="E46" s="126" t="s">
        <v>7</v>
      </c>
      <c r="F46" s="122" t="s">
        <v>2</v>
      </c>
      <c r="G46" s="138">
        <f>$C$6</f>
        <v>0</v>
      </c>
      <c r="I46" s="126" t="s">
        <v>7</v>
      </c>
      <c r="J46" s="122" t="s">
        <v>2</v>
      </c>
      <c r="K46" s="138">
        <f>$C$6</f>
        <v>0</v>
      </c>
      <c r="M46" s="126" t="s">
        <v>7</v>
      </c>
      <c r="N46" s="122" t="s">
        <v>2</v>
      </c>
      <c r="O46" s="138">
        <f>$C$6</f>
        <v>0</v>
      </c>
    </row>
    <row r="47" spans="1:15">
      <c r="A47" s="139" t="s">
        <v>8</v>
      </c>
      <c r="B47" s="133" t="s">
        <v>2</v>
      </c>
      <c r="C47" s="134" t="str">
        <f>C39</f>
        <v>IN 06 04</v>
      </c>
      <c r="E47" s="139" t="s">
        <v>8</v>
      </c>
      <c r="F47" s="133" t="s">
        <v>2</v>
      </c>
      <c r="G47" s="134" t="str">
        <f>C47</f>
        <v>IN 06 04</v>
      </c>
      <c r="I47" s="139" t="s">
        <v>8</v>
      </c>
      <c r="J47" s="133" t="s">
        <v>2</v>
      </c>
      <c r="K47" s="134" t="str">
        <f>G47</f>
        <v>IN 06 04</v>
      </c>
      <c r="M47" s="139" t="s">
        <v>8</v>
      </c>
      <c r="N47" s="133" t="s">
        <v>2</v>
      </c>
      <c r="O47" s="134" t="str">
        <f>K47</f>
        <v>IN 06 04</v>
      </c>
    </row>
    <row r="48" ht="12.95" customHeight="1"/>
    <row r="49" s="120" customFormat="1" ht="30" spans="1:15">
      <c r="A49" s="140" t="str">
        <f>$A$1</f>
        <v>226</v>
      </c>
      <c r="B49" s="124" t="s">
        <v>0</v>
      </c>
      <c r="C49" s="125"/>
      <c r="E49" s="140" t="str">
        <f>$A$1</f>
        <v>226</v>
      </c>
      <c r="F49" s="124" t="s">
        <v>0</v>
      </c>
      <c r="G49" s="125"/>
      <c r="I49" s="140" t="str">
        <f>$A$1</f>
        <v>226</v>
      </c>
      <c r="J49" s="124" t="s">
        <v>0</v>
      </c>
      <c r="K49" s="125"/>
      <c r="M49" s="140" t="str">
        <f>$A$1</f>
        <v>226</v>
      </c>
      <c r="N49" s="124" t="s">
        <v>0</v>
      </c>
      <c r="O49" s="125"/>
    </row>
    <row r="50" spans="1:15">
      <c r="A50" s="126" t="s">
        <v>1</v>
      </c>
      <c r="B50" s="122" t="s">
        <v>2</v>
      </c>
      <c r="C50" s="127">
        <f>$C$2</f>
        <v>955985</v>
      </c>
      <c r="E50" s="126" t="s">
        <v>1</v>
      </c>
      <c r="F50" s="122" t="s">
        <v>2</v>
      </c>
      <c r="G50" s="127">
        <f>$C$2</f>
        <v>955985</v>
      </c>
      <c r="I50" s="126" t="s">
        <v>1</v>
      </c>
      <c r="J50" s="122" t="s">
        <v>2</v>
      </c>
      <c r="K50" s="127">
        <f>$C$2</f>
        <v>955985</v>
      </c>
      <c r="M50" s="126" t="s">
        <v>1</v>
      </c>
      <c r="N50" s="122" t="s">
        <v>2</v>
      </c>
      <c r="O50" s="127">
        <f>$C$2</f>
        <v>955985</v>
      </c>
    </row>
    <row r="51" spans="1:15">
      <c r="A51" s="135" t="s">
        <v>3</v>
      </c>
      <c r="B51" s="122" t="s">
        <v>2</v>
      </c>
      <c r="C51" s="136" t="str">
        <f>$C$3</f>
        <v>DIN CONNECTOR FITTING</v>
      </c>
      <c r="E51" s="135" t="s">
        <v>3</v>
      </c>
      <c r="F51" s="122" t="s">
        <v>2</v>
      </c>
      <c r="G51" s="136" t="str">
        <f>$C$3</f>
        <v>DIN CONNECTOR FITTING</v>
      </c>
      <c r="I51" s="135" t="s">
        <v>3</v>
      </c>
      <c r="J51" s="122" t="s">
        <v>2</v>
      </c>
      <c r="K51" s="136" t="str">
        <f>$C$3</f>
        <v>DIN CONNECTOR FITTING</v>
      </c>
      <c r="M51" s="135" t="s">
        <v>3</v>
      </c>
      <c r="N51" s="122" t="s">
        <v>2</v>
      </c>
      <c r="O51" s="136" t="str">
        <f>$C$3</f>
        <v>DIN CONNECTOR FITTING</v>
      </c>
    </row>
    <row r="52" spans="1:15">
      <c r="A52" s="135" t="s">
        <v>4</v>
      </c>
      <c r="B52" s="122" t="s">
        <v>2</v>
      </c>
      <c r="C52" s="137">
        <f>$C$4</f>
        <v>200</v>
      </c>
      <c r="E52" s="135" t="s">
        <v>4</v>
      </c>
      <c r="F52" s="122" t="s">
        <v>2</v>
      </c>
      <c r="G52" s="137">
        <f>$C$4</f>
        <v>200</v>
      </c>
      <c r="I52" s="135" t="s">
        <v>4</v>
      </c>
      <c r="J52" s="122" t="s">
        <v>2</v>
      </c>
      <c r="K52" s="137">
        <f>$C$4</f>
        <v>200</v>
      </c>
      <c r="M52" s="135" t="s">
        <v>4</v>
      </c>
      <c r="N52" s="122" t="s">
        <v>2</v>
      </c>
      <c r="O52" s="137">
        <f>$C$4</f>
        <v>200</v>
      </c>
    </row>
    <row r="53" spans="1:15">
      <c r="A53" s="135" t="s">
        <v>5</v>
      </c>
      <c r="B53" s="122" t="s">
        <v>2</v>
      </c>
      <c r="C53" s="130" t="s">
        <v>6</v>
      </c>
      <c r="E53" s="135" t="s">
        <v>5</v>
      </c>
      <c r="F53" s="122" t="s">
        <v>2</v>
      </c>
      <c r="G53" s="130" t="s">
        <v>6</v>
      </c>
      <c r="I53" s="135" t="s">
        <v>5</v>
      </c>
      <c r="J53" s="122" t="s">
        <v>2</v>
      </c>
      <c r="K53" s="130" t="s">
        <v>6</v>
      </c>
      <c r="M53" s="135" t="s">
        <v>5</v>
      </c>
      <c r="N53" s="122" t="s">
        <v>2</v>
      </c>
      <c r="O53" s="130" t="s">
        <v>6</v>
      </c>
    </row>
    <row r="54" spans="1:15">
      <c r="A54" s="126" t="s">
        <v>7</v>
      </c>
      <c r="B54" s="122" t="s">
        <v>2</v>
      </c>
      <c r="C54" s="138">
        <f>$C$6</f>
        <v>0</v>
      </c>
      <c r="E54" s="126" t="s">
        <v>7</v>
      </c>
      <c r="F54" s="122" t="s">
        <v>2</v>
      </c>
      <c r="G54" s="138">
        <f>$C$6</f>
        <v>0</v>
      </c>
      <c r="I54" s="126" t="s">
        <v>7</v>
      </c>
      <c r="J54" s="122" t="s">
        <v>2</v>
      </c>
      <c r="K54" s="138">
        <f>$C$6</f>
        <v>0</v>
      </c>
      <c r="M54" s="126" t="s">
        <v>7</v>
      </c>
      <c r="N54" s="122" t="s">
        <v>2</v>
      </c>
      <c r="O54" s="138">
        <f>$C$6</f>
        <v>0</v>
      </c>
    </row>
    <row r="55" spans="1:15">
      <c r="A55" s="139" t="s">
        <v>8</v>
      </c>
      <c r="B55" s="133" t="s">
        <v>2</v>
      </c>
      <c r="C55" s="134" t="str">
        <f>C47</f>
        <v>IN 06 04</v>
      </c>
      <c r="E55" s="139" t="s">
        <v>8</v>
      </c>
      <c r="F55" s="133" t="s">
        <v>2</v>
      </c>
      <c r="G55" s="134" t="str">
        <f>C55</f>
        <v>IN 06 04</v>
      </c>
      <c r="I55" s="139" t="s">
        <v>8</v>
      </c>
      <c r="J55" s="133" t="s">
        <v>2</v>
      </c>
      <c r="K55" s="134" t="str">
        <f>G55</f>
        <v>IN 06 04</v>
      </c>
      <c r="M55" s="139" t="s">
        <v>8</v>
      </c>
      <c r="N55" s="133" t="s">
        <v>2</v>
      </c>
      <c r="O55" s="134" t="str">
        <f>K55</f>
        <v>IN 06 04</v>
      </c>
    </row>
    <row r="56" ht="12.95" customHeight="1"/>
    <row r="57" s="120" customFormat="1" ht="30" spans="1:15">
      <c r="A57" s="140" t="str">
        <f>$A$1</f>
        <v>226</v>
      </c>
      <c r="B57" s="124" t="s">
        <v>0</v>
      </c>
      <c r="C57" s="125"/>
      <c r="E57" s="140" t="str">
        <f>$A$1</f>
        <v>226</v>
      </c>
      <c r="F57" s="124" t="s">
        <v>0</v>
      </c>
      <c r="G57" s="125"/>
      <c r="I57" s="140" t="str">
        <f>$A$1</f>
        <v>226</v>
      </c>
      <c r="J57" s="124" t="s">
        <v>0</v>
      </c>
      <c r="K57" s="125"/>
      <c r="M57" s="140" t="str">
        <f>$A$1</f>
        <v>226</v>
      </c>
      <c r="N57" s="124" t="s">
        <v>0</v>
      </c>
      <c r="O57" s="125"/>
    </row>
    <row r="58" spans="1:15">
      <c r="A58" s="126" t="s">
        <v>1</v>
      </c>
      <c r="B58" s="122" t="s">
        <v>2</v>
      </c>
      <c r="C58" s="127">
        <f>$C$2</f>
        <v>955985</v>
      </c>
      <c r="E58" s="126" t="s">
        <v>1</v>
      </c>
      <c r="F58" s="122" t="s">
        <v>2</v>
      </c>
      <c r="G58" s="127">
        <f>$C$2</f>
        <v>955985</v>
      </c>
      <c r="I58" s="126" t="s">
        <v>1</v>
      </c>
      <c r="J58" s="122" t="s">
        <v>2</v>
      </c>
      <c r="K58" s="127">
        <f>$C$2</f>
        <v>955985</v>
      </c>
      <c r="M58" s="126" t="s">
        <v>1</v>
      </c>
      <c r="N58" s="122" t="s">
        <v>2</v>
      </c>
      <c r="O58" s="127">
        <f>$C$2</f>
        <v>955985</v>
      </c>
    </row>
    <row r="59" spans="1:15">
      <c r="A59" s="135" t="s">
        <v>3</v>
      </c>
      <c r="B59" s="122" t="s">
        <v>2</v>
      </c>
      <c r="C59" s="136" t="str">
        <f>$C$3</f>
        <v>DIN CONNECTOR FITTING</v>
      </c>
      <c r="E59" s="135" t="s">
        <v>3</v>
      </c>
      <c r="F59" s="122" t="s">
        <v>2</v>
      </c>
      <c r="G59" s="136" t="str">
        <f>$C$3</f>
        <v>DIN CONNECTOR FITTING</v>
      </c>
      <c r="I59" s="135" t="s">
        <v>3</v>
      </c>
      <c r="J59" s="122" t="s">
        <v>2</v>
      </c>
      <c r="K59" s="136" t="str">
        <f>$C$3</f>
        <v>DIN CONNECTOR FITTING</v>
      </c>
      <c r="M59" s="135" t="s">
        <v>3</v>
      </c>
      <c r="N59" s="122" t="s">
        <v>2</v>
      </c>
      <c r="O59" s="136" t="str">
        <f>$C$3</f>
        <v>DIN CONNECTOR FITTING</v>
      </c>
    </row>
    <row r="60" spans="1:15">
      <c r="A60" s="135" t="s">
        <v>4</v>
      </c>
      <c r="B60" s="122" t="s">
        <v>2</v>
      </c>
      <c r="C60" s="137">
        <f>$C$4</f>
        <v>200</v>
      </c>
      <c r="E60" s="135" t="s">
        <v>4</v>
      </c>
      <c r="F60" s="122" t="s">
        <v>2</v>
      </c>
      <c r="G60" s="137">
        <f>$C$4</f>
        <v>200</v>
      </c>
      <c r="I60" s="135" t="s">
        <v>4</v>
      </c>
      <c r="J60" s="122" t="s">
        <v>2</v>
      </c>
      <c r="K60" s="137">
        <f>$C$4</f>
        <v>200</v>
      </c>
      <c r="M60" s="135" t="s">
        <v>4</v>
      </c>
      <c r="N60" s="122" t="s">
        <v>2</v>
      </c>
      <c r="O60" s="137">
        <f>$C$4</f>
        <v>200</v>
      </c>
    </row>
    <row r="61" spans="1:15">
      <c r="A61" s="135" t="s">
        <v>5</v>
      </c>
      <c r="B61" s="122" t="s">
        <v>2</v>
      </c>
      <c r="C61" s="130" t="s">
        <v>6</v>
      </c>
      <c r="E61" s="135" t="s">
        <v>5</v>
      </c>
      <c r="F61" s="122" t="s">
        <v>2</v>
      </c>
      <c r="G61" s="130" t="s">
        <v>6</v>
      </c>
      <c r="I61" s="135" t="s">
        <v>5</v>
      </c>
      <c r="J61" s="122" t="s">
        <v>2</v>
      </c>
      <c r="K61" s="130" t="s">
        <v>6</v>
      </c>
      <c r="M61" s="135" t="s">
        <v>5</v>
      </c>
      <c r="N61" s="122" t="s">
        <v>2</v>
      </c>
      <c r="O61" s="130" t="s">
        <v>6</v>
      </c>
    </row>
    <row r="62" spans="1:15">
      <c r="A62" s="126" t="s">
        <v>7</v>
      </c>
      <c r="B62" s="122" t="s">
        <v>2</v>
      </c>
      <c r="C62" s="138">
        <f>$C$6</f>
        <v>0</v>
      </c>
      <c r="E62" s="126" t="s">
        <v>7</v>
      </c>
      <c r="F62" s="122" t="s">
        <v>2</v>
      </c>
      <c r="G62" s="138">
        <f>$C$6</f>
        <v>0</v>
      </c>
      <c r="I62" s="126" t="s">
        <v>7</v>
      </c>
      <c r="J62" s="122" t="s">
        <v>2</v>
      </c>
      <c r="K62" s="138">
        <f>$C$6</f>
        <v>0</v>
      </c>
      <c r="M62" s="126" t="s">
        <v>7</v>
      </c>
      <c r="N62" s="122" t="s">
        <v>2</v>
      </c>
      <c r="O62" s="138">
        <f>$C$6</f>
        <v>0</v>
      </c>
    </row>
    <row r="63" spans="1:15">
      <c r="A63" s="139" t="s">
        <v>8</v>
      </c>
      <c r="B63" s="133" t="s">
        <v>2</v>
      </c>
      <c r="C63" s="134" t="str">
        <f>C55</f>
        <v>IN 06 04</v>
      </c>
      <c r="E63" s="139" t="s">
        <v>8</v>
      </c>
      <c r="F63" s="133" t="s">
        <v>2</v>
      </c>
      <c r="G63" s="134" t="str">
        <f>C63</f>
        <v>IN 06 04</v>
      </c>
      <c r="I63" s="139" t="s">
        <v>8</v>
      </c>
      <c r="J63" s="133" t="s">
        <v>2</v>
      </c>
      <c r="K63" s="134" t="str">
        <f>G63</f>
        <v>IN 06 04</v>
      </c>
      <c r="M63" s="139" t="s">
        <v>8</v>
      </c>
      <c r="N63" s="133" t="s">
        <v>2</v>
      </c>
      <c r="O63" s="134" t="str">
        <f>K63</f>
        <v>IN 06 04</v>
      </c>
    </row>
    <row r="64" ht="12.95" customHeight="1"/>
    <row r="65" s="120" customFormat="1" ht="30" spans="1:15">
      <c r="A65" s="140" t="str">
        <f>$A$1</f>
        <v>226</v>
      </c>
      <c r="B65" s="124" t="s">
        <v>0</v>
      </c>
      <c r="C65" s="125"/>
      <c r="E65" s="140" t="str">
        <f>$A$1</f>
        <v>226</v>
      </c>
      <c r="F65" s="124" t="s">
        <v>0</v>
      </c>
      <c r="G65" s="125"/>
      <c r="I65" s="140" t="str">
        <f>$A$1</f>
        <v>226</v>
      </c>
      <c r="J65" s="124" t="s">
        <v>0</v>
      </c>
      <c r="K65" s="125"/>
      <c r="M65" s="140" t="str">
        <f>$A$1</f>
        <v>226</v>
      </c>
      <c r="N65" s="124" t="s">
        <v>0</v>
      </c>
      <c r="O65" s="125"/>
    </row>
    <row r="66" spans="1:15">
      <c r="A66" s="126" t="s">
        <v>1</v>
      </c>
      <c r="B66" s="122" t="s">
        <v>2</v>
      </c>
      <c r="C66" s="127">
        <f>$C$2</f>
        <v>955985</v>
      </c>
      <c r="E66" s="126" t="s">
        <v>1</v>
      </c>
      <c r="F66" s="122" t="s">
        <v>2</v>
      </c>
      <c r="G66" s="127">
        <f>$C$2</f>
        <v>955985</v>
      </c>
      <c r="I66" s="126" t="s">
        <v>1</v>
      </c>
      <c r="J66" s="122" t="s">
        <v>2</v>
      </c>
      <c r="K66" s="127">
        <f>$C$2</f>
        <v>955985</v>
      </c>
      <c r="M66" s="126" t="s">
        <v>1</v>
      </c>
      <c r="N66" s="122" t="s">
        <v>2</v>
      </c>
      <c r="O66" s="127">
        <f>$C$2</f>
        <v>955985</v>
      </c>
    </row>
    <row r="67" spans="1:15">
      <c r="A67" s="135" t="s">
        <v>3</v>
      </c>
      <c r="B67" s="122" t="s">
        <v>2</v>
      </c>
      <c r="C67" s="136" t="str">
        <f>$C$3</f>
        <v>DIN CONNECTOR FITTING</v>
      </c>
      <c r="E67" s="135" t="s">
        <v>3</v>
      </c>
      <c r="F67" s="122" t="s">
        <v>2</v>
      </c>
      <c r="G67" s="136" t="str">
        <f>$C$3</f>
        <v>DIN CONNECTOR FITTING</v>
      </c>
      <c r="I67" s="135" t="s">
        <v>3</v>
      </c>
      <c r="J67" s="122" t="s">
        <v>2</v>
      </c>
      <c r="K67" s="136" t="str">
        <f>$C$3</f>
        <v>DIN CONNECTOR FITTING</v>
      </c>
      <c r="M67" s="135" t="s">
        <v>3</v>
      </c>
      <c r="N67" s="122" t="s">
        <v>2</v>
      </c>
      <c r="O67" s="136" t="str">
        <f>$C$3</f>
        <v>DIN CONNECTOR FITTING</v>
      </c>
    </row>
    <row r="68" spans="1:15">
      <c r="A68" s="135" t="s">
        <v>4</v>
      </c>
      <c r="B68" s="122" t="s">
        <v>2</v>
      </c>
      <c r="C68" s="137">
        <f>$C$4</f>
        <v>200</v>
      </c>
      <c r="E68" s="135" t="s">
        <v>4</v>
      </c>
      <c r="F68" s="122" t="s">
        <v>2</v>
      </c>
      <c r="G68" s="137">
        <f>$C$4</f>
        <v>200</v>
      </c>
      <c r="I68" s="135" t="s">
        <v>4</v>
      </c>
      <c r="J68" s="122" t="s">
        <v>2</v>
      </c>
      <c r="K68" s="137">
        <f>$C$4</f>
        <v>200</v>
      </c>
      <c r="M68" s="135" t="s">
        <v>4</v>
      </c>
      <c r="N68" s="122" t="s">
        <v>2</v>
      </c>
      <c r="O68" s="137">
        <f>$C$4</f>
        <v>200</v>
      </c>
    </row>
    <row r="69" spans="1:15">
      <c r="A69" s="135" t="s">
        <v>5</v>
      </c>
      <c r="B69" s="122" t="s">
        <v>2</v>
      </c>
      <c r="C69" s="130" t="s">
        <v>6</v>
      </c>
      <c r="E69" s="135" t="s">
        <v>5</v>
      </c>
      <c r="F69" s="122" t="s">
        <v>2</v>
      </c>
      <c r="G69" s="130" t="s">
        <v>6</v>
      </c>
      <c r="I69" s="135" t="s">
        <v>5</v>
      </c>
      <c r="J69" s="122" t="s">
        <v>2</v>
      </c>
      <c r="K69" s="130" t="s">
        <v>6</v>
      </c>
      <c r="M69" s="135" t="s">
        <v>5</v>
      </c>
      <c r="N69" s="122" t="s">
        <v>2</v>
      </c>
      <c r="O69" s="130" t="s">
        <v>6</v>
      </c>
    </row>
    <row r="70" spans="1:15">
      <c r="A70" s="126" t="s">
        <v>7</v>
      </c>
      <c r="B70" s="122" t="s">
        <v>2</v>
      </c>
      <c r="C70" s="138">
        <f>$C$6</f>
        <v>0</v>
      </c>
      <c r="E70" s="126" t="s">
        <v>7</v>
      </c>
      <c r="F70" s="122" t="s">
        <v>2</v>
      </c>
      <c r="G70" s="138">
        <f>$C$6</f>
        <v>0</v>
      </c>
      <c r="I70" s="126" t="s">
        <v>7</v>
      </c>
      <c r="J70" s="122" t="s">
        <v>2</v>
      </c>
      <c r="K70" s="138">
        <f>$C$6</f>
        <v>0</v>
      </c>
      <c r="M70" s="126" t="s">
        <v>7</v>
      </c>
      <c r="N70" s="122" t="s">
        <v>2</v>
      </c>
      <c r="O70" s="138">
        <f>$C$6</f>
        <v>0</v>
      </c>
    </row>
    <row r="71" spans="1:15">
      <c r="A71" s="139" t="s">
        <v>8</v>
      </c>
      <c r="B71" s="133" t="s">
        <v>2</v>
      </c>
      <c r="C71" s="134" t="str">
        <f>C63</f>
        <v>IN 06 04</v>
      </c>
      <c r="E71" s="139" t="s">
        <v>8</v>
      </c>
      <c r="F71" s="133" t="s">
        <v>2</v>
      </c>
      <c r="G71" s="134" t="str">
        <f>C71</f>
        <v>IN 06 04</v>
      </c>
      <c r="I71" s="139" t="s">
        <v>8</v>
      </c>
      <c r="J71" s="133" t="s">
        <v>2</v>
      </c>
      <c r="K71" s="134" t="str">
        <f>G71</f>
        <v>IN 06 04</v>
      </c>
      <c r="M71" s="139" t="s">
        <v>8</v>
      </c>
      <c r="N71" s="133" t="s">
        <v>2</v>
      </c>
      <c r="O71" s="134" t="str">
        <f>K71</f>
        <v>IN 06 04</v>
      </c>
    </row>
    <row r="72" ht="12.95" customHeight="1"/>
    <row r="73" s="120" customFormat="1" ht="30" spans="1:15">
      <c r="A73" s="140" t="str">
        <f>$A$1</f>
        <v>226</v>
      </c>
      <c r="B73" s="124" t="s">
        <v>0</v>
      </c>
      <c r="C73" s="125"/>
      <c r="E73" s="140" t="str">
        <f>$A$1</f>
        <v>226</v>
      </c>
      <c r="F73" s="124" t="s">
        <v>0</v>
      </c>
      <c r="G73" s="125"/>
      <c r="I73" s="140" t="str">
        <f>$A$1</f>
        <v>226</v>
      </c>
      <c r="J73" s="124" t="s">
        <v>0</v>
      </c>
      <c r="K73" s="125"/>
      <c r="M73" s="140" t="str">
        <f>$A$1</f>
        <v>226</v>
      </c>
      <c r="N73" s="124" t="s">
        <v>0</v>
      </c>
      <c r="O73" s="125"/>
    </row>
    <row r="74" spans="1:15">
      <c r="A74" s="126" t="s">
        <v>1</v>
      </c>
      <c r="B74" s="122" t="s">
        <v>2</v>
      </c>
      <c r="C74" s="127">
        <f>$C$2</f>
        <v>955985</v>
      </c>
      <c r="E74" s="126" t="s">
        <v>1</v>
      </c>
      <c r="F74" s="122" t="s">
        <v>2</v>
      </c>
      <c r="G74" s="127">
        <f>$C$2</f>
        <v>955985</v>
      </c>
      <c r="I74" s="126" t="s">
        <v>1</v>
      </c>
      <c r="J74" s="122" t="s">
        <v>2</v>
      </c>
      <c r="K74" s="127">
        <f>$C$2</f>
        <v>955985</v>
      </c>
      <c r="M74" s="126" t="s">
        <v>1</v>
      </c>
      <c r="N74" s="122" t="s">
        <v>2</v>
      </c>
      <c r="O74" s="127">
        <f>$C$2</f>
        <v>955985</v>
      </c>
    </row>
    <row r="75" spans="1:15">
      <c r="A75" s="135" t="s">
        <v>3</v>
      </c>
      <c r="B75" s="122" t="s">
        <v>2</v>
      </c>
      <c r="C75" s="136" t="str">
        <f>$C$3</f>
        <v>DIN CONNECTOR FITTING</v>
      </c>
      <c r="E75" s="135" t="s">
        <v>3</v>
      </c>
      <c r="F75" s="122" t="s">
        <v>2</v>
      </c>
      <c r="G75" s="136" t="str">
        <f>$C$3</f>
        <v>DIN CONNECTOR FITTING</v>
      </c>
      <c r="I75" s="135" t="s">
        <v>3</v>
      </c>
      <c r="J75" s="122" t="s">
        <v>2</v>
      </c>
      <c r="K75" s="136" t="str">
        <f>$C$3</f>
        <v>DIN CONNECTOR FITTING</v>
      </c>
      <c r="M75" s="135" t="s">
        <v>3</v>
      </c>
      <c r="N75" s="122" t="s">
        <v>2</v>
      </c>
      <c r="O75" s="136" t="str">
        <f>$C$3</f>
        <v>DIN CONNECTOR FITTING</v>
      </c>
    </row>
    <row r="76" spans="1:15">
      <c r="A76" s="135" t="s">
        <v>4</v>
      </c>
      <c r="B76" s="122" t="s">
        <v>2</v>
      </c>
      <c r="C76" s="137">
        <f>$C$4</f>
        <v>200</v>
      </c>
      <c r="E76" s="135" t="s">
        <v>4</v>
      </c>
      <c r="F76" s="122" t="s">
        <v>2</v>
      </c>
      <c r="G76" s="137">
        <f>$C$4</f>
        <v>200</v>
      </c>
      <c r="I76" s="135" t="s">
        <v>4</v>
      </c>
      <c r="J76" s="122" t="s">
        <v>2</v>
      </c>
      <c r="K76" s="137">
        <f>$C$4</f>
        <v>200</v>
      </c>
      <c r="M76" s="135" t="s">
        <v>4</v>
      </c>
      <c r="N76" s="122" t="s">
        <v>2</v>
      </c>
      <c r="O76" s="137">
        <f>$C$4</f>
        <v>200</v>
      </c>
    </row>
    <row r="77" spans="1:15">
      <c r="A77" s="135" t="s">
        <v>5</v>
      </c>
      <c r="B77" s="122" t="s">
        <v>2</v>
      </c>
      <c r="C77" s="130" t="s">
        <v>6</v>
      </c>
      <c r="E77" s="135" t="s">
        <v>5</v>
      </c>
      <c r="F77" s="122" t="s">
        <v>2</v>
      </c>
      <c r="G77" s="130" t="s">
        <v>6</v>
      </c>
      <c r="I77" s="135" t="s">
        <v>5</v>
      </c>
      <c r="J77" s="122" t="s">
        <v>2</v>
      </c>
      <c r="K77" s="130" t="s">
        <v>6</v>
      </c>
      <c r="M77" s="135" t="s">
        <v>5</v>
      </c>
      <c r="N77" s="122" t="s">
        <v>2</v>
      </c>
      <c r="O77" s="130" t="s">
        <v>6</v>
      </c>
    </row>
    <row r="78" spans="1:15">
      <c r="A78" s="126" t="s">
        <v>7</v>
      </c>
      <c r="B78" s="122" t="s">
        <v>2</v>
      </c>
      <c r="C78" s="138">
        <f>$C$6</f>
        <v>0</v>
      </c>
      <c r="E78" s="126" t="s">
        <v>7</v>
      </c>
      <c r="F78" s="122" t="s">
        <v>2</v>
      </c>
      <c r="G78" s="138">
        <f>$C$6</f>
        <v>0</v>
      </c>
      <c r="I78" s="126" t="s">
        <v>7</v>
      </c>
      <c r="J78" s="122" t="s">
        <v>2</v>
      </c>
      <c r="K78" s="138">
        <f>$C$6</f>
        <v>0</v>
      </c>
      <c r="M78" s="126" t="s">
        <v>7</v>
      </c>
      <c r="N78" s="122" t="s">
        <v>2</v>
      </c>
      <c r="O78" s="138">
        <f>$C$6</f>
        <v>0</v>
      </c>
    </row>
    <row r="79" spans="1:15">
      <c r="A79" s="139" t="s">
        <v>8</v>
      </c>
      <c r="B79" s="133" t="s">
        <v>2</v>
      </c>
      <c r="C79" s="134" t="str">
        <f>C71</f>
        <v>IN 06 04</v>
      </c>
      <c r="E79" s="139" t="s">
        <v>8</v>
      </c>
      <c r="F79" s="133" t="s">
        <v>2</v>
      </c>
      <c r="G79" s="134" t="str">
        <f>C79</f>
        <v>IN 06 04</v>
      </c>
      <c r="I79" s="139" t="s">
        <v>8</v>
      </c>
      <c r="J79" s="133" t="s">
        <v>2</v>
      </c>
      <c r="K79" s="134" t="str">
        <f>G79</f>
        <v>IN 06 04</v>
      </c>
      <c r="M79" s="139" t="s">
        <v>8</v>
      </c>
      <c r="N79" s="133" t="s">
        <v>2</v>
      </c>
      <c r="O79" s="134" t="str">
        <f>K79</f>
        <v>IN 06 04</v>
      </c>
    </row>
    <row r="80" ht="12.95" customHeight="1"/>
    <row r="81" s="120" customFormat="1" ht="30" spans="1:15">
      <c r="A81" s="140" t="str">
        <f>$A$1</f>
        <v>226</v>
      </c>
      <c r="B81" s="124" t="s">
        <v>0</v>
      </c>
      <c r="C81" s="125"/>
      <c r="E81" s="140" t="str">
        <f>$A$1</f>
        <v>226</v>
      </c>
      <c r="F81" s="124" t="s">
        <v>0</v>
      </c>
      <c r="G81" s="125"/>
      <c r="I81" s="140" t="str">
        <f>$A$1</f>
        <v>226</v>
      </c>
      <c r="J81" s="124" t="s">
        <v>0</v>
      </c>
      <c r="K81" s="125"/>
      <c r="M81" s="140" t="str">
        <f>$A$1</f>
        <v>226</v>
      </c>
      <c r="N81" s="124" t="s">
        <v>0</v>
      </c>
      <c r="O81" s="125"/>
    </row>
    <row r="82" spans="1:15">
      <c r="A82" s="126" t="s">
        <v>1</v>
      </c>
      <c r="B82" s="122" t="s">
        <v>2</v>
      </c>
      <c r="C82" s="127">
        <f>$C$2</f>
        <v>955985</v>
      </c>
      <c r="E82" s="126" t="s">
        <v>1</v>
      </c>
      <c r="F82" s="122" t="s">
        <v>2</v>
      </c>
      <c r="G82" s="127">
        <f>$C$2</f>
        <v>955985</v>
      </c>
      <c r="I82" s="126" t="s">
        <v>1</v>
      </c>
      <c r="J82" s="122" t="s">
        <v>2</v>
      </c>
      <c r="K82" s="127">
        <f>$C$2</f>
        <v>955985</v>
      </c>
      <c r="M82" s="126" t="s">
        <v>1</v>
      </c>
      <c r="N82" s="122" t="s">
        <v>2</v>
      </c>
      <c r="O82" s="127">
        <f>$C$2</f>
        <v>955985</v>
      </c>
    </row>
    <row r="83" spans="1:15">
      <c r="A83" s="135" t="s">
        <v>3</v>
      </c>
      <c r="B83" s="122" t="s">
        <v>2</v>
      </c>
      <c r="C83" s="136" t="str">
        <f>$C$3</f>
        <v>DIN CONNECTOR FITTING</v>
      </c>
      <c r="E83" s="135" t="s">
        <v>3</v>
      </c>
      <c r="F83" s="122" t="s">
        <v>2</v>
      </c>
      <c r="G83" s="136" t="str">
        <f>$C$3</f>
        <v>DIN CONNECTOR FITTING</v>
      </c>
      <c r="I83" s="135" t="s">
        <v>3</v>
      </c>
      <c r="J83" s="122" t="s">
        <v>2</v>
      </c>
      <c r="K83" s="136" t="str">
        <f>$C$3</f>
        <v>DIN CONNECTOR FITTING</v>
      </c>
      <c r="M83" s="135" t="s">
        <v>3</v>
      </c>
      <c r="N83" s="122" t="s">
        <v>2</v>
      </c>
      <c r="O83" s="136" t="str">
        <f>$C$3</f>
        <v>DIN CONNECTOR FITTING</v>
      </c>
    </row>
    <row r="84" spans="1:15">
      <c r="A84" s="135" t="s">
        <v>4</v>
      </c>
      <c r="B84" s="122" t="s">
        <v>2</v>
      </c>
      <c r="C84" s="137">
        <f>$C$4</f>
        <v>200</v>
      </c>
      <c r="E84" s="135" t="s">
        <v>4</v>
      </c>
      <c r="F84" s="122" t="s">
        <v>2</v>
      </c>
      <c r="G84" s="137">
        <f>$C$4</f>
        <v>200</v>
      </c>
      <c r="I84" s="135" t="s">
        <v>4</v>
      </c>
      <c r="J84" s="122" t="s">
        <v>2</v>
      </c>
      <c r="K84" s="137">
        <f>$C$4</f>
        <v>200</v>
      </c>
      <c r="M84" s="135" t="s">
        <v>4</v>
      </c>
      <c r="N84" s="122" t="s">
        <v>2</v>
      </c>
      <c r="O84" s="137">
        <f>$C$4</f>
        <v>200</v>
      </c>
    </row>
    <row r="85" spans="1:15">
      <c r="A85" s="135" t="s">
        <v>5</v>
      </c>
      <c r="B85" s="122" t="s">
        <v>2</v>
      </c>
      <c r="C85" s="130" t="s">
        <v>6</v>
      </c>
      <c r="E85" s="135" t="s">
        <v>5</v>
      </c>
      <c r="F85" s="122" t="s">
        <v>2</v>
      </c>
      <c r="G85" s="130" t="s">
        <v>6</v>
      </c>
      <c r="I85" s="135" t="s">
        <v>5</v>
      </c>
      <c r="J85" s="122" t="s">
        <v>2</v>
      </c>
      <c r="K85" s="130" t="s">
        <v>6</v>
      </c>
      <c r="M85" s="135" t="s">
        <v>5</v>
      </c>
      <c r="N85" s="122" t="s">
        <v>2</v>
      </c>
      <c r="O85" s="130" t="s">
        <v>6</v>
      </c>
    </row>
    <row r="86" spans="1:15">
      <c r="A86" s="126" t="s">
        <v>7</v>
      </c>
      <c r="B86" s="122" t="s">
        <v>2</v>
      </c>
      <c r="C86" s="138">
        <f>$C$6</f>
        <v>0</v>
      </c>
      <c r="E86" s="126" t="s">
        <v>7</v>
      </c>
      <c r="F86" s="122" t="s">
        <v>2</v>
      </c>
      <c r="G86" s="138">
        <f>$C$6</f>
        <v>0</v>
      </c>
      <c r="I86" s="126" t="s">
        <v>7</v>
      </c>
      <c r="J86" s="122" t="s">
        <v>2</v>
      </c>
      <c r="K86" s="138">
        <f>$C$6</f>
        <v>0</v>
      </c>
      <c r="M86" s="126" t="s">
        <v>7</v>
      </c>
      <c r="N86" s="122" t="s">
        <v>2</v>
      </c>
      <c r="O86" s="138">
        <f>$C$6</f>
        <v>0</v>
      </c>
    </row>
    <row r="87" spans="1:15">
      <c r="A87" s="139" t="s">
        <v>8</v>
      </c>
      <c r="B87" s="133" t="s">
        <v>2</v>
      </c>
      <c r="C87" s="134" t="str">
        <f>C79</f>
        <v>IN 06 04</v>
      </c>
      <c r="E87" s="139" t="s">
        <v>8</v>
      </c>
      <c r="F87" s="133" t="s">
        <v>2</v>
      </c>
      <c r="G87" s="134" t="str">
        <f>C87</f>
        <v>IN 06 04</v>
      </c>
      <c r="I87" s="139" t="s">
        <v>8</v>
      </c>
      <c r="J87" s="133" t="s">
        <v>2</v>
      </c>
      <c r="K87" s="134" t="str">
        <f>G87</f>
        <v>IN 06 04</v>
      </c>
      <c r="M87" s="139" t="s">
        <v>8</v>
      </c>
      <c r="N87" s="133" t="s">
        <v>2</v>
      </c>
      <c r="O87" s="134" t="str">
        <f>K87</f>
        <v>IN 06 04</v>
      </c>
    </row>
    <row r="88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65:C65"/>
    <mergeCell ref="F65:G65"/>
    <mergeCell ref="J65:K65"/>
    <mergeCell ref="N65:O65"/>
    <mergeCell ref="B73:C73"/>
    <mergeCell ref="F73:G73"/>
    <mergeCell ref="J73:K73"/>
    <mergeCell ref="N73:O73"/>
    <mergeCell ref="B81:C81"/>
    <mergeCell ref="F81:G81"/>
    <mergeCell ref="J81:K81"/>
    <mergeCell ref="N81:O81"/>
  </mergeCells>
  <printOptions horizontalCentered="1" verticalCentered="1"/>
  <pageMargins left="0" right="0" top="0" bottom="0" header="0" footer="0"/>
  <pageSetup paperSize="9" scale="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8"/>
  <sheetViews>
    <sheetView topLeftCell="A71" workbookViewId="0">
      <selection activeCell="K89" sqref="K89"/>
    </sheetView>
  </sheetViews>
  <sheetFormatPr defaultColWidth="9" defaultRowHeight="15"/>
  <cols>
    <col min="1" max="1" width="9.42666666666667" style="121" customWidth="1"/>
    <col min="2" max="2" width="1.28666666666667" style="122" customWidth="1"/>
    <col min="3" max="3" width="32.7133333333333" style="122" customWidth="1"/>
    <col min="4" max="4" width="2.71333333333333" style="122" customWidth="1"/>
    <col min="5" max="5" width="9.42666666666667" style="122" customWidth="1"/>
    <col min="6" max="6" width="1.28666666666667" style="122" customWidth="1"/>
    <col min="7" max="7" width="32.7133333333333" style="122" customWidth="1"/>
    <col min="8" max="8" width="2.71333333333333" style="122" customWidth="1"/>
    <col min="9" max="9" width="9.42666666666667" style="122" customWidth="1"/>
    <col min="10" max="10" width="1.28666666666667" style="122" customWidth="1"/>
    <col min="11" max="11" width="32.7133333333333" style="122" customWidth="1"/>
    <col min="12" max="12" width="2.71333333333333" style="122" customWidth="1"/>
    <col min="13" max="13" width="9.42666666666667" style="122" customWidth="1"/>
    <col min="14" max="14" width="1.28666666666667" style="122" customWidth="1"/>
    <col min="15" max="15" width="32.7133333333333" style="122" customWidth="1"/>
    <col min="16" max="257" width="9.14" style="122"/>
    <col min="258" max="258" width="1.42666666666667" style="122" customWidth="1"/>
    <col min="259" max="259" width="14.8533333333333" style="122" customWidth="1"/>
    <col min="260" max="260" width="1.85333333333333" style="122" customWidth="1"/>
    <col min="261" max="261" width="9.14" style="122"/>
    <col min="262" max="262" width="1.57333333333333" style="122" customWidth="1"/>
    <col min="263" max="263" width="14.8533333333333" style="122" customWidth="1"/>
    <col min="264" max="264" width="2.42666666666667" style="122" customWidth="1"/>
    <col min="265" max="265" width="9.85333333333333" style="122" customWidth="1"/>
    <col min="266" max="266" width="2" style="122" customWidth="1"/>
    <col min="267" max="267" width="14.8533333333333" style="122" customWidth="1"/>
    <col min="268" max="268" width="2.42666666666667" style="122" customWidth="1"/>
    <col min="269" max="269" width="9.85333333333333" style="122" customWidth="1"/>
    <col min="270" max="270" width="2" style="122" customWidth="1"/>
    <col min="271" max="271" width="14.8533333333333" style="122" customWidth="1"/>
    <col min="272" max="513" width="9.14" style="122"/>
    <col min="514" max="514" width="1.42666666666667" style="122" customWidth="1"/>
    <col min="515" max="515" width="14.8533333333333" style="122" customWidth="1"/>
    <col min="516" max="516" width="1.85333333333333" style="122" customWidth="1"/>
    <col min="517" max="517" width="9.14" style="122"/>
    <col min="518" max="518" width="1.57333333333333" style="122" customWidth="1"/>
    <col min="519" max="519" width="14.8533333333333" style="122" customWidth="1"/>
    <col min="520" max="520" width="2.42666666666667" style="122" customWidth="1"/>
    <col min="521" max="521" width="9.85333333333333" style="122" customWidth="1"/>
    <col min="522" max="522" width="2" style="122" customWidth="1"/>
    <col min="523" max="523" width="14.8533333333333" style="122" customWidth="1"/>
    <col min="524" max="524" width="2.42666666666667" style="122" customWidth="1"/>
    <col min="525" max="525" width="9.85333333333333" style="122" customWidth="1"/>
    <col min="526" max="526" width="2" style="122" customWidth="1"/>
    <col min="527" max="527" width="14.8533333333333" style="122" customWidth="1"/>
    <col min="528" max="769" width="9.14" style="122"/>
    <col min="770" max="770" width="1.42666666666667" style="122" customWidth="1"/>
    <col min="771" max="771" width="14.8533333333333" style="122" customWidth="1"/>
    <col min="772" max="772" width="1.85333333333333" style="122" customWidth="1"/>
    <col min="773" max="773" width="9.14" style="122"/>
    <col min="774" max="774" width="1.57333333333333" style="122" customWidth="1"/>
    <col min="775" max="775" width="14.8533333333333" style="122" customWidth="1"/>
    <col min="776" max="776" width="2.42666666666667" style="122" customWidth="1"/>
    <col min="777" max="777" width="9.85333333333333" style="122" customWidth="1"/>
    <col min="778" max="778" width="2" style="122" customWidth="1"/>
    <col min="779" max="779" width="14.8533333333333" style="122" customWidth="1"/>
    <col min="780" max="780" width="2.42666666666667" style="122" customWidth="1"/>
    <col min="781" max="781" width="9.85333333333333" style="122" customWidth="1"/>
    <col min="782" max="782" width="2" style="122" customWidth="1"/>
    <col min="783" max="783" width="14.8533333333333" style="122" customWidth="1"/>
    <col min="784" max="1025" width="9.14" style="122"/>
    <col min="1026" max="1026" width="1.42666666666667" style="122" customWidth="1"/>
    <col min="1027" max="1027" width="14.8533333333333" style="122" customWidth="1"/>
    <col min="1028" max="1028" width="1.85333333333333" style="122" customWidth="1"/>
    <col min="1029" max="1029" width="9.14" style="122"/>
    <col min="1030" max="1030" width="1.57333333333333" style="122" customWidth="1"/>
    <col min="1031" max="1031" width="14.8533333333333" style="122" customWidth="1"/>
    <col min="1032" max="1032" width="2.42666666666667" style="122" customWidth="1"/>
    <col min="1033" max="1033" width="9.85333333333333" style="122" customWidth="1"/>
    <col min="1034" max="1034" width="2" style="122" customWidth="1"/>
    <col min="1035" max="1035" width="14.8533333333333" style="122" customWidth="1"/>
    <col min="1036" max="1036" width="2.42666666666667" style="122" customWidth="1"/>
    <col min="1037" max="1037" width="9.85333333333333" style="122" customWidth="1"/>
    <col min="1038" max="1038" width="2" style="122" customWidth="1"/>
    <col min="1039" max="1039" width="14.8533333333333" style="122" customWidth="1"/>
    <col min="1040" max="1281" width="9.14" style="122"/>
    <col min="1282" max="1282" width="1.42666666666667" style="122" customWidth="1"/>
    <col min="1283" max="1283" width="14.8533333333333" style="122" customWidth="1"/>
    <col min="1284" max="1284" width="1.85333333333333" style="122" customWidth="1"/>
    <col min="1285" max="1285" width="9.14" style="122"/>
    <col min="1286" max="1286" width="1.57333333333333" style="122" customWidth="1"/>
    <col min="1287" max="1287" width="14.8533333333333" style="122" customWidth="1"/>
    <col min="1288" max="1288" width="2.42666666666667" style="122" customWidth="1"/>
    <col min="1289" max="1289" width="9.85333333333333" style="122" customWidth="1"/>
    <col min="1290" max="1290" width="2" style="122" customWidth="1"/>
    <col min="1291" max="1291" width="14.8533333333333" style="122" customWidth="1"/>
    <col min="1292" max="1292" width="2.42666666666667" style="122" customWidth="1"/>
    <col min="1293" max="1293" width="9.85333333333333" style="122" customWidth="1"/>
    <col min="1294" max="1294" width="2" style="122" customWidth="1"/>
    <col min="1295" max="1295" width="14.8533333333333" style="122" customWidth="1"/>
    <col min="1296" max="1537" width="9.14" style="122"/>
    <col min="1538" max="1538" width="1.42666666666667" style="122" customWidth="1"/>
    <col min="1539" max="1539" width="14.8533333333333" style="122" customWidth="1"/>
    <col min="1540" max="1540" width="1.85333333333333" style="122" customWidth="1"/>
    <col min="1541" max="1541" width="9.14" style="122"/>
    <col min="1542" max="1542" width="1.57333333333333" style="122" customWidth="1"/>
    <col min="1543" max="1543" width="14.8533333333333" style="122" customWidth="1"/>
    <col min="1544" max="1544" width="2.42666666666667" style="122" customWidth="1"/>
    <col min="1545" max="1545" width="9.85333333333333" style="122" customWidth="1"/>
    <col min="1546" max="1546" width="2" style="122" customWidth="1"/>
    <col min="1547" max="1547" width="14.8533333333333" style="122" customWidth="1"/>
    <col min="1548" max="1548" width="2.42666666666667" style="122" customWidth="1"/>
    <col min="1549" max="1549" width="9.85333333333333" style="122" customWidth="1"/>
    <col min="1550" max="1550" width="2" style="122" customWidth="1"/>
    <col min="1551" max="1551" width="14.8533333333333" style="122" customWidth="1"/>
    <col min="1552" max="1793" width="9.14" style="122"/>
    <col min="1794" max="1794" width="1.42666666666667" style="122" customWidth="1"/>
    <col min="1795" max="1795" width="14.8533333333333" style="122" customWidth="1"/>
    <col min="1796" max="1796" width="1.85333333333333" style="122" customWidth="1"/>
    <col min="1797" max="1797" width="9.14" style="122"/>
    <col min="1798" max="1798" width="1.57333333333333" style="122" customWidth="1"/>
    <col min="1799" max="1799" width="14.8533333333333" style="122" customWidth="1"/>
    <col min="1800" max="1800" width="2.42666666666667" style="122" customWidth="1"/>
    <col min="1801" max="1801" width="9.85333333333333" style="122" customWidth="1"/>
    <col min="1802" max="1802" width="2" style="122" customWidth="1"/>
    <col min="1803" max="1803" width="14.8533333333333" style="122" customWidth="1"/>
    <col min="1804" max="1804" width="2.42666666666667" style="122" customWidth="1"/>
    <col min="1805" max="1805" width="9.85333333333333" style="122" customWidth="1"/>
    <col min="1806" max="1806" width="2" style="122" customWidth="1"/>
    <col min="1807" max="1807" width="14.8533333333333" style="122" customWidth="1"/>
    <col min="1808" max="2049" width="9.14" style="122"/>
    <col min="2050" max="2050" width="1.42666666666667" style="122" customWidth="1"/>
    <col min="2051" max="2051" width="14.8533333333333" style="122" customWidth="1"/>
    <col min="2052" max="2052" width="1.85333333333333" style="122" customWidth="1"/>
    <col min="2053" max="2053" width="9.14" style="122"/>
    <col min="2054" max="2054" width="1.57333333333333" style="122" customWidth="1"/>
    <col min="2055" max="2055" width="14.8533333333333" style="122" customWidth="1"/>
    <col min="2056" max="2056" width="2.42666666666667" style="122" customWidth="1"/>
    <col min="2057" max="2057" width="9.85333333333333" style="122" customWidth="1"/>
    <col min="2058" max="2058" width="2" style="122" customWidth="1"/>
    <col min="2059" max="2059" width="14.8533333333333" style="122" customWidth="1"/>
    <col min="2060" max="2060" width="2.42666666666667" style="122" customWidth="1"/>
    <col min="2061" max="2061" width="9.85333333333333" style="122" customWidth="1"/>
    <col min="2062" max="2062" width="2" style="122" customWidth="1"/>
    <col min="2063" max="2063" width="14.8533333333333" style="122" customWidth="1"/>
    <col min="2064" max="2305" width="9.14" style="122"/>
    <col min="2306" max="2306" width="1.42666666666667" style="122" customWidth="1"/>
    <col min="2307" max="2307" width="14.8533333333333" style="122" customWidth="1"/>
    <col min="2308" max="2308" width="1.85333333333333" style="122" customWidth="1"/>
    <col min="2309" max="2309" width="9.14" style="122"/>
    <col min="2310" max="2310" width="1.57333333333333" style="122" customWidth="1"/>
    <col min="2311" max="2311" width="14.8533333333333" style="122" customWidth="1"/>
    <col min="2312" max="2312" width="2.42666666666667" style="122" customWidth="1"/>
    <col min="2313" max="2313" width="9.85333333333333" style="122" customWidth="1"/>
    <col min="2314" max="2314" width="2" style="122" customWidth="1"/>
    <col min="2315" max="2315" width="14.8533333333333" style="122" customWidth="1"/>
    <col min="2316" max="2316" width="2.42666666666667" style="122" customWidth="1"/>
    <col min="2317" max="2317" width="9.85333333333333" style="122" customWidth="1"/>
    <col min="2318" max="2318" width="2" style="122" customWidth="1"/>
    <col min="2319" max="2319" width="14.8533333333333" style="122" customWidth="1"/>
    <col min="2320" max="2561" width="9.14" style="122"/>
    <col min="2562" max="2562" width="1.42666666666667" style="122" customWidth="1"/>
    <col min="2563" max="2563" width="14.8533333333333" style="122" customWidth="1"/>
    <col min="2564" max="2564" width="1.85333333333333" style="122" customWidth="1"/>
    <col min="2565" max="2565" width="9.14" style="122"/>
    <col min="2566" max="2566" width="1.57333333333333" style="122" customWidth="1"/>
    <col min="2567" max="2567" width="14.8533333333333" style="122" customWidth="1"/>
    <col min="2568" max="2568" width="2.42666666666667" style="122" customWidth="1"/>
    <col min="2569" max="2569" width="9.85333333333333" style="122" customWidth="1"/>
    <col min="2570" max="2570" width="2" style="122" customWidth="1"/>
    <col min="2571" max="2571" width="14.8533333333333" style="122" customWidth="1"/>
    <col min="2572" max="2572" width="2.42666666666667" style="122" customWidth="1"/>
    <col min="2573" max="2573" width="9.85333333333333" style="122" customWidth="1"/>
    <col min="2574" max="2574" width="2" style="122" customWidth="1"/>
    <col min="2575" max="2575" width="14.8533333333333" style="122" customWidth="1"/>
    <col min="2576" max="2817" width="9.14" style="122"/>
    <col min="2818" max="2818" width="1.42666666666667" style="122" customWidth="1"/>
    <col min="2819" max="2819" width="14.8533333333333" style="122" customWidth="1"/>
    <col min="2820" max="2820" width="1.85333333333333" style="122" customWidth="1"/>
    <col min="2821" max="2821" width="9.14" style="122"/>
    <col min="2822" max="2822" width="1.57333333333333" style="122" customWidth="1"/>
    <col min="2823" max="2823" width="14.8533333333333" style="122" customWidth="1"/>
    <col min="2824" max="2824" width="2.42666666666667" style="122" customWidth="1"/>
    <col min="2825" max="2825" width="9.85333333333333" style="122" customWidth="1"/>
    <col min="2826" max="2826" width="2" style="122" customWidth="1"/>
    <col min="2827" max="2827" width="14.8533333333333" style="122" customWidth="1"/>
    <col min="2828" max="2828" width="2.42666666666667" style="122" customWidth="1"/>
    <col min="2829" max="2829" width="9.85333333333333" style="122" customWidth="1"/>
    <col min="2830" max="2830" width="2" style="122" customWidth="1"/>
    <col min="2831" max="2831" width="14.8533333333333" style="122" customWidth="1"/>
    <col min="2832" max="3073" width="9.14" style="122"/>
    <col min="3074" max="3074" width="1.42666666666667" style="122" customWidth="1"/>
    <col min="3075" max="3075" width="14.8533333333333" style="122" customWidth="1"/>
    <col min="3076" max="3076" width="1.85333333333333" style="122" customWidth="1"/>
    <col min="3077" max="3077" width="9.14" style="122"/>
    <col min="3078" max="3078" width="1.57333333333333" style="122" customWidth="1"/>
    <col min="3079" max="3079" width="14.8533333333333" style="122" customWidth="1"/>
    <col min="3080" max="3080" width="2.42666666666667" style="122" customWidth="1"/>
    <col min="3081" max="3081" width="9.85333333333333" style="122" customWidth="1"/>
    <col min="3082" max="3082" width="2" style="122" customWidth="1"/>
    <col min="3083" max="3083" width="14.8533333333333" style="122" customWidth="1"/>
    <col min="3084" max="3084" width="2.42666666666667" style="122" customWidth="1"/>
    <col min="3085" max="3085" width="9.85333333333333" style="122" customWidth="1"/>
    <col min="3086" max="3086" width="2" style="122" customWidth="1"/>
    <col min="3087" max="3087" width="14.8533333333333" style="122" customWidth="1"/>
    <col min="3088" max="3329" width="9.14" style="122"/>
    <col min="3330" max="3330" width="1.42666666666667" style="122" customWidth="1"/>
    <col min="3331" max="3331" width="14.8533333333333" style="122" customWidth="1"/>
    <col min="3332" max="3332" width="1.85333333333333" style="122" customWidth="1"/>
    <col min="3333" max="3333" width="9.14" style="122"/>
    <col min="3334" max="3334" width="1.57333333333333" style="122" customWidth="1"/>
    <col min="3335" max="3335" width="14.8533333333333" style="122" customWidth="1"/>
    <col min="3336" max="3336" width="2.42666666666667" style="122" customWidth="1"/>
    <col min="3337" max="3337" width="9.85333333333333" style="122" customWidth="1"/>
    <col min="3338" max="3338" width="2" style="122" customWidth="1"/>
    <col min="3339" max="3339" width="14.8533333333333" style="122" customWidth="1"/>
    <col min="3340" max="3340" width="2.42666666666667" style="122" customWidth="1"/>
    <col min="3341" max="3341" width="9.85333333333333" style="122" customWidth="1"/>
    <col min="3342" max="3342" width="2" style="122" customWidth="1"/>
    <col min="3343" max="3343" width="14.8533333333333" style="122" customWidth="1"/>
    <col min="3344" max="3585" width="9.14" style="122"/>
    <col min="3586" max="3586" width="1.42666666666667" style="122" customWidth="1"/>
    <col min="3587" max="3587" width="14.8533333333333" style="122" customWidth="1"/>
    <col min="3588" max="3588" width="1.85333333333333" style="122" customWidth="1"/>
    <col min="3589" max="3589" width="9.14" style="122"/>
    <col min="3590" max="3590" width="1.57333333333333" style="122" customWidth="1"/>
    <col min="3591" max="3591" width="14.8533333333333" style="122" customWidth="1"/>
    <col min="3592" max="3592" width="2.42666666666667" style="122" customWidth="1"/>
    <col min="3593" max="3593" width="9.85333333333333" style="122" customWidth="1"/>
    <col min="3594" max="3594" width="2" style="122" customWidth="1"/>
    <col min="3595" max="3595" width="14.8533333333333" style="122" customWidth="1"/>
    <col min="3596" max="3596" width="2.42666666666667" style="122" customWidth="1"/>
    <col min="3597" max="3597" width="9.85333333333333" style="122" customWidth="1"/>
    <col min="3598" max="3598" width="2" style="122" customWidth="1"/>
    <col min="3599" max="3599" width="14.8533333333333" style="122" customWidth="1"/>
    <col min="3600" max="3841" width="9.14" style="122"/>
    <col min="3842" max="3842" width="1.42666666666667" style="122" customWidth="1"/>
    <col min="3843" max="3843" width="14.8533333333333" style="122" customWidth="1"/>
    <col min="3844" max="3844" width="1.85333333333333" style="122" customWidth="1"/>
    <col min="3845" max="3845" width="9.14" style="122"/>
    <col min="3846" max="3846" width="1.57333333333333" style="122" customWidth="1"/>
    <col min="3847" max="3847" width="14.8533333333333" style="122" customWidth="1"/>
    <col min="3848" max="3848" width="2.42666666666667" style="122" customWidth="1"/>
    <col min="3849" max="3849" width="9.85333333333333" style="122" customWidth="1"/>
    <col min="3850" max="3850" width="2" style="122" customWidth="1"/>
    <col min="3851" max="3851" width="14.8533333333333" style="122" customWidth="1"/>
    <col min="3852" max="3852" width="2.42666666666667" style="122" customWidth="1"/>
    <col min="3853" max="3853" width="9.85333333333333" style="122" customWidth="1"/>
    <col min="3854" max="3854" width="2" style="122" customWidth="1"/>
    <col min="3855" max="3855" width="14.8533333333333" style="122" customWidth="1"/>
    <col min="3856" max="4097" width="9.14" style="122"/>
    <col min="4098" max="4098" width="1.42666666666667" style="122" customWidth="1"/>
    <col min="4099" max="4099" width="14.8533333333333" style="122" customWidth="1"/>
    <col min="4100" max="4100" width="1.85333333333333" style="122" customWidth="1"/>
    <col min="4101" max="4101" width="9.14" style="122"/>
    <col min="4102" max="4102" width="1.57333333333333" style="122" customWidth="1"/>
    <col min="4103" max="4103" width="14.8533333333333" style="122" customWidth="1"/>
    <col min="4104" max="4104" width="2.42666666666667" style="122" customWidth="1"/>
    <col min="4105" max="4105" width="9.85333333333333" style="122" customWidth="1"/>
    <col min="4106" max="4106" width="2" style="122" customWidth="1"/>
    <col min="4107" max="4107" width="14.8533333333333" style="122" customWidth="1"/>
    <col min="4108" max="4108" width="2.42666666666667" style="122" customWidth="1"/>
    <col min="4109" max="4109" width="9.85333333333333" style="122" customWidth="1"/>
    <col min="4110" max="4110" width="2" style="122" customWidth="1"/>
    <col min="4111" max="4111" width="14.8533333333333" style="122" customWidth="1"/>
    <col min="4112" max="4353" width="9.14" style="122"/>
    <col min="4354" max="4354" width="1.42666666666667" style="122" customWidth="1"/>
    <col min="4355" max="4355" width="14.8533333333333" style="122" customWidth="1"/>
    <col min="4356" max="4356" width="1.85333333333333" style="122" customWidth="1"/>
    <col min="4357" max="4357" width="9.14" style="122"/>
    <col min="4358" max="4358" width="1.57333333333333" style="122" customWidth="1"/>
    <col min="4359" max="4359" width="14.8533333333333" style="122" customWidth="1"/>
    <col min="4360" max="4360" width="2.42666666666667" style="122" customWidth="1"/>
    <col min="4361" max="4361" width="9.85333333333333" style="122" customWidth="1"/>
    <col min="4362" max="4362" width="2" style="122" customWidth="1"/>
    <col min="4363" max="4363" width="14.8533333333333" style="122" customWidth="1"/>
    <col min="4364" max="4364" width="2.42666666666667" style="122" customWidth="1"/>
    <col min="4365" max="4365" width="9.85333333333333" style="122" customWidth="1"/>
    <col min="4366" max="4366" width="2" style="122" customWidth="1"/>
    <col min="4367" max="4367" width="14.8533333333333" style="122" customWidth="1"/>
    <col min="4368" max="4609" width="9.14" style="122"/>
    <col min="4610" max="4610" width="1.42666666666667" style="122" customWidth="1"/>
    <col min="4611" max="4611" width="14.8533333333333" style="122" customWidth="1"/>
    <col min="4612" max="4612" width="1.85333333333333" style="122" customWidth="1"/>
    <col min="4613" max="4613" width="9.14" style="122"/>
    <col min="4614" max="4614" width="1.57333333333333" style="122" customWidth="1"/>
    <col min="4615" max="4615" width="14.8533333333333" style="122" customWidth="1"/>
    <col min="4616" max="4616" width="2.42666666666667" style="122" customWidth="1"/>
    <col min="4617" max="4617" width="9.85333333333333" style="122" customWidth="1"/>
    <col min="4618" max="4618" width="2" style="122" customWidth="1"/>
    <col min="4619" max="4619" width="14.8533333333333" style="122" customWidth="1"/>
    <col min="4620" max="4620" width="2.42666666666667" style="122" customWidth="1"/>
    <col min="4621" max="4621" width="9.85333333333333" style="122" customWidth="1"/>
    <col min="4622" max="4622" width="2" style="122" customWidth="1"/>
    <col min="4623" max="4623" width="14.8533333333333" style="122" customWidth="1"/>
    <col min="4624" max="4865" width="9.14" style="122"/>
    <col min="4866" max="4866" width="1.42666666666667" style="122" customWidth="1"/>
    <col min="4867" max="4867" width="14.8533333333333" style="122" customWidth="1"/>
    <col min="4868" max="4868" width="1.85333333333333" style="122" customWidth="1"/>
    <col min="4869" max="4869" width="9.14" style="122"/>
    <col min="4870" max="4870" width="1.57333333333333" style="122" customWidth="1"/>
    <col min="4871" max="4871" width="14.8533333333333" style="122" customWidth="1"/>
    <col min="4872" max="4872" width="2.42666666666667" style="122" customWidth="1"/>
    <col min="4873" max="4873" width="9.85333333333333" style="122" customWidth="1"/>
    <col min="4874" max="4874" width="2" style="122" customWidth="1"/>
    <col min="4875" max="4875" width="14.8533333333333" style="122" customWidth="1"/>
    <col min="4876" max="4876" width="2.42666666666667" style="122" customWidth="1"/>
    <col min="4877" max="4877" width="9.85333333333333" style="122" customWidth="1"/>
    <col min="4878" max="4878" width="2" style="122" customWidth="1"/>
    <col min="4879" max="4879" width="14.8533333333333" style="122" customWidth="1"/>
    <col min="4880" max="5121" width="9.14" style="122"/>
    <col min="5122" max="5122" width="1.42666666666667" style="122" customWidth="1"/>
    <col min="5123" max="5123" width="14.8533333333333" style="122" customWidth="1"/>
    <col min="5124" max="5124" width="1.85333333333333" style="122" customWidth="1"/>
    <col min="5125" max="5125" width="9.14" style="122"/>
    <col min="5126" max="5126" width="1.57333333333333" style="122" customWidth="1"/>
    <col min="5127" max="5127" width="14.8533333333333" style="122" customWidth="1"/>
    <col min="5128" max="5128" width="2.42666666666667" style="122" customWidth="1"/>
    <col min="5129" max="5129" width="9.85333333333333" style="122" customWidth="1"/>
    <col min="5130" max="5130" width="2" style="122" customWidth="1"/>
    <col min="5131" max="5131" width="14.8533333333333" style="122" customWidth="1"/>
    <col min="5132" max="5132" width="2.42666666666667" style="122" customWidth="1"/>
    <col min="5133" max="5133" width="9.85333333333333" style="122" customWidth="1"/>
    <col min="5134" max="5134" width="2" style="122" customWidth="1"/>
    <col min="5135" max="5135" width="14.8533333333333" style="122" customWidth="1"/>
    <col min="5136" max="5377" width="9.14" style="122"/>
    <col min="5378" max="5378" width="1.42666666666667" style="122" customWidth="1"/>
    <col min="5379" max="5379" width="14.8533333333333" style="122" customWidth="1"/>
    <col min="5380" max="5380" width="1.85333333333333" style="122" customWidth="1"/>
    <col min="5381" max="5381" width="9.14" style="122"/>
    <col min="5382" max="5382" width="1.57333333333333" style="122" customWidth="1"/>
    <col min="5383" max="5383" width="14.8533333333333" style="122" customWidth="1"/>
    <col min="5384" max="5384" width="2.42666666666667" style="122" customWidth="1"/>
    <col min="5385" max="5385" width="9.85333333333333" style="122" customWidth="1"/>
    <col min="5386" max="5386" width="2" style="122" customWidth="1"/>
    <col min="5387" max="5387" width="14.8533333333333" style="122" customWidth="1"/>
    <col min="5388" max="5388" width="2.42666666666667" style="122" customWidth="1"/>
    <col min="5389" max="5389" width="9.85333333333333" style="122" customWidth="1"/>
    <col min="5390" max="5390" width="2" style="122" customWidth="1"/>
    <col min="5391" max="5391" width="14.8533333333333" style="122" customWidth="1"/>
    <col min="5392" max="5633" width="9.14" style="122"/>
    <col min="5634" max="5634" width="1.42666666666667" style="122" customWidth="1"/>
    <col min="5635" max="5635" width="14.8533333333333" style="122" customWidth="1"/>
    <col min="5636" max="5636" width="1.85333333333333" style="122" customWidth="1"/>
    <col min="5637" max="5637" width="9.14" style="122"/>
    <col min="5638" max="5638" width="1.57333333333333" style="122" customWidth="1"/>
    <col min="5639" max="5639" width="14.8533333333333" style="122" customWidth="1"/>
    <col min="5640" max="5640" width="2.42666666666667" style="122" customWidth="1"/>
    <col min="5641" max="5641" width="9.85333333333333" style="122" customWidth="1"/>
    <col min="5642" max="5642" width="2" style="122" customWidth="1"/>
    <col min="5643" max="5643" width="14.8533333333333" style="122" customWidth="1"/>
    <col min="5644" max="5644" width="2.42666666666667" style="122" customWidth="1"/>
    <col min="5645" max="5645" width="9.85333333333333" style="122" customWidth="1"/>
    <col min="5646" max="5646" width="2" style="122" customWidth="1"/>
    <col min="5647" max="5647" width="14.8533333333333" style="122" customWidth="1"/>
    <col min="5648" max="5889" width="9.14" style="122"/>
    <col min="5890" max="5890" width="1.42666666666667" style="122" customWidth="1"/>
    <col min="5891" max="5891" width="14.8533333333333" style="122" customWidth="1"/>
    <col min="5892" max="5892" width="1.85333333333333" style="122" customWidth="1"/>
    <col min="5893" max="5893" width="9.14" style="122"/>
    <col min="5894" max="5894" width="1.57333333333333" style="122" customWidth="1"/>
    <col min="5895" max="5895" width="14.8533333333333" style="122" customWidth="1"/>
    <col min="5896" max="5896" width="2.42666666666667" style="122" customWidth="1"/>
    <col min="5897" max="5897" width="9.85333333333333" style="122" customWidth="1"/>
    <col min="5898" max="5898" width="2" style="122" customWidth="1"/>
    <col min="5899" max="5899" width="14.8533333333333" style="122" customWidth="1"/>
    <col min="5900" max="5900" width="2.42666666666667" style="122" customWidth="1"/>
    <col min="5901" max="5901" width="9.85333333333333" style="122" customWidth="1"/>
    <col min="5902" max="5902" width="2" style="122" customWidth="1"/>
    <col min="5903" max="5903" width="14.8533333333333" style="122" customWidth="1"/>
    <col min="5904" max="6145" width="9.14" style="122"/>
    <col min="6146" max="6146" width="1.42666666666667" style="122" customWidth="1"/>
    <col min="6147" max="6147" width="14.8533333333333" style="122" customWidth="1"/>
    <col min="6148" max="6148" width="1.85333333333333" style="122" customWidth="1"/>
    <col min="6149" max="6149" width="9.14" style="122"/>
    <col min="6150" max="6150" width="1.57333333333333" style="122" customWidth="1"/>
    <col min="6151" max="6151" width="14.8533333333333" style="122" customWidth="1"/>
    <col min="6152" max="6152" width="2.42666666666667" style="122" customWidth="1"/>
    <col min="6153" max="6153" width="9.85333333333333" style="122" customWidth="1"/>
    <col min="6154" max="6154" width="2" style="122" customWidth="1"/>
    <col min="6155" max="6155" width="14.8533333333333" style="122" customWidth="1"/>
    <col min="6156" max="6156" width="2.42666666666667" style="122" customWidth="1"/>
    <col min="6157" max="6157" width="9.85333333333333" style="122" customWidth="1"/>
    <col min="6158" max="6158" width="2" style="122" customWidth="1"/>
    <col min="6159" max="6159" width="14.8533333333333" style="122" customWidth="1"/>
    <col min="6160" max="6401" width="9.14" style="122"/>
    <col min="6402" max="6402" width="1.42666666666667" style="122" customWidth="1"/>
    <col min="6403" max="6403" width="14.8533333333333" style="122" customWidth="1"/>
    <col min="6404" max="6404" width="1.85333333333333" style="122" customWidth="1"/>
    <col min="6405" max="6405" width="9.14" style="122"/>
    <col min="6406" max="6406" width="1.57333333333333" style="122" customWidth="1"/>
    <col min="6407" max="6407" width="14.8533333333333" style="122" customWidth="1"/>
    <col min="6408" max="6408" width="2.42666666666667" style="122" customWidth="1"/>
    <col min="6409" max="6409" width="9.85333333333333" style="122" customWidth="1"/>
    <col min="6410" max="6410" width="2" style="122" customWidth="1"/>
    <col min="6411" max="6411" width="14.8533333333333" style="122" customWidth="1"/>
    <col min="6412" max="6412" width="2.42666666666667" style="122" customWidth="1"/>
    <col min="6413" max="6413" width="9.85333333333333" style="122" customWidth="1"/>
    <col min="6414" max="6414" width="2" style="122" customWidth="1"/>
    <col min="6415" max="6415" width="14.8533333333333" style="122" customWidth="1"/>
    <col min="6416" max="6657" width="9.14" style="122"/>
    <col min="6658" max="6658" width="1.42666666666667" style="122" customWidth="1"/>
    <col min="6659" max="6659" width="14.8533333333333" style="122" customWidth="1"/>
    <col min="6660" max="6660" width="1.85333333333333" style="122" customWidth="1"/>
    <col min="6661" max="6661" width="9.14" style="122"/>
    <col min="6662" max="6662" width="1.57333333333333" style="122" customWidth="1"/>
    <col min="6663" max="6663" width="14.8533333333333" style="122" customWidth="1"/>
    <col min="6664" max="6664" width="2.42666666666667" style="122" customWidth="1"/>
    <col min="6665" max="6665" width="9.85333333333333" style="122" customWidth="1"/>
    <col min="6666" max="6666" width="2" style="122" customWidth="1"/>
    <col min="6667" max="6667" width="14.8533333333333" style="122" customWidth="1"/>
    <col min="6668" max="6668" width="2.42666666666667" style="122" customWidth="1"/>
    <col min="6669" max="6669" width="9.85333333333333" style="122" customWidth="1"/>
    <col min="6670" max="6670" width="2" style="122" customWidth="1"/>
    <col min="6671" max="6671" width="14.8533333333333" style="122" customWidth="1"/>
    <col min="6672" max="6913" width="9.14" style="122"/>
    <col min="6914" max="6914" width="1.42666666666667" style="122" customWidth="1"/>
    <col min="6915" max="6915" width="14.8533333333333" style="122" customWidth="1"/>
    <col min="6916" max="6916" width="1.85333333333333" style="122" customWidth="1"/>
    <col min="6917" max="6917" width="9.14" style="122"/>
    <col min="6918" max="6918" width="1.57333333333333" style="122" customWidth="1"/>
    <col min="6919" max="6919" width="14.8533333333333" style="122" customWidth="1"/>
    <col min="6920" max="6920" width="2.42666666666667" style="122" customWidth="1"/>
    <col min="6921" max="6921" width="9.85333333333333" style="122" customWidth="1"/>
    <col min="6922" max="6922" width="2" style="122" customWidth="1"/>
    <col min="6923" max="6923" width="14.8533333333333" style="122" customWidth="1"/>
    <col min="6924" max="6924" width="2.42666666666667" style="122" customWidth="1"/>
    <col min="6925" max="6925" width="9.85333333333333" style="122" customWidth="1"/>
    <col min="6926" max="6926" width="2" style="122" customWidth="1"/>
    <col min="6927" max="6927" width="14.8533333333333" style="122" customWidth="1"/>
    <col min="6928" max="7169" width="9.14" style="122"/>
    <col min="7170" max="7170" width="1.42666666666667" style="122" customWidth="1"/>
    <col min="7171" max="7171" width="14.8533333333333" style="122" customWidth="1"/>
    <col min="7172" max="7172" width="1.85333333333333" style="122" customWidth="1"/>
    <col min="7173" max="7173" width="9.14" style="122"/>
    <col min="7174" max="7174" width="1.57333333333333" style="122" customWidth="1"/>
    <col min="7175" max="7175" width="14.8533333333333" style="122" customWidth="1"/>
    <col min="7176" max="7176" width="2.42666666666667" style="122" customWidth="1"/>
    <col min="7177" max="7177" width="9.85333333333333" style="122" customWidth="1"/>
    <col min="7178" max="7178" width="2" style="122" customWidth="1"/>
    <col min="7179" max="7179" width="14.8533333333333" style="122" customWidth="1"/>
    <col min="7180" max="7180" width="2.42666666666667" style="122" customWidth="1"/>
    <col min="7181" max="7181" width="9.85333333333333" style="122" customWidth="1"/>
    <col min="7182" max="7182" width="2" style="122" customWidth="1"/>
    <col min="7183" max="7183" width="14.8533333333333" style="122" customWidth="1"/>
    <col min="7184" max="7425" width="9.14" style="122"/>
    <col min="7426" max="7426" width="1.42666666666667" style="122" customWidth="1"/>
    <col min="7427" max="7427" width="14.8533333333333" style="122" customWidth="1"/>
    <col min="7428" max="7428" width="1.85333333333333" style="122" customWidth="1"/>
    <col min="7429" max="7429" width="9.14" style="122"/>
    <col min="7430" max="7430" width="1.57333333333333" style="122" customWidth="1"/>
    <col min="7431" max="7431" width="14.8533333333333" style="122" customWidth="1"/>
    <col min="7432" max="7432" width="2.42666666666667" style="122" customWidth="1"/>
    <col min="7433" max="7433" width="9.85333333333333" style="122" customWidth="1"/>
    <col min="7434" max="7434" width="2" style="122" customWidth="1"/>
    <col min="7435" max="7435" width="14.8533333333333" style="122" customWidth="1"/>
    <col min="7436" max="7436" width="2.42666666666667" style="122" customWidth="1"/>
    <col min="7437" max="7437" width="9.85333333333333" style="122" customWidth="1"/>
    <col min="7438" max="7438" width="2" style="122" customWidth="1"/>
    <col min="7439" max="7439" width="14.8533333333333" style="122" customWidth="1"/>
    <col min="7440" max="7681" width="9.14" style="122"/>
    <col min="7682" max="7682" width="1.42666666666667" style="122" customWidth="1"/>
    <col min="7683" max="7683" width="14.8533333333333" style="122" customWidth="1"/>
    <col min="7684" max="7684" width="1.85333333333333" style="122" customWidth="1"/>
    <col min="7685" max="7685" width="9.14" style="122"/>
    <col min="7686" max="7686" width="1.57333333333333" style="122" customWidth="1"/>
    <col min="7687" max="7687" width="14.8533333333333" style="122" customWidth="1"/>
    <col min="7688" max="7688" width="2.42666666666667" style="122" customWidth="1"/>
    <col min="7689" max="7689" width="9.85333333333333" style="122" customWidth="1"/>
    <col min="7690" max="7690" width="2" style="122" customWidth="1"/>
    <col min="7691" max="7691" width="14.8533333333333" style="122" customWidth="1"/>
    <col min="7692" max="7692" width="2.42666666666667" style="122" customWidth="1"/>
    <col min="7693" max="7693" width="9.85333333333333" style="122" customWidth="1"/>
    <col min="7694" max="7694" width="2" style="122" customWidth="1"/>
    <col min="7695" max="7695" width="14.8533333333333" style="122" customWidth="1"/>
    <col min="7696" max="7937" width="9.14" style="122"/>
    <col min="7938" max="7938" width="1.42666666666667" style="122" customWidth="1"/>
    <col min="7939" max="7939" width="14.8533333333333" style="122" customWidth="1"/>
    <col min="7940" max="7940" width="1.85333333333333" style="122" customWidth="1"/>
    <col min="7941" max="7941" width="9.14" style="122"/>
    <col min="7942" max="7942" width="1.57333333333333" style="122" customWidth="1"/>
    <col min="7943" max="7943" width="14.8533333333333" style="122" customWidth="1"/>
    <col min="7944" max="7944" width="2.42666666666667" style="122" customWidth="1"/>
    <col min="7945" max="7945" width="9.85333333333333" style="122" customWidth="1"/>
    <col min="7946" max="7946" width="2" style="122" customWidth="1"/>
    <col min="7947" max="7947" width="14.8533333333333" style="122" customWidth="1"/>
    <col min="7948" max="7948" width="2.42666666666667" style="122" customWidth="1"/>
    <col min="7949" max="7949" width="9.85333333333333" style="122" customWidth="1"/>
    <col min="7950" max="7950" width="2" style="122" customWidth="1"/>
    <col min="7951" max="7951" width="14.8533333333333" style="122" customWidth="1"/>
    <col min="7952" max="8193" width="9.14" style="122"/>
    <col min="8194" max="8194" width="1.42666666666667" style="122" customWidth="1"/>
    <col min="8195" max="8195" width="14.8533333333333" style="122" customWidth="1"/>
    <col min="8196" max="8196" width="1.85333333333333" style="122" customWidth="1"/>
    <col min="8197" max="8197" width="9.14" style="122"/>
    <col min="8198" max="8198" width="1.57333333333333" style="122" customWidth="1"/>
    <col min="8199" max="8199" width="14.8533333333333" style="122" customWidth="1"/>
    <col min="8200" max="8200" width="2.42666666666667" style="122" customWidth="1"/>
    <col min="8201" max="8201" width="9.85333333333333" style="122" customWidth="1"/>
    <col min="8202" max="8202" width="2" style="122" customWidth="1"/>
    <col min="8203" max="8203" width="14.8533333333333" style="122" customWidth="1"/>
    <col min="8204" max="8204" width="2.42666666666667" style="122" customWidth="1"/>
    <col min="8205" max="8205" width="9.85333333333333" style="122" customWidth="1"/>
    <col min="8206" max="8206" width="2" style="122" customWidth="1"/>
    <col min="8207" max="8207" width="14.8533333333333" style="122" customWidth="1"/>
    <col min="8208" max="8449" width="9.14" style="122"/>
    <col min="8450" max="8450" width="1.42666666666667" style="122" customWidth="1"/>
    <col min="8451" max="8451" width="14.8533333333333" style="122" customWidth="1"/>
    <col min="8452" max="8452" width="1.85333333333333" style="122" customWidth="1"/>
    <col min="8453" max="8453" width="9.14" style="122"/>
    <col min="8454" max="8454" width="1.57333333333333" style="122" customWidth="1"/>
    <col min="8455" max="8455" width="14.8533333333333" style="122" customWidth="1"/>
    <col min="8456" max="8456" width="2.42666666666667" style="122" customWidth="1"/>
    <col min="8457" max="8457" width="9.85333333333333" style="122" customWidth="1"/>
    <col min="8458" max="8458" width="2" style="122" customWidth="1"/>
    <col min="8459" max="8459" width="14.8533333333333" style="122" customWidth="1"/>
    <col min="8460" max="8460" width="2.42666666666667" style="122" customWidth="1"/>
    <col min="8461" max="8461" width="9.85333333333333" style="122" customWidth="1"/>
    <col min="8462" max="8462" width="2" style="122" customWidth="1"/>
    <col min="8463" max="8463" width="14.8533333333333" style="122" customWidth="1"/>
    <col min="8464" max="8705" width="9.14" style="122"/>
    <col min="8706" max="8706" width="1.42666666666667" style="122" customWidth="1"/>
    <col min="8707" max="8707" width="14.8533333333333" style="122" customWidth="1"/>
    <col min="8708" max="8708" width="1.85333333333333" style="122" customWidth="1"/>
    <col min="8709" max="8709" width="9.14" style="122"/>
    <col min="8710" max="8710" width="1.57333333333333" style="122" customWidth="1"/>
    <col min="8711" max="8711" width="14.8533333333333" style="122" customWidth="1"/>
    <col min="8712" max="8712" width="2.42666666666667" style="122" customWidth="1"/>
    <col min="8713" max="8713" width="9.85333333333333" style="122" customWidth="1"/>
    <col min="8714" max="8714" width="2" style="122" customWidth="1"/>
    <col min="8715" max="8715" width="14.8533333333333" style="122" customWidth="1"/>
    <col min="8716" max="8716" width="2.42666666666667" style="122" customWidth="1"/>
    <col min="8717" max="8717" width="9.85333333333333" style="122" customWidth="1"/>
    <col min="8718" max="8718" width="2" style="122" customWidth="1"/>
    <col min="8719" max="8719" width="14.8533333333333" style="122" customWidth="1"/>
    <col min="8720" max="8961" width="9.14" style="122"/>
    <col min="8962" max="8962" width="1.42666666666667" style="122" customWidth="1"/>
    <col min="8963" max="8963" width="14.8533333333333" style="122" customWidth="1"/>
    <col min="8964" max="8964" width="1.85333333333333" style="122" customWidth="1"/>
    <col min="8965" max="8965" width="9.14" style="122"/>
    <col min="8966" max="8966" width="1.57333333333333" style="122" customWidth="1"/>
    <col min="8967" max="8967" width="14.8533333333333" style="122" customWidth="1"/>
    <col min="8968" max="8968" width="2.42666666666667" style="122" customWidth="1"/>
    <col min="8969" max="8969" width="9.85333333333333" style="122" customWidth="1"/>
    <col min="8970" max="8970" width="2" style="122" customWidth="1"/>
    <col min="8971" max="8971" width="14.8533333333333" style="122" customWidth="1"/>
    <col min="8972" max="8972" width="2.42666666666667" style="122" customWidth="1"/>
    <col min="8973" max="8973" width="9.85333333333333" style="122" customWidth="1"/>
    <col min="8974" max="8974" width="2" style="122" customWidth="1"/>
    <col min="8975" max="8975" width="14.8533333333333" style="122" customWidth="1"/>
    <col min="8976" max="9217" width="9.14" style="122"/>
    <col min="9218" max="9218" width="1.42666666666667" style="122" customWidth="1"/>
    <col min="9219" max="9219" width="14.8533333333333" style="122" customWidth="1"/>
    <col min="9220" max="9220" width="1.85333333333333" style="122" customWidth="1"/>
    <col min="9221" max="9221" width="9.14" style="122"/>
    <col min="9222" max="9222" width="1.57333333333333" style="122" customWidth="1"/>
    <col min="9223" max="9223" width="14.8533333333333" style="122" customWidth="1"/>
    <col min="9224" max="9224" width="2.42666666666667" style="122" customWidth="1"/>
    <col min="9225" max="9225" width="9.85333333333333" style="122" customWidth="1"/>
    <col min="9226" max="9226" width="2" style="122" customWidth="1"/>
    <col min="9227" max="9227" width="14.8533333333333" style="122" customWidth="1"/>
    <col min="9228" max="9228" width="2.42666666666667" style="122" customWidth="1"/>
    <col min="9229" max="9229" width="9.85333333333333" style="122" customWidth="1"/>
    <col min="9230" max="9230" width="2" style="122" customWidth="1"/>
    <col min="9231" max="9231" width="14.8533333333333" style="122" customWidth="1"/>
    <col min="9232" max="9473" width="9.14" style="122"/>
    <col min="9474" max="9474" width="1.42666666666667" style="122" customWidth="1"/>
    <col min="9475" max="9475" width="14.8533333333333" style="122" customWidth="1"/>
    <col min="9476" max="9476" width="1.85333333333333" style="122" customWidth="1"/>
    <col min="9477" max="9477" width="9.14" style="122"/>
    <col min="9478" max="9478" width="1.57333333333333" style="122" customWidth="1"/>
    <col min="9479" max="9479" width="14.8533333333333" style="122" customWidth="1"/>
    <col min="9480" max="9480" width="2.42666666666667" style="122" customWidth="1"/>
    <col min="9481" max="9481" width="9.85333333333333" style="122" customWidth="1"/>
    <col min="9482" max="9482" width="2" style="122" customWidth="1"/>
    <col min="9483" max="9483" width="14.8533333333333" style="122" customWidth="1"/>
    <col min="9484" max="9484" width="2.42666666666667" style="122" customWidth="1"/>
    <col min="9485" max="9485" width="9.85333333333333" style="122" customWidth="1"/>
    <col min="9486" max="9486" width="2" style="122" customWidth="1"/>
    <col min="9487" max="9487" width="14.8533333333333" style="122" customWidth="1"/>
    <col min="9488" max="9729" width="9.14" style="122"/>
    <col min="9730" max="9730" width="1.42666666666667" style="122" customWidth="1"/>
    <col min="9731" max="9731" width="14.8533333333333" style="122" customWidth="1"/>
    <col min="9732" max="9732" width="1.85333333333333" style="122" customWidth="1"/>
    <col min="9733" max="9733" width="9.14" style="122"/>
    <col min="9734" max="9734" width="1.57333333333333" style="122" customWidth="1"/>
    <col min="9735" max="9735" width="14.8533333333333" style="122" customWidth="1"/>
    <col min="9736" max="9736" width="2.42666666666667" style="122" customWidth="1"/>
    <col min="9737" max="9737" width="9.85333333333333" style="122" customWidth="1"/>
    <col min="9738" max="9738" width="2" style="122" customWidth="1"/>
    <col min="9739" max="9739" width="14.8533333333333" style="122" customWidth="1"/>
    <col min="9740" max="9740" width="2.42666666666667" style="122" customWidth="1"/>
    <col min="9741" max="9741" width="9.85333333333333" style="122" customWidth="1"/>
    <col min="9742" max="9742" width="2" style="122" customWidth="1"/>
    <col min="9743" max="9743" width="14.8533333333333" style="122" customWidth="1"/>
    <col min="9744" max="9985" width="9.14" style="122"/>
    <col min="9986" max="9986" width="1.42666666666667" style="122" customWidth="1"/>
    <col min="9987" max="9987" width="14.8533333333333" style="122" customWidth="1"/>
    <col min="9988" max="9988" width="1.85333333333333" style="122" customWidth="1"/>
    <col min="9989" max="9989" width="9.14" style="122"/>
    <col min="9990" max="9990" width="1.57333333333333" style="122" customWidth="1"/>
    <col min="9991" max="9991" width="14.8533333333333" style="122" customWidth="1"/>
    <col min="9992" max="9992" width="2.42666666666667" style="122" customWidth="1"/>
    <col min="9993" max="9993" width="9.85333333333333" style="122" customWidth="1"/>
    <col min="9994" max="9994" width="2" style="122" customWidth="1"/>
    <col min="9995" max="9995" width="14.8533333333333" style="122" customWidth="1"/>
    <col min="9996" max="9996" width="2.42666666666667" style="122" customWidth="1"/>
    <col min="9997" max="9997" width="9.85333333333333" style="122" customWidth="1"/>
    <col min="9998" max="9998" width="2" style="122" customWidth="1"/>
    <col min="9999" max="9999" width="14.8533333333333" style="122" customWidth="1"/>
    <col min="10000" max="10241" width="9.14" style="122"/>
    <col min="10242" max="10242" width="1.42666666666667" style="122" customWidth="1"/>
    <col min="10243" max="10243" width="14.8533333333333" style="122" customWidth="1"/>
    <col min="10244" max="10244" width="1.85333333333333" style="122" customWidth="1"/>
    <col min="10245" max="10245" width="9.14" style="122"/>
    <col min="10246" max="10246" width="1.57333333333333" style="122" customWidth="1"/>
    <col min="10247" max="10247" width="14.8533333333333" style="122" customWidth="1"/>
    <col min="10248" max="10248" width="2.42666666666667" style="122" customWidth="1"/>
    <col min="10249" max="10249" width="9.85333333333333" style="122" customWidth="1"/>
    <col min="10250" max="10250" width="2" style="122" customWidth="1"/>
    <col min="10251" max="10251" width="14.8533333333333" style="122" customWidth="1"/>
    <col min="10252" max="10252" width="2.42666666666667" style="122" customWidth="1"/>
    <col min="10253" max="10253" width="9.85333333333333" style="122" customWidth="1"/>
    <col min="10254" max="10254" width="2" style="122" customWidth="1"/>
    <col min="10255" max="10255" width="14.8533333333333" style="122" customWidth="1"/>
    <col min="10256" max="10497" width="9.14" style="122"/>
    <col min="10498" max="10498" width="1.42666666666667" style="122" customWidth="1"/>
    <col min="10499" max="10499" width="14.8533333333333" style="122" customWidth="1"/>
    <col min="10500" max="10500" width="1.85333333333333" style="122" customWidth="1"/>
    <col min="10501" max="10501" width="9.14" style="122"/>
    <col min="10502" max="10502" width="1.57333333333333" style="122" customWidth="1"/>
    <col min="10503" max="10503" width="14.8533333333333" style="122" customWidth="1"/>
    <col min="10504" max="10504" width="2.42666666666667" style="122" customWidth="1"/>
    <col min="10505" max="10505" width="9.85333333333333" style="122" customWidth="1"/>
    <col min="10506" max="10506" width="2" style="122" customWidth="1"/>
    <col min="10507" max="10507" width="14.8533333333333" style="122" customWidth="1"/>
    <col min="10508" max="10508" width="2.42666666666667" style="122" customWidth="1"/>
    <col min="10509" max="10509" width="9.85333333333333" style="122" customWidth="1"/>
    <col min="10510" max="10510" width="2" style="122" customWidth="1"/>
    <col min="10511" max="10511" width="14.8533333333333" style="122" customWidth="1"/>
    <col min="10512" max="10753" width="9.14" style="122"/>
    <col min="10754" max="10754" width="1.42666666666667" style="122" customWidth="1"/>
    <col min="10755" max="10755" width="14.8533333333333" style="122" customWidth="1"/>
    <col min="10756" max="10756" width="1.85333333333333" style="122" customWidth="1"/>
    <col min="10757" max="10757" width="9.14" style="122"/>
    <col min="10758" max="10758" width="1.57333333333333" style="122" customWidth="1"/>
    <col min="10759" max="10759" width="14.8533333333333" style="122" customWidth="1"/>
    <col min="10760" max="10760" width="2.42666666666667" style="122" customWidth="1"/>
    <col min="10761" max="10761" width="9.85333333333333" style="122" customWidth="1"/>
    <col min="10762" max="10762" width="2" style="122" customWidth="1"/>
    <col min="10763" max="10763" width="14.8533333333333" style="122" customWidth="1"/>
    <col min="10764" max="10764" width="2.42666666666667" style="122" customWidth="1"/>
    <col min="10765" max="10765" width="9.85333333333333" style="122" customWidth="1"/>
    <col min="10766" max="10766" width="2" style="122" customWidth="1"/>
    <col min="10767" max="10767" width="14.8533333333333" style="122" customWidth="1"/>
    <col min="10768" max="11009" width="9.14" style="122"/>
    <col min="11010" max="11010" width="1.42666666666667" style="122" customWidth="1"/>
    <col min="11011" max="11011" width="14.8533333333333" style="122" customWidth="1"/>
    <col min="11012" max="11012" width="1.85333333333333" style="122" customWidth="1"/>
    <col min="11013" max="11013" width="9.14" style="122"/>
    <col min="11014" max="11014" width="1.57333333333333" style="122" customWidth="1"/>
    <col min="11015" max="11015" width="14.8533333333333" style="122" customWidth="1"/>
    <col min="11016" max="11016" width="2.42666666666667" style="122" customWidth="1"/>
    <col min="11017" max="11017" width="9.85333333333333" style="122" customWidth="1"/>
    <col min="11018" max="11018" width="2" style="122" customWidth="1"/>
    <col min="11019" max="11019" width="14.8533333333333" style="122" customWidth="1"/>
    <col min="11020" max="11020" width="2.42666666666667" style="122" customWidth="1"/>
    <col min="11021" max="11021" width="9.85333333333333" style="122" customWidth="1"/>
    <col min="11022" max="11022" width="2" style="122" customWidth="1"/>
    <col min="11023" max="11023" width="14.8533333333333" style="122" customWidth="1"/>
    <col min="11024" max="11265" width="9.14" style="122"/>
    <col min="11266" max="11266" width="1.42666666666667" style="122" customWidth="1"/>
    <col min="11267" max="11267" width="14.8533333333333" style="122" customWidth="1"/>
    <col min="11268" max="11268" width="1.85333333333333" style="122" customWidth="1"/>
    <col min="11269" max="11269" width="9.14" style="122"/>
    <col min="11270" max="11270" width="1.57333333333333" style="122" customWidth="1"/>
    <col min="11271" max="11271" width="14.8533333333333" style="122" customWidth="1"/>
    <col min="11272" max="11272" width="2.42666666666667" style="122" customWidth="1"/>
    <col min="11273" max="11273" width="9.85333333333333" style="122" customWidth="1"/>
    <col min="11274" max="11274" width="2" style="122" customWidth="1"/>
    <col min="11275" max="11275" width="14.8533333333333" style="122" customWidth="1"/>
    <col min="11276" max="11276" width="2.42666666666667" style="122" customWidth="1"/>
    <col min="11277" max="11277" width="9.85333333333333" style="122" customWidth="1"/>
    <col min="11278" max="11278" width="2" style="122" customWidth="1"/>
    <col min="11279" max="11279" width="14.8533333333333" style="122" customWidth="1"/>
    <col min="11280" max="11521" width="9.14" style="122"/>
    <col min="11522" max="11522" width="1.42666666666667" style="122" customWidth="1"/>
    <col min="11523" max="11523" width="14.8533333333333" style="122" customWidth="1"/>
    <col min="11524" max="11524" width="1.85333333333333" style="122" customWidth="1"/>
    <col min="11525" max="11525" width="9.14" style="122"/>
    <col min="11526" max="11526" width="1.57333333333333" style="122" customWidth="1"/>
    <col min="11527" max="11527" width="14.8533333333333" style="122" customWidth="1"/>
    <col min="11528" max="11528" width="2.42666666666667" style="122" customWidth="1"/>
    <col min="11529" max="11529" width="9.85333333333333" style="122" customWidth="1"/>
    <col min="11530" max="11530" width="2" style="122" customWidth="1"/>
    <col min="11531" max="11531" width="14.8533333333333" style="122" customWidth="1"/>
    <col min="11532" max="11532" width="2.42666666666667" style="122" customWidth="1"/>
    <col min="11533" max="11533" width="9.85333333333333" style="122" customWidth="1"/>
    <col min="11534" max="11534" width="2" style="122" customWidth="1"/>
    <col min="11535" max="11535" width="14.8533333333333" style="122" customWidth="1"/>
    <col min="11536" max="11777" width="9.14" style="122"/>
    <col min="11778" max="11778" width="1.42666666666667" style="122" customWidth="1"/>
    <col min="11779" max="11779" width="14.8533333333333" style="122" customWidth="1"/>
    <col min="11780" max="11780" width="1.85333333333333" style="122" customWidth="1"/>
    <col min="11781" max="11781" width="9.14" style="122"/>
    <col min="11782" max="11782" width="1.57333333333333" style="122" customWidth="1"/>
    <col min="11783" max="11783" width="14.8533333333333" style="122" customWidth="1"/>
    <col min="11784" max="11784" width="2.42666666666667" style="122" customWidth="1"/>
    <col min="11785" max="11785" width="9.85333333333333" style="122" customWidth="1"/>
    <col min="11786" max="11786" width="2" style="122" customWidth="1"/>
    <col min="11787" max="11787" width="14.8533333333333" style="122" customWidth="1"/>
    <col min="11788" max="11788" width="2.42666666666667" style="122" customWidth="1"/>
    <col min="11789" max="11789" width="9.85333333333333" style="122" customWidth="1"/>
    <col min="11790" max="11790" width="2" style="122" customWidth="1"/>
    <col min="11791" max="11791" width="14.8533333333333" style="122" customWidth="1"/>
    <col min="11792" max="12033" width="9.14" style="122"/>
    <col min="12034" max="12034" width="1.42666666666667" style="122" customWidth="1"/>
    <col min="12035" max="12035" width="14.8533333333333" style="122" customWidth="1"/>
    <col min="12036" max="12036" width="1.85333333333333" style="122" customWidth="1"/>
    <col min="12037" max="12037" width="9.14" style="122"/>
    <col min="12038" max="12038" width="1.57333333333333" style="122" customWidth="1"/>
    <col min="12039" max="12039" width="14.8533333333333" style="122" customWidth="1"/>
    <col min="12040" max="12040" width="2.42666666666667" style="122" customWidth="1"/>
    <col min="12041" max="12041" width="9.85333333333333" style="122" customWidth="1"/>
    <col min="12042" max="12042" width="2" style="122" customWidth="1"/>
    <col min="12043" max="12043" width="14.8533333333333" style="122" customWidth="1"/>
    <col min="12044" max="12044" width="2.42666666666667" style="122" customWidth="1"/>
    <col min="12045" max="12045" width="9.85333333333333" style="122" customWidth="1"/>
    <col min="12046" max="12046" width="2" style="122" customWidth="1"/>
    <col min="12047" max="12047" width="14.8533333333333" style="122" customWidth="1"/>
    <col min="12048" max="12289" width="9.14" style="122"/>
    <col min="12290" max="12290" width="1.42666666666667" style="122" customWidth="1"/>
    <col min="12291" max="12291" width="14.8533333333333" style="122" customWidth="1"/>
    <col min="12292" max="12292" width="1.85333333333333" style="122" customWidth="1"/>
    <col min="12293" max="12293" width="9.14" style="122"/>
    <col min="12294" max="12294" width="1.57333333333333" style="122" customWidth="1"/>
    <col min="12295" max="12295" width="14.8533333333333" style="122" customWidth="1"/>
    <col min="12296" max="12296" width="2.42666666666667" style="122" customWidth="1"/>
    <col min="12297" max="12297" width="9.85333333333333" style="122" customWidth="1"/>
    <col min="12298" max="12298" width="2" style="122" customWidth="1"/>
    <col min="12299" max="12299" width="14.8533333333333" style="122" customWidth="1"/>
    <col min="12300" max="12300" width="2.42666666666667" style="122" customWidth="1"/>
    <col min="12301" max="12301" width="9.85333333333333" style="122" customWidth="1"/>
    <col min="12302" max="12302" width="2" style="122" customWidth="1"/>
    <col min="12303" max="12303" width="14.8533333333333" style="122" customWidth="1"/>
    <col min="12304" max="12545" width="9.14" style="122"/>
    <col min="12546" max="12546" width="1.42666666666667" style="122" customWidth="1"/>
    <col min="12547" max="12547" width="14.8533333333333" style="122" customWidth="1"/>
    <col min="12548" max="12548" width="1.85333333333333" style="122" customWidth="1"/>
    <col min="12549" max="12549" width="9.14" style="122"/>
    <col min="12550" max="12550" width="1.57333333333333" style="122" customWidth="1"/>
    <col min="12551" max="12551" width="14.8533333333333" style="122" customWidth="1"/>
    <col min="12552" max="12552" width="2.42666666666667" style="122" customWidth="1"/>
    <col min="12553" max="12553" width="9.85333333333333" style="122" customWidth="1"/>
    <col min="12554" max="12554" width="2" style="122" customWidth="1"/>
    <col min="12555" max="12555" width="14.8533333333333" style="122" customWidth="1"/>
    <col min="12556" max="12556" width="2.42666666666667" style="122" customWidth="1"/>
    <col min="12557" max="12557" width="9.85333333333333" style="122" customWidth="1"/>
    <col min="12558" max="12558" width="2" style="122" customWidth="1"/>
    <col min="12559" max="12559" width="14.8533333333333" style="122" customWidth="1"/>
    <col min="12560" max="12801" width="9.14" style="122"/>
    <col min="12802" max="12802" width="1.42666666666667" style="122" customWidth="1"/>
    <col min="12803" max="12803" width="14.8533333333333" style="122" customWidth="1"/>
    <col min="12804" max="12804" width="1.85333333333333" style="122" customWidth="1"/>
    <col min="12805" max="12805" width="9.14" style="122"/>
    <col min="12806" max="12806" width="1.57333333333333" style="122" customWidth="1"/>
    <col min="12807" max="12807" width="14.8533333333333" style="122" customWidth="1"/>
    <col min="12808" max="12808" width="2.42666666666667" style="122" customWidth="1"/>
    <col min="12809" max="12809" width="9.85333333333333" style="122" customWidth="1"/>
    <col min="12810" max="12810" width="2" style="122" customWidth="1"/>
    <col min="12811" max="12811" width="14.8533333333333" style="122" customWidth="1"/>
    <col min="12812" max="12812" width="2.42666666666667" style="122" customWidth="1"/>
    <col min="12813" max="12813" width="9.85333333333333" style="122" customWidth="1"/>
    <col min="12814" max="12814" width="2" style="122" customWidth="1"/>
    <col min="12815" max="12815" width="14.8533333333333" style="122" customWidth="1"/>
    <col min="12816" max="13057" width="9.14" style="122"/>
    <col min="13058" max="13058" width="1.42666666666667" style="122" customWidth="1"/>
    <col min="13059" max="13059" width="14.8533333333333" style="122" customWidth="1"/>
    <col min="13060" max="13060" width="1.85333333333333" style="122" customWidth="1"/>
    <col min="13061" max="13061" width="9.14" style="122"/>
    <col min="13062" max="13062" width="1.57333333333333" style="122" customWidth="1"/>
    <col min="13063" max="13063" width="14.8533333333333" style="122" customWidth="1"/>
    <col min="13064" max="13064" width="2.42666666666667" style="122" customWidth="1"/>
    <col min="13065" max="13065" width="9.85333333333333" style="122" customWidth="1"/>
    <col min="13066" max="13066" width="2" style="122" customWidth="1"/>
    <col min="13067" max="13067" width="14.8533333333333" style="122" customWidth="1"/>
    <col min="13068" max="13068" width="2.42666666666667" style="122" customWidth="1"/>
    <col min="13069" max="13069" width="9.85333333333333" style="122" customWidth="1"/>
    <col min="13070" max="13070" width="2" style="122" customWidth="1"/>
    <col min="13071" max="13071" width="14.8533333333333" style="122" customWidth="1"/>
    <col min="13072" max="13313" width="9.14" style="122"/>
    <col min="13314" max="13314" width="1.42666666666667" style="122" customWidth="1"/>
    <col min="13315" max="13315" width="14.8533333333333" style="122" customWidth="1"/>
    <col min="13316" max="13316" width="1.85333333333333" style="122" customWidth="1"/>
    <col min="13317" max="13317" width="9.14" style="122"/>
    <col min="13318" max="13318" width="1.57333333333333" style="122" customWidth="1"/>
    <col min="13319" max="13319" width="14.8533333333333" style="122" customWidth="1"/>
    <col min="13320" max="13320" width="2.42666666666667" style="122" customWidth="1"/>
    <col min="13321" max="13321" width="9.85333333333333" style="122" customWidth="1"/>
    <col min="13322" max="13322" width="2" style="122" customWidth="1"/>
    <col min="13323" max="13323" width="14.8533333333333" style="122" customWidth="1"/>
    <col min="13324" max="13324" width="2.42666666666667" style="122" customWidth="1"/>
    <col min="13325" max="13325" width="9.85333333333333" style="122" customWidth="1"/>
    <col min="13326" max="13326" width="2" style="122" customWidth="1"/>
    <col min="13327" max="13327" width="14.8533333333333" style="122" customWidth="1"/>
    <col min="13328" max="13569" width="9.14" style="122"/>
    <col min="13570" max="13570" width="1.42666666666667" style="122" customWidth="1"/>
    <col min="13571" max="13571" width="14.8533333333333" style="122" customWidth="1"/>
    <col min="13572" max="13572" width="1.85333333333333" style="122" customWidth="1"/>
    <col min="13573" max="13573" width="9.14" style="122"/>
    <col min="13574" max="13574" width="1.57333333333333" style="122" customWidth="1"/>
    <col min="13575" max="13575" width="14.8533333333333" style="122" customWidth="1"/>
    <col min="13576" max="13576" width="2.42666666666667" style="122" customWidth="1"/>
    <col min="13577" max="13577" width="9.85333333333333" style="122" customWidth="1"/>
    <col min="13578" max="13578" width="2" style="122" customWidth="1"/>
    <col min="13579" max="13579" width="14.8533333333333" style="122" customWidth="1"/>
    <col min="13580" max="13580" width="2.42666666666667" style="122" customWidth="1"/>
    <col min="13581" max="13581" width="9.85333333333333" style="122" customWidth="1"/>
    <col min="13582" max="13582" width="2" style="122" customWidth="1"/>
    <col min="13583" max="13583" width="14.8533333333333" style="122" customWidth="1"/>
    <col min="13584" max="13825" width="9.14" style="122"/>
    <col min="13826" max="13826" width="1.42666666666667" style="122" customWidth="1"/>
    <col min="13827" max="13827" width="14.8533333333333" style="122" customWidth="1"/>
    <col min="13828" max="13828" width="1.85333333333333" style="122" customWidth="1"/>
    <col min="13829" max="13829" width="9.14" style="122"/>
    <col min="13830" max="13830" width="1.57333333333333" style="122" customWidth="1"/>
    <col min="13831" max="13831" width="14.8533333333333" style="122" customWidth="1"/>
    <col min="13832" max="13832" width="2.42666666666667" style="122" customWidth="1"/>
    <col min="13833" max="13833" width="9.85333333333333" style="122" customWidth="1"/>
    <col min="13834" max="13834" width="2" style="122" customWidth="1"/>
    <col min="13835" max="13835" width="14.8533333333333" style="122" customWidth="1"/>
    <col min="13836" max="13836" width="2.42666666666667" style="122" customWidth="1"/>
    <col min="13837" max="13837" width="9.85333333333333" style="122" customWidth="1"/>
    <col min="13838" max="13838" width="2" style="122" customWidth="1"/>
    <col min="13839" max="13839" width="14.8533333333333" style="122" customWidth="1"/>
    <col min="13840" max="14081" width="9.14" style="122"/>
    <col min="14082" max="14082" width="1.42666666666667" style="122" customWidth="1"/>
    <col min="14083" max="14083" width="14.8533333333333" style="122" customWidth="1"/>
    <col min="14084" max="14084" width="1.85333333333333" style="122" customWidth="1"/>
    <col min="14085" max="14085" width="9.14" style="122"/>
    <col min="14086" max="14086" width="1.57333333333333" style="122" customWidth="1"/>
    <col min="14087" max="14087" width="14.8533333333333" style="122" customWidth="1"/>
    <col min="14088" max="14088" width="2.42666666666667" style="122" customWidth="1"/>
    <col min="14089" max="14089" width="9.85333333333333" style="122" customWidth="1"/>
    <col min="14090" max="14090" width="2" style="122" customWidth="1"/>
    <col min="14091" max="14091" width="14.8533333333333" style="122" customWidth="1"/>
    <col min="14092" max="14092" width="2.42666666666667" style="122" customWidth="1"/>
    <col min="14093" max="14093" width="9.85333333333333" style="122" customWidth="1"/>
    <col min="14094" max="14094" width="2" style="122" customWidth="1"/>
    <col min="14095" max="14095" width="14.8533333333333" style="122" customWidth="1"/>
    <col min="14096" max="14337" width="9.14" style="122"/>
    <col min="14338" max="14338" width="1.42666666666667" style="122" customWidth="1"/>
    <col min="14339" max="14339" width="14.8533333333333" style="122" customWidth="1"/>
    <col min="14340" max="14340" width="1.85333333333333" style="122" customWidth="1"/>
    <col min="14341" max="14341" width="9.14" style="122"/>
    <col min="14342" max="14342" width="1.57333333333333" style="122" customWidth="1"/>
    <col min="14343" max="14343" width="14.8533333333333" style="122" customWidth="1"/>
    <col min="14344" max="14344" width="2.42666666666667" style="122" customWidth="1"/>
    <col min="14345" max="14345" width="9.85333333333333" style="122" customWidth="1"/>
    <col min="14346" max="14346" width="2" style="122" customWidth="1"/>
    <col min="14347" max="14347" width="14.8533333333333" style="122" customWidth="1"/>
    <col min="14348" max="14348" width="2.42666666666667" style="122" customWidth="1"/>
    <col min="14349" max="14349" width="9.85333333333333" style="122" customWidth="1"/>
    <col min="14350" max="14350" width="2" style="122" customWidth="1"/>
    <col min="14351" max="14351" width="14.8533333333333" style="122" customWidth="1"/>
    <col min="14352" max="14593" width="9.14" style="122"/>
    <col min="14594" max="14594" width="1.42666666666667" style="122" customWidth="1"/>
    <col min="14595" max="14595" width="14.8533333333333" style="122" customWidth="1"/>
    <col min="14596" max="14596" width="1.85333333333333" style="122" customWidth="1"/>
    <col min="14597" max="14597" width="9.14" style="122"/>
    <col min="14598" max="14598" width="1.57333333333333" style="122" customWidth="1"/>
    <col min="14599" max="14599" width="14.8533333333333" style="122" customWidth="1"/>
    <col min="14600" max="14600" width="2.42666666666667" style="122" customWidth="1"/>
    <col min="14601" max="14601" width="9.85333333333333" style="122" customWidth="1"/>
    <col min="14602" max="14602" width="2" style="122" customWidth="1"/>
    <col min="14603" max="14603" width="14.8533333333333" style="122" customWidth="1"/>
    <col min="14604" max="14604" width="2.42666666666667" style="122" customWidth="1"/>
    <col min="14605" max="14605" width="9.85333333333333" style="122" customWidth="1"/>
    <col min="14606" max="14606" width="2" style="122" customWidth="1"/>
    <col min="14607" max="14607" width="14.8533333333333" style="122" customWidth="1"/>
    <col min="14608" max="14849" width="9.14" style="122"/>
    <col min="14850" max="14850" width="1.42666666666667" style="122" customWidth="1"/>
    <col min="14851" max="14851" width="14.8533333333333" style="122" customWidth="1"/>
    <col min="14852" max="14852" width="1.85333333333333" style="122" customWidth="1"/>
    <col min="14853" max="14853" width="9.14" style="122"/>
    <col min="14854" max="14854" width="1.57333333333333" style="122" customWidth="1"/>
    <col min="14855" max="14855" width="14.8533333333333" style="122" customWidth="1"/>
    <col min="14856" max="14856" width="2.42666666666667" style="122" customWidth="1"/>
    <col min="14857" max="14857" width="9.85333333333333" style="122" customWidth="1"/>
    <col min="14858" max="14858" width="2" style="122" customWidth="1"/>
    <col min="14859" max="14859" width="14.8533333333333" style="122" customWidth="1"/>
    <col min="14860" max="14860" width="2.42666666666667" style="122" customWidth="1"/>
    <col min="14861" max="14861" width="9.85333333333333" style="122" customWidth="1"/>
    <col min="14862" max="14862" width="2" style="122" customWidth="1"/>
    <col min="14863" max="14863" width="14.8533333333333" style="122" customWidth="1"/>
    <col min="14864" max="15105" width="9.14" style="122"/>
    <col min="15106" max="15106" width="1.42666666666667" style="122" customWidth="1"/>
    <col min="15107" max="15107" width="14.8533333333333" style="122" customWidth="1"/>
    <col min="15108" max="15108" width="1.85333333333333" style="122" customWidth="1"/>
    <col min="15109" max="15109" width="9.14" style="122"/>
    <col min="15110" max="15110" width="1.57333333333333" style="122" customWidth="1"/>
    <col min="15111" max="15111" width="14.8533333333333" style="122" customWidth="1"/>
    <col min="15112" max="15112" width="2.42666666666667" style="122" customWidth="1"/>
    <col min="15113" max="15113" width="9.85333333333333" style="122" customWidth="1"/>
    <col min="15114" max="15114" width="2" style="122" customWidth="1"/>
    <col min="15115" max="15115" width="14.8533333333333" style="122" customWidth="1"/>
    <col min="15116" max="15116" width="2.42666666666667" style="122" customWidth="1"/>
    <col min="15117" max="15117" width="9.85333333333333" style="122" customWidth="1"/>
    <col min="15118" max="15118" width="2" style="122" customWidth="1"/>
    <col min="15119" max="15119" width="14.8533333333333" style="122" customWidth="1"/>
    <col min="15120" max="15361" width="9.14" style="122"/>
    <col min="15362" max="15362" width="1.42666666666667" style="122" customWidth="1"/>
    <col min="15363" max="15363" width="14.8533333333333" style="122" customWidth="1"/>
    <col min="15364" max="15364" width="1.85333333333333" style="122" customWidth="1"/>
    <col min="15365" max="15365" width="9.14" style="122"/>
    <col min="15366" max="15366" width="1.57333333333333" style="122" customWidth="1"/>
    <col min="15367" max="15367" width="14.8533333333333" style="122" customWidth="1"/>
    <col min="15368" max="15368" width="2.42666666666667" style="122" customWidth="1"/>
    <col min="15369" max="15369" width="9.85333333333333" style="122" customWidth="1"/>
    <col min="15370" max="15370" width="2" style="122" customWidth="1"/>
    <col min="15371" max="15371" width="14.8533333333333" style="122" customWidth="1"/>
    <col min="15372" max="15372" width="2.42666666666667" style="122" customWidth="1"/>
    <col min="15373" max="15373" width="9.85333333333333" style="122" customWidth="1"/>
    <col min="15374" max="15374" width="2" style="122" customWidth="1"/>
    <col min="15375" max="15375" width="14.8533333333333" style="122" customWidth="1"/>
    <col min="15376" max="15617" width="9.14" style="122"/>
    <col min="15618" max="15618" width="1.42666666666667" style="122" customWidth="1"/>
    <col min="15619" max="15619" width="14.8533333333333" style="122" customWidth="1"/>
    <col min="15620" max="15620" width="1.85333333333333" style="122" customWidth="1"/>
    <col min="15621" max="15621" width="9.14" style="122"/>
    <col min="15622" max="15622" width="1.57333333333333" style="122" customWidth="1"/>
    <col min="15623" max="15623" width="14.8533333333333" style="122" customWidth="1"/>
    <col min="15624" max="15624" width="2.42666666666667" style="122" customWidth="1"/>
    <col min="15625" max="15625" width="9.85333333333333" style="122" customWidth="1"/>
    <col min="15626" max="15626" width="2" style="122" customWidth="1"/>
    <col min="15627" max="15627" width="14.8533333333333" style="122" customWidth="1"/>
    <col min="15628" max="15628" width="2.42666666666667" style="122" customWidth="1"/>
    <col min="15629" max="15629" width="9.85333333333333" style="122" customWidth="1"/>
    <col min="15630" max="15630" width="2" style="122" customWidth="1"/>
    <col min="15631" max="15631" width="14.8533333333333" style="122" customWidth="1"/>
    <col min="15632" max="15873" width="9.14" style="122"/>
    <col min="15874" max="15874" width="1.42666666666667" style="122" customWidth="1"/>
    <col min="15875" max="15875" width="14.8533333333333" style="122" customWidth="1"/>
    <col min="15876" max="15876" width="1.85333333333333" style="122" customWidth="1"/>
    <col min="15877" max="15877" width="9.14" style="122"/>
    <col min="15878" max="15878" width="1.57333333333333" style="122" customWidth="1"/>
    <col min="15879" max="15879" width="14.8533333333333" style="122" customWidth="1"/>
    <col min="15880" max="15880" width="2.42666666666667" style="122" customWidth="1"/>
    <col min="15881" max="15881" width="9.85333333333333" style="122" customWidth="1"/>
    <col min="15882" max="15882" width="2" style="122" customWidth="1"/>
    <col min="15883" max="15883" width="14.8533333333333" style="122" customWidth="1"/>
    <col min="15884" max="15884" width="2.42666666666667" style="122" customWidth="1"/>
    <col min="15885" max="15885" width="9.85333333333333" style="122" customWidth="1"/>
    <col min="15886" max="15886" width="2" style="122" customWidth="1"/>
    <col min="15887" max="15887" width="14.8533333333333" style="122" customWidth="1"/>
    <col min="15888" max="16129" width="9.14" style="122"/>
    <col min="16130" max="16130" width="1.42666666666667" style="122" customWidth="1"/>
    <col min="16131" max="16131" width="14.8533333333333" style="122" customWidth="1"/>
    <col min="16132" max="16132" width="1.85333333333333" style="122" customWidth="1"/>
    <col min="16133" max="16133" width="9.14" style="122"/>
    <col min="16134" max="16134" width="1.57333333333333" style="122" customWidth="1"/>
    <col min="16135" max="16135" width="14.8533333333333" style="122" customWidth="1"/>
    <col min="16136" max="16136" width="2.42666666666667" style="122" customWidth="1"/>
    <col min="16137" max="16137" width="9.85333333333333" style="122" customWidth="1"/>
    <col min="16138" max="16138" width="2" style="122" customWidth="1"/>
    <col min="16139" max="16139" width="14.8533333333333" style="122" customWidth="1"/>
    <col min="16140" max="16140" width="2.42666666666667" style="122" customWidth="1"/>
    <col min="16141" max="16141" width="9.85333333333333" style="122" customWidth="1"/>
    <col min="16142" max="16142" width="2" style="122" customWidth="1"/>
    <col min="16143" max="16143" width="14.8533333333333" style="122" customWidth="1"/>
    <col min="16144" max="16384" width="9.14" style="122"/>
  </cols>
  <sheetData>
    <row r="1" s="120" customFormat="1" ht="30" spans="1:15">
      <c r="A1" s="140" t="str">
        <f t="array" ref="A1">'Label FG'!F3:F3</f>
        <v>226</v>
      </c>
      <c r="B1" s="124" t="s">
        <v>0</v>
      </c>
      <c r="C1" s="125"/>
      <c r="E1" s="140" t="str">
        <f>$A$1</f>
        <v>226</v>
      </c>
      <c r="F1" s="124" t="s">
        <v>0</v>
      </c>
      <c r="G1" s="125"/>
      <c r="I1" s="140" t="str">
        <f>$A$1</f>
        <v>226</v>
      </c>
      <c r="J1" s="124" t="s">
        <v>0</v>
      </c>
      <c r="K1" s="125"/>
      <c r="M1" s="140" t="str">
        <f>$A$1</f>
        <v>226</v>
      </c>
      <c r="N1" s="124" t="s">
        <v>0</v>
      </c>
      <c r="O1" s="125"/>
    </row>
    <row r="2" spans="1:15">
      <c r="A2" s="126" t="s">
        <v>1</v>
      </c>
      <c r="B2" s="122" t="s">
        <v>2</v>
      </c>
      <c r="C2" s="127">
        <f>VLOOKUP(A1,'List Part'!$A$5:$C$374,2,0)</f>
        <v>955985</v>
      </c>
      <c r="E2" s="126" t="s">
        <v>1</v>
      </c>
      <c r="F2" s="122" t="s">
        <v>2</v>
      </c>
      <c r="G2" s="127">
        <f>$C$2</f>
        <v>955985</v>
      </c>
      <c r="I2" s="126" t="s">
        <v>1</v>
      </c>
      <c r="J2" s="122" t="s">
        <v>2</v>
      </c>
      <c r="K2" s="127">
        <f>$C$2</f>
        <v>955985</v>
      </c>
      <c r="M2" s="126" t="s">
        <v>1</v>
      </c>
      <c r="N2" s="122" t="s">
        <v>2</v>
      </c>
      <c r="O2" s="127">
        <f>$C$2</f>
        <v>955985</v>
      </c>
    </row>
    <row r="3" spans="1:15">
      <c r="A3" s="126" t="s">
        <v>3</v>
      </c>
      <c r="B3" s="122" t="s">
        <v>2</v>
      </c>
      <c r="C3" s="128" t="str">
        <f>VLOOKUP(A1,'List Part'!$A$5:$C$374,3,0)</f>
        <v>DIN CONNECTOR FITTING</v>
      </c>
      <c r="E3" s="135" t="s">
        <v>3</v>
      </c>
      <c r="F3" s="122" t="s">
        <v>2</v>
      </c>
      <c r="G3" s="136" t="str">
        <f>$C$3</f>
        <v>DIN CONNECTOR FITTING</v>
      </c>
      <c r="I3" s="135" t="s">
        <v>3</v>
      </c>
      <c r="J3" s="122" t="s">
        <v>2</v>
      </c>
      <c r="K3" s="136" t="str">
        <f>$C$3</f>
        <v>DIN CONNECTOR FITTING</v>
      </c>
      <c r="M3" s="135" t="s">
        <v>3</v>
      </c>
      <c r="N3" s="122" t="s">
        <v>2</v>
      </c>
      <c r="O3" s="136" t="str">
        <f>$C$3</f>
        <v>DIN CONNECTOR FITTING</v>
      </c>
    </row>
    <row r="4" spans="1:15">
      <c r="A4" s="126" t="s">
        <v>4</v>
      </c>
      <c r="B4" s="122" t="s">
        <v>2</v>
      </c>
      <c r="C4" s="129">
        <f>VLOOKUP(A1,'List Part'!$A$5:$P$374,15,0)</f>
        <v>200</v>
      </c>
      <c r="E4" s="135" t="s">
        <v>4</v>
      </c>
      <c r="F4" s="122" t="s">
        <v>2</v>
      </c>
      <c r="G4" s="137">
        <f>$C$4</f>
        <v>200</v>
      </c>
      <c r="I4" s="135" t="s">
        <v>4</v>
      </c>
      <c r="J4" s="122" t="s">
        <v>2</v>
      </c>
      <c r="K4" s="137">
        <f>$C$4</f>
        <v>200</v>
      </c>
      <c r="M4" s="135" t="s">
        <v>4</v>
      </c>
      <c r="N4" s="122" t="s">
        <v>2</v>
      </c>
      <c r="O4" s="137">
        <f>$C$4</f>
        <v>200</v>
      </c>
    </row>
    <row r="5" spans="1:15">
      <c r="A5" s="126" t="s">
        <v>5</v>
      </c>
      <c r="B5" s="122" t="s">
        <v>2</v>
      </c>
      <c r="C5" s="130" t="s">
        <v>6</v>
      </c>
      <c r="E5" s="135" t="s">
        <v>5</v>
      </c>
      <c r="F5" s="122" t="s">
        <v>2</v>
      </c>
      <c r="G5" s="130" t="s">
        <v>6</v>
      </c>
      <c r="I5" s="135" t="s">
        <v>5</v>
      </c>
      <c r="J5" s="122" t="s">
        <v>2</v>
      </c>
      <c r="K5" s="130" t="s">
        <v>6</v>
      </c>
      <c r="M5" s="135" t="s">
        <v>5</v>
      </c>
      <c r="N5" s="122" t="s">
        <v>2</v>
      </c>
      <c r="O5" s="130" t="s">
        <v>6</v>
      </c>
    </row>
    <row r="6" spans="1:15">
      <c r="A6" s="126" t="s">
        <v>7</v>
      </c>
      <c r="B6" s="122" t="s">
        <v>2</v>
      </c>
      <c r="C6" s="131">
        <f>VLOOKUP(A1,'List Part'!$A$5:$P$374,6,0)</f>
        <v>0</v>
      </c>
      <c r="E6" s="126" t="s">
        <v>7</v>
      </c>
      <c r="F6" s="122" t="s">
        <v>2</v>
      </c>
      <c r="G6" s="138">
        <f>$C$6</f>
        <v>0</v>
      </c>
      <c r="I6" s="126" t="s">
        <v>7</v>
      </c>
      <c r="J6" s="122" t="s">
        <v>2</v>
      </c>
      <c r="K6" s="138">
        <f>$C$6</f>
        <v>0</v>
      </c>
      <c r="M6" s="126" t="s">
        <v>7</v>
      </c>
      <c r="N6" s="122" t="s">
        <v>2</v>
      </c>
      <c r="O6" s="138">
        <f>$C$6</f>
        <v>0</v>
      </c>
    </row>
    <row r="7" spans="1:15">
      <c r="A7" s="132" t="s">
        <v>8</v>
      </c>
      <c r="B7" s="133" t="s">
        <v>2</v>
      </c>
      <c r="C7" s="134" t="s">
        <v>10</v>
      </c>
      <c r="E7" s="139" t="s">
        <v>8</v>
      </c>
      <c r="F7" s="133" t="s">
        <v>2</v>
      </c>
      <c r="G7" s="134" t="str">
        <f>C7</f>
        <v>OK 01 03</v>
      </c>
      <c r="I7" s="139" t="s">
        <v>8</v>
      </c>
      <c r="J7" s="133" t="s">
        <v>2</v>
      </c>
      <c r="K7" s="134" t="str">
        <f>G7</f>
        <v>OK 01 03</v>
      </c>
      <c r="M7" s="139" t="s">
        <v>8</v>
      </c>
      <c r="N7" s="133" t="s">
        <v>2</v>
      </c>
      <c r="O7" s="134" t="str">
        <f>K7</f>
        <v>OK 01 03</v>
      </c>
    </row>
    <row r="8" ht="12.95" customHeight="1" spans="3:3">
      <c r="C8" s="121"/>
    </row>
    <row r="9" s="120" customFormat="1" ht="30" spans="1:15">
      <c r="A9" s="140" t="str">
        <f>$A$1</f>
        <v>226</v>
      </c>
      <c r="B9" s="124" t="s">
        <v>0</v>
      </c>
      <c r="C9" s="125"/>
      <c r="E9" s="140" t="str">
        <f>$A$1</f>
        <v>226</v>
      </c>
      <c r="F9" s="124" t="s">
        <v>0</v>
      </c>
      <c r="G9" s="125"/>
      <c r="I9" s="140" t="str">
        <f>$A$1</f>
        <v>226</v>
      </c>
      <c r="J9" s="124" t="s">
        <v>0</v>
      </c>
      <c r="K9" s="125"/>
      <c r="M9" s="140" t="str">
        <f>$A$1</f>
        <v>226</v>
      </c>
      <c r="N9" s="124" t="s">
        <v>0</v>
      </c>
      <c r="O9" s="125"/>
    </row>
    <row r="10" spans="1:15">
      <c r="A10" s="126" t="s">
        <v>1</v>
      </c>
      <c r="B10" s="122" t="s">
        <v>2</v>
      </c>
      <c r="C10" s="127">
        <f>$C$2</f>
        <v>955985</v>
      </c>
      <c r="E10" s="126" t="s">
        <v>1</v>
      </c>
      <c r="F10" s="122" t="s">
        <v>2</v>
      </c>
      <c r="G10" s="127">
        <f>$C$2</f>
        <v>955985</v>
      </c>
      <c r="I10" s="126" t="s">
        <v>1</v>
      </c>
      <c r="J10" s="122" t="s">
        <v>2</v>
      </c>
      <c r="K10" s="127">
        <f>$C$2</f>
        <v>955985</v>
      </c>
      <c r="M10" s="126" t="s">
        <v>1</v>
      </c>
      <c r="N10" s="122" t="s">
        <v>2</v>
      </c>
      <c r="O10" s="127">
        <f>$C$2</f>
        <v>955985</v>
      </c>
    </row>
    <row r="11" spans="1:15">
      <c r="A11" s="135" t="s">
        <v>3</v>
      </c>
      <c r="B11" s="122" t="s">
        <v>2</v>
      </c>
      <c r="C11" s="136" t="str">
        <f>$C$3</f>
        <v>DIN CONNECTOR FITTING</v>
      </c>
      <c r="E11" s="135" t="s">
        <v>3</v>
      </c>
      <c r="F11" s="122" t="s">
        <v>2</v>
      </c>
      <c r="G11" s="136" t="str">
        <f>$C$3</f>
        <v>DIN CONNECTOR FITTING</v>
      </c>
      <c r="I11" s="135" t="s">
        <v>3</v>
      </c>
      <c r="J11" s="122" t="s">
        <v>2</v>
      </c>
      <c r="K11" s="136" t="str">
        <f>$C$3</f>
        <v>DIN CONNECTOR FITTING</v>
      </c>
      <c r="M11" s="135" t="s">
        <v>3</v>
      </c>
      <c r="N11" s="122" t="s">
        <v>2</v>
      </c>
      <c r="O11" s="136" t="str">
        <f>$C$3</f>
        <v>DIN CONNECTOR FITTING</v>
      </c>
    </row>
    <row r="12" spans="1:15">
      <c r="A12" s="135" t="s">
        <v>4</v>
      </c>
      <c r="B12" s="122" t="s">
        <v>2</v>
      </c>
      <c r="C12" s="137">
        <f>$C$4</f>
        <v>200</v>
      </c>
      <c r="E12" s="135" t="s">
        <v>4</v>
      </c>
      <c r="F12" s="122" t="s">
        <v>2</v>
      </c>
      <c r="G12" s="137">
        <f>$C$4</f>
        <v>200</v>
      </c>
      <c r="I12" s="135" t="s">
        <v>4</v>
      </c>
      <c r="J12" s="122" t="s">
        <v>2</v>
      </c>
      <c r="K12" s="137">
        <f>$C$4</f>
        <v>200</v>
      </c>
      <c r="M12" s="135" t="s">
        <v>4</v>
      </c>
      <c r="N12" s="122" t="s">
        <v>2</v>
      </c>
      <c r="O12" s="137">
        <f>$C$4</f>
        <v>200</v>
      </c>
    </row>
    <row r="13" spans="1:15">
      <c r="A13" s="135" t="s">
        <v>5</v>
      </c>
      <c r="B13" s="122" t="s">
        <v>2</v>
      </c>
      <c r="C13" s="130" t="s">
        <v>6</v>
      </c>
      <c r="E13" s="135" t="s">
        <v>5</v>
      </c>
      <c r="F13" s="122" t="s">
        <v>2</v>
      </c>
      <c r="G13" s="130" t="s">
        <v>6</v>
      </c>
      <c r="I13" s="135" t="s">
        <v>5</v>
      </c>
      <c r="J13" s="122" t="s">
        <v>2</v>
      </c>
      <c r="K13" s="130" t="s">
        <v>6</v>
      </c>
      <c r="M13" s="135" t="s">
        <v>5</v>
      </c>
      <c r="N13" s="122" t="s">
        <v>2</v>
      </c>
      <c r="O13" s="130" t="s">
        <v>6</v>
      </c>
    </row>
    <row r="14" spans="1:15">
      <c r="A14" s="126" t="s">
        <v>7</v>
      </c>
      <c r="B14" s="122" t="s">
        <v>2</v>
      </c>
      <c r="C14" s="138">
        <f>$C$6</f>
        <v>0</v>
      </c>
      <c r="E14" s="126" t="s">
        <v>7</v>
      </c>
      <c r="F14" s="122" t="s">
        <v>2</v>
      </c>
      <c r="G14" s="138">
        <f>$C$6</f>
        <v>0</v>
      </c>
      <c r="I14" s="126" t="s">
        <v>7</v>
      </c>
      <c r="J14" s="122" t="s">
        <v>2</v>
      </c>
      <c r="K14" s="138">
        <f>$C$6</f>
        <v>0</v>
      </c>
      <c r="M14" s="126" t="s">
        <v>7</v>
      </c>
      <c r="N14" s="122" t="s">
        <v>2</v>
      </c>
      <c r="O14" s="138">
        <f>$C$6</f>
        <v>0</v>
      </c>
    </row>
    <row r="15" spans="1:15">
      <c r="A15" s="139" t="s">
        <v>8</v>
      </c>
      <c r="B15" s="133" t="s">
        <v>2</v>
      </c>
      <c r="C15" s="134" t="str">
        <f>C7</f>
        <v>OK 01 03</v>
      </c>
      <c r="E15" s="139" t="s">
        <v>8</v>
      </c>
      <c r="F15" s="133" t="s">
        <v>2</v>
      </c>
      <c r="G15" s="134" t="str">
        <f>C15</f>
        <v>OK 01 03</v>
      </c>
      <c r="I15" s="139" t="s">
        <v>8</v>
      </c>
      <c r="J15" s="133" t="s">
        <v>2</v>
      </c>
      <c r="K15" s="134" t="str">
        <f>G15</f>
        <v>OK 01 03</v>
      </c>
      <c r="M15" s="139" t="s">
        <v>8</v>
      </c>
      <c r="N15" s="133" t="s">
        <v>2</v>
      </c>
      <c r="O15" s="134" t="str">
        <f>K15</f>
        <v>OK 01 03</v>
      </c>
    </row>
    <row r="16" ht="12.95" customHeight="1"/>
    <row r="17" s="120" customFormat="1" ht="30" spans="1:15">
      <c r="A17" s="140" t="str">
        <f>$A$1</f>
        <v>226</v>
      </c>
      <c r="B17" s="124" t="s">
        <v>0</v>
      </c>
      <c r="C17" s="125"/>
      <c r="E17" s="140" t="str">
        <f>$A$1</f>
        <v>226</v>
      </c>
      <c r="F17" s="124" t="s">
        <v>0</v>
      </c>
      <c r="G17" s="125"/>
      <c r="I17" s="140" t="str">
        <f>$A$1</f>
        <v>226</v>
      </c>
      <c r="J17" s="124" t="s">
        <v>0</v>
      </c>
      <c r="K17" s="125"/>
      <c r="M17" s="140" t="str">
        <f>$A$1</f>
        <v>226</v>
      </c>
      <c r="N17" s="124" t="s">
        <v>0</v>
      </c>
      <c r="O17" s="125"/>
    </row>
    <row r="18" spans="1:15">
      <c r="A18" s="126" t="s">
        <v>1</v>
      </c>
      <c r="B18" s="122" t="s">
        <v>2</v>
      </c>
      <c r="C18" s="127">
        <f>$C$2</f>
        <v>955985</v>
      </c>
      <c r="E18" s="126" t="s">
        <v>1</v>
      </c>
      <c r="F18" s="122" t="s">
        <v>2</v>
      </c>
      <c r="G18" s="127">
        <f>$C$2</f>
        <v>955985</v>
      </c>
      <c r="I18" s="126" t="s">
        <v>1</v>
      </c>
      <c r="J18" s="122" t="s">
        <v>2</v>
      </c>
      <c r="K18" s="127">
        <f>$C$2</f>
        <v>955985</v>
      </c>
      <c r="M18" s="126" t="s">
        <v>1</v>
      </c>
      <c r="N18" s="122" t="s">
        <v>2</v>
      </c>
      <c r="O18" s="127">
        <f>$C$2</f>
        <v>955985</v>
      </c>
    </row>
    <row r="19" spans="1:15">
      <c r="A19" s="135" t="s">
        <v>3</v>
      </c>
      <c r="B19" s="122" t="s">
        <v>2</v>
      </c>
      <c r="C19" s="136" t="str">
        <f>$C$3</f>
        <v>DIN CONNECTOR FITTING</v>
      </c>
      <c r="E19" s="135" t="s">
        <v>3</v>
      </c>
      <c r="F19" s="122" t="s">
        <v>2</v>
      </c>
      <c r="G19" s="136" t="str">
        <f>$C$3</f>
        <v>DIN CONNECTOR FITTING</v>
      </c>
      <c r="I19" s="135" t="s">
        <v>3</v>
      </c>
      <c r="J19" s="122" t="s">
        <v>2</v>
      </c>
      <c r="K19" s="136" t="str">
        <f>$C$3</f>
        <v>DIN CONNECTOR FITTING</v>
      </c>
      <c r="M19" s="135" t="s">
        <v>3</v>
      </c>
      <c r="N19" s="122" t="s">
        <v>2</v>
      </c>
      <c r="O19" s="136" t="str">
        <f>$C$3</f>
        <v>DIN CONNECTOR FITTING</v>
      </c>
    </row>
    <row r="20" spans="1:15">
      <c r="A20" s="135" t="s">
        <v>4</v>
      </c>
      <c r="B20" s="122" t="s">
        <v>2</v>
      </c>
      <c r="C20" s="137">
        <f>$C$4</f>
        <v>200</v>
      </c>
      <c r="E20" s="135" t="s">
        <v>4</v>
      </c>
      <c r="F20" s="122" t="s">
        <v>2</v>
      </c>
      <c r="G20" s="137">
        <f>$C$4</f>
        <v>200</v>
      </c>
      <c r="I20" s="135" t="s">
        <v>4</v>
      </c>
      <c r="J20" s="122" t="s">
        <v>2</v>
      </c>
      <c r="K20" s="137">
        <f>$C$4</f>
        <v>200</v>
      </c>
      <c r="M20" s="135" t="s">
        <v>4</v>
      </c>
      <c r="N20" s="122" t="s">
        <v>2</v>
      </c>
      <c r="O20" s="137">
        <f>$C$4</f>
        <v>200</v>
      </c>
    </row>
    <row r="21" spans="1:15">
      <c r="A21" s="135" t="s">
        <v>5</v>
      </c>
      <c r="B21" s="122" t="s">
        <v>2</v>
      </c>
      <c r="C21" s="130" t="s">
        <v>6</v>
      </c>
      <c r="E21" s="135" t="s">
        <v>5</v>
      </c>
      <c r="F21" s="122" t="s">
        <v>2</v>
      </c>
      <c r="G21" s="130" t="s">
        <v>6</v>
      </c>
      <c r="I21" s="135" t="s">
        <v>5</v>
      </c>
      <c r="J21" s="122" t="s">
        <v>2</v>
      </c>
      <c r="K21" s="130" t="s">
        <v>6</v>
      </c>
      <c r="M21" s="135" t="s">
        <v>5</v>
      </c>
      <c r="N21" s="122" t="s">
        <v>2</v>
      </c>
      <c r="O21" s="130" t="s">
        <v>6</v>
      </c>
    </row>
    <row r="22" spans="1:15">
      <c r="A22" s="126" t="s">
        <v>7</v>
      </c>
      <c r="B22" s="122" t="s">
        <v>2</v>
      </c>
      <c r="C22" s="138">
        <f>$C$6</f>
        <v>0</v>
      </c>
      <c r="E22" s="126" t="s">
        <v>7</v>
      </c>
      <c r="F22" s="122" t="s">
        <v>2</v>
      </c>
      <c r="G22" s="138">
        <f>$C$6</f>
        <v>0</v>
      </c>
      <c r="I22" s="126" t="s">
        <v>7</v>
      </c>
      <c r="J22" s="122" t="s">
        <v>2</v>
      </c>
      <c r="K22" s="138">
        <f>$C$6</f>
        <v>0</v>
      </c>
      <c r="M22" s="126" t="s">
        <v>7</v>
      </c>
      <c r="N22" s="122" t="s">
        <v>2</v>
      </c>
      <c r="O22" s="138">
        <f>$C$6</f>
        <v>0</v>
      </c>
    </row>
    <row r="23" spans="1:15">
      <c r="A23" s="139" t="s">
        <v>8</v>
      </c>
      <c r="B23" s="133" t="s">
        <v>2</v>
      </c>
      <c r="C23" s="134" t="str">
        <f>C15</f>
        <v>OK 01 03</v>
      </c>
      <c r="E23" s="139" t="s">
        <v>8</v>
      </c>
      <c r="F23" s="133" t="s">
        <v>2</v>
      </c>
      <c r="G23" s="134" t="str">
        <f>C23</f>
        <v>OK 01 03</v>
      </c>
      <c r="I23" s="139" t="s">
        <v>8</v>
      </c>
      <c r="J23" s="133" t="s">
        <v>2</v>
      </c>
      <c r="K23" s="134" t="str">
        <f>G23</f>
        <v>OK 01 03</v>
      </c>
      <c r="M23" s="139" t="s">
        <v>8</v>
      </c>
      <c r="N23" s="133" t="s">
        <v>2</v>
      </c>
      <c r="O23" s="134" t="str">
        <f>K23</f>
        <v>OK 01 03</v>
      </c>
    </row>
    <row r="24" ht="12.95" customHeight="1"/>
    <row r="25" s="120" customFormat="1" ht="30" spans="1:15">
      <c r="A25" s="140" t="str">
        <f>$A$1</f>
        <v>226</v>
      </c>
      <c r="B25" s="124" t="s">
        <v>0</v>
      </c>
      <c r="C25" s="125"/>
      <c r="E25" s="140" t="str">
        <f>$A$1</f>
        <v>226</v>
      </c>
      <c r="F25" s="124" t="s">
        <v>0</v>
      </c>
      <c r="G25" s="125"/>
      <c r="I25" s="140" t="str">
        <f>$A$1</f>
        <v>226</v>
      </c>
      <c r="J25" s="124" t="s">
        <v>0</v>
      </c>
      <c r="K25" s="125"/>
      <c r="M25" s="140" t="str">
        <f>$A$1</f>
        <v>226</v>
      </c>
      <c r="N25" s="124" t="s">
        <v>0</v>
      </c>
      <c r="O25" s="125"/>
    </row>
    <row r="26" spans="1:15">
      <c r="A26" s="126" t="s">
        <v>1</v>
      </c>
      <c r="B26" s="122" t="s">
        <v>2</v>
      </c>
      <c r="C26" s="127">
        <f>$C$2</f>
        <v>955985</v>
      </c>
      <c r="E26" s="126" t="s">
        <v>1</v>
      </c>
      <c r="F26" s="122" t="s">
        <v>2</v>
      </c>
      <c r="G26" s="127">
        <f>$C$2</f>
        <v>955985</v>
      </c>
      <c r="I26" s="126" t="s">
        <v>1</v>
      </c>
      <c r="J26" s="122" t="s">
        <v>2</v>
      </c>
      <c r="K26" s="127">
        <f>$C$2</f>
        <v>955985</v>
      </c>
      <c r="M26" s="126" t="s">
        <v>1</v>
      </c>
      <c r="N26" s="122" t="s">
        <v>2</v>
      </c>
      <c r="O26" s="127">
        <f>$C$2</f>
        <v>955985</v>
      </c>
    </row>
    <row r="27" spans="1:15">
      <c r="A27" s="135" t="s">
        <v>3</v>
      </c>
      <c r="B27" s="122" t="s">
        <v>2</v>
      </c>
      <c r="C27" s="136" t="str">
        <f>$C$3</f>
        <v>DIN CONNECTOR FITTING</v>
      </c>
      <c r="E27" s="135" t="s">
        <v>3</v>
      </c>
      <c r="F27" s="122" t="s">
        <v>2</v>
      </c>
      <c r="G27" s="136" t="str">
        <f>$C$3</f>
        <v>DIN CONNECTOR FITTING</v>
      </c>
      <c r="I27" s="135" t="s">
        <v>3</v>
      </c>
      <c r="J27" s="122" t="s">
        <v>2</v>
      </c>
      <c r="K27" s="136" t="str">
        <f>$C$3</f>
        <v>DIN CONNECTOR FITTING</v>
      </c>
      <c r="M27" s="135" t="s">
        <v>3</v>
      </c>
      <c r="N27" s="122" t="s">
        <v>2</v>
      </c>
      <c r="O27" s="136" t="str">
        <f>$C$3</f>
        <v>DIN CONNECTOR FITTING</v>
      </c>
    </row>
    <row r="28" spans="1:15">
      <c r="A28" s="135" t="s">
        <v>4</v>
      </c>
      <c r="B28" s="122" t="s">
        <v>2</v>
      </c>
      <c r="C28" s="137">
        <f>$C$4</f>
        <v>200</v>
      </c>
      <c r="E28" s="135" t="s">
        <v>4</v>
      </c>
      <c r="F28" s="122" t="s">
        <v>2</v>
      </c>
      <c r="G28" s="137">
        <f>$C$4</f>
        <v>200</v>
      </c>
      <c r="I28" s="135" t="s">
        <v>4</v>
      </c>
      <c r="J28" s="122" t="s">
        <v>2</v>
      </c>
      <c r="K28" s="137">
        <f>$C$4</f>
        <v>200</v>
      </c>
      <c r="M28" s="135" t="s">
        <v>4</v>
      </c>
      <c r="N28" s="122" t="s">
        <v>2</v>
      </c>
      <c r="O28" s="137">
        <f>$C$4</f>
        <v>200</v>
      </c>
    </row>
    <row r="29" spans="1:15">
      <c r="A29" s="135" t="s">
        <v>5</v>
      </c>
      <c r="B29" s="122" t="s">
        <v>2</v>
      </c>
      <c r="C29" s="130" t="s">
        <v>6</v>
      </c>
      <c r="E29" s="135" t="s">
        <v>5</v>
      </c>
      <c r="F29" s="122" t="s">
        <v>2</v>
      </c>
      <c r="G29" s="130" t="s">
        <v>6</v>
      </c>
      <c r="I29" s="135" t="s">
        <v>5</v>
      </c>
      <c r="J29" s="122" t="s">
        <v>2</v>
      </c>
      <c r="K29" s="130" t="s">
        <v>6</v>
      </c>
      <c r="M29" s="135" t="s">
        <v>5</v>
      </c>
      <c r="N29" s="122" t="s">
        <v>2</v>
      </c>
      <c r="O29" s="130" t="s">
        <v>6</v>
      </c>
    </row>
    <row r="30" spans="1:15">
      <c r="A30" s="126" t="s">
        <v>7</v>
      </c>
      <c r="B30" s="122" t="s">
        <v>2</v>
      </c>
      <c r="C30" s="138">
        <f>$C$6</f>
        <v>0</v>
      </c>
      <c r="E30" s="126" t="s">
        <v>7</v>
      </c>
      <c r="F30" s="122" t="s">
        <v>2</v>
      </c>
      <c r="G30" s="138">
        <f>$C$6</f>
        <v>0</v>
      </c>
      <c r="I30" s="126" t="s">
        <v>7</v>
      </c>
      <c r="J30" s="122" t="s">
        <v>2</v>
      </c>
      <c r="K30" s="138">
        <f>$C$6</f>
        <v>0</v>
      </c>
      <c r="M30" s="126" t="s">
        <v>7</v>
      </c>
      <c r="N30" s="122" t="s">
        <v>2</v>
      </c>
      <c r="O30" s="138">
        <f>$C$6</f>
        <v>0</v>
      </c>
    </row>
    <row r="31" spans="1:15">
      <c r="A31" s="139" t="s">
        <v>8</v>
      </c>
      <c r="B31" s="133" t="s">
        <v>2</v>
      </c>
      <c r="C31" s="134" t="str">
        <f>C23</f>
        <v>OK 01 03</v>
      </c>
      <c r="E31" s="139" t="s">
        <v>8</v>
      </c>
      <c r="F31" s="133" t="s">
        <v>2</v>
      </c>
      <c r="G31" s="134" t="str">
        <f>C31</f>
        <v>OK 01 03</v>
      </c>
      <c r="I31" s="139" t="s">
        <v>8</v>
      </c>
      <c r="J31" s="133" t="s">
        <v>2</v>
      </c>
      <c r="K31" s="134" t="str">
        <f>G31</f>
        <v>OK 01 03</v>
      </c>
      <c r="M31" s="139" t="s">
        <v>8</v>
      </c>
      <c r="N31" s="133" t="s">
        <v>2</v>
      </c>
      <c r="O31" s="134" t="str">
        <f>K31</f>
        <v>OK 01 03</v>
      </c>
    </row>
    <row r="32" ht="12.95" customHeight="1"/>
    <row r="33" s="120" customFormat="1" ht="30" spans="1:15">
      <c r="A33" s="140" t="str">
        <f>$A$1</f>
        <v>226</v>
      </c>
      <c r="B33" s="124" t="s">
        <v>0</v>
      </c>
      <c r="C33" s="125"/>
      <c r="E33" s="140" t="str">
        <f>$A$1</f>
        <v>226</v>
      </c>
      <c r="F33" s="124" t="s">
        <v>0</v>
      </c>
      <c r="G33" s="125"/>
      <c r="I33" s="140" t="str">
        <f>$A$1</f>
        <v>226</v>
      </c>
      <c r="J33" s="124" t="s">
        <v>0</v>
      </c>
      <c r="K33" s="125"/>
      <c r="M33" s="140" t="str">
        <f>$A$1</f>
        <v>226</v>
      </c>
      <c r="N33" s="124" t="s">
        <v>0</v>
      </c>
      <c r="O33" s="125"/>
    </row>
    <row r="34" spans="1:15">
      <c r="A34" s="126" t="s">
        <v>1</v>
      </c>
      <c r="B34" s="122" t="s">
        <v>2</v>
      </c>
      <c r="C34" s="127">
        <f>$C$2</f>
        <v>955985</v>
      </c>
      <c r="E34" s="126" t="s">
        <v>1</v>
      </c>
      <c r="F34" s="122" t="s">
        <v>2</v>
      </c>
      <c r="G34" s="127">
        <f>$C$2</f>
        <v>955985</v>
      </c>
      <c r="I34" s="126" t="s">
        <v>1</v>
      </c>
      <c r="J34" s="122" t="s">
        <v>2</v>
      </c>
      <c r="K34" s="127">
        <f>$C$2</f>
        <v>955985</v>
      </c>
      <c r="M34" s="126" t="s">
        <v>1</v>
      </c>
      <c r="N34" s="122" t="s">
        <v>2</v>
      </c>
      <c r="O34" s="127">
        <f>$C$2</f>
        <v>955985</v>
      </c>
    </row>
    <row r="35" spans="1:15">
      <c r="A35" s="135" t="s">
        <v>3</v>
      </c>
      <c r="B35" s="122" t="s">
        <v>2</v>
      </c>
      <c r="C35" s="136" t="str">
        <f>$C$3</f>
        <v>DIN CONNECTOR FITTING</v>
      </c>
      <c r="E35" s="135" t="s">
        <v>3</v>
      </c>
      <c r="F35" s="122" t="s">
        <v>2</v>
      </c>
      <c r="G35" s="136" t="str">
        <f>$C$3</f>
        <v>DIN CONNECTOR FITTING</v>
      </c>
      <c r="I35" s="135" t="s">
        <v>3</v>
      </c>
      <c r="J35" s="122" t="s">
        <v>2</v>
      </c>
      <c r="K35" s="136" t="str">
        <f>$C$3</f>
        <v>DIN CONNECTOR FITTING</v>
      </c>
      <c r="M35" s="135" t="s">
        <v>3</v>
      </c>
      <c r="N35" s="122" t="s">
        <v>2</v>
      </c>
      <c r="O35" s="136" t="str">
        <f>$C$3</f>
        <v>DIN CONNECTOR FITTING</v>
      </c>
    </row>
    <row r="36" spans="1:15">
      <c r="A36" s="135" t="s">
        <v>4</v>
      </c>
      <c r="B36" s="122" t="s">
        <v>2</v>
      </c>
      <c r="C36" s="137">
        <f>$C$4</f>
        <v>200</v>
      </c>
      <c r="E36" s="135" t="s">
        <v>4</v>
      </c>
      <c r="F36" s="122" t="s">
        <v>2</v>
      </c>
      <c r="G36" s="137">
        <f>$C$4</f>
        <v>200</v>
      </c>
      <c r="I36" s="135" t="s">
        <v>4</v>
      </c>
      <c r="J36" s="122" t="s">
        <v>2</v>
      </c>
      <c r="K36" s="137">
        <f>$C$4</f>
        <v>200</v>
      </c>
      <c r="M36" s="135" t="s">
        <v>4</v>
      </c>
      <c r="N36" s="122" t="s">
        <v>2</v>
      </c>
      <c r="O36" s="137">
        <f>$C$4</f>
        <v>200</v>
      </c>
    </row>
    <row r="37" spans="1:15">
      <c r="A37" s="135" t="s">
        <v>5</v>
      </c>
      <c r="B37" s="122" t="s">
        <v>2</v>
      </c>
      <c r="C37" s="130" t="s">
        <v>6</v>
      </c>
      <c r="E37" s="135" t="s">
        <v>5</v>
      </c>
      <c r="F37" s="122" t="s">
        <v>2</v>
      </c>
      <c r="G37" s="130" t="s">
        <v>6</v>
      </c>
      <c r="I37" s="135" t="s">
        <v>5</v>
      </c>
      <c r="J37" s="122" t="s">
        <v>2</v>
      </c>
      <c r="K37" s="130" t="s">
        <v>6</v>
      </c>
      <c r="M37" s="135" t="s">
        <v>5</v>
      </c>
      <c r="N37" s="122" t="s">
        <v>2</v>
      </c>
      <c r="O37" s="130" t="s">
        <v>6</v>
      </c>
    </row>
    <row r="38" spans="1:15">
      <c r="A38" s="126" t="s">
        <v>7</v>
      </c>
      <c r="B38" s="122" t="s">
        <v>2</v>
      </c>
      <c r="C38" s="138">
        <f>$C$6</f>
        <v>0</v>
      </c>
      <c r="E38" s="126" t="s">
        <v>7</v>
      </c>
      <c r="F38" s="122" t="s">
        <v>2</v>
      </c>
      <c r="G38" s="138">
        <f>$C$6</f>
        <v>0</v>
      </c>
      <c r="I38" s="126" t="s">
        <v>7</v>
      </c>
      <c r="J38" s="122" t="s">
        <v>2</v>
      </c>
      <c r="K38" s="138">
        <f>$C$6</f>
        <v>0</v>
      </c>
      <c r="M38" s="126" t="s">
        <v>7</v>
      </c>
      <c r="N38" s="122" t="s">
        <v>2</v>
      </c>
      <c r="O38" s="138">
        <f>$C$6</f>
        <v>0</v>
      </c>
    </row>
    <row r="39" spans="1:15">
      <c r="A39" s="139" t="s">
        <v>8</v>
      </c>
      <c r="B39" s="133" t="s">
        <v>2</v>
      </c>
      <c r="C39" s="134" t="str">
        <f>C31</f>
        <v>OK 01 03</v>
      </c>
      <c r="E39" s="139" t="s">
        <v>8</v>
      </c>
      <c r="F39" s="133" t="s">
        <v>2</v>
      </c>
      <c r="G39" s="134" t="str">
        <f>C39</f>
        <v>OK 01 03</v>
      </c>
      <c r="I39" s="139" t="s">
        <v>8</v>
      </c>
      <c r="J39" s="133" t="s">
        <v>2</v>
      </c>
      <c r="K39" s="134" t="str">
        <f>G39</f>
        <v>OK 01 03</v>
      </c>
      <c r="M39" s="139" t="s">
        <v>8</v>
      </c>
      <c r="N39" s="133" t="s">
        <v>2</v>
      </c>
      <c r="O39" s="134" t="str">
        <f>K39</f>
        <v>OK 01 03</v>
      </c>
    </row>
    <row r="40" ht="12.95" customHeight="1"/>
    <row r="41" s="120" customFormat="1" ht="30" spans="1:15">
      <c r="A41" s="140" t="str">
        <f>$A$1</f>
        <v>226</v>
      </c>
      <c r="B41" s="124" t="s">
        <v>0</v>
      </c>
      <c r="C41" s="125"/>
      <c r="E41" s="140" t="str">
        <f>$A$1</f>
        <v>226</v>
      </c>
      <c r="F41" s="124" t="s">
        <v>0</v>
      </c>
      <c r="G41" s="125"/>
      <c r="I41" s="140" t="str">
        <f>$A$1</f>
        <v>226</v>
      </c>
      <c r="J41" s="124" t="s">
        <v>0</v>
      </c>
      <c r="K41" s="125"/>
      <c r="M41" s="140" t="str">
        <f>$A$1</f>
        <v>226</v>
      </c>
      <c r="N41" s="124" t="s">
        <v>0</v>
      </c>
      <c r="O41" s="125"/>
    </row>
    <row r="42" spans="1:15">
      <c r="A42" s="126" t="s">
        <v>1</v>
      </c>
      <c r="B42" s="122" t="s">
        <v>2</v>
      </c>
      <c r="C42" s="127">
        <f>$C$2</f>
        <v>955985</v>
      </c>
      <c r="E42" s="126" t="s">
        <v>1</v>
      </c>
      <c r="F42" s="122" t="s">
        <v>2</v>
      </c>
      <c r="G42" s="127">
        <f>$C$2</f>
        <v>955985</v>
      </c>
      <c r="I42" s="126" t="s">
        <v>1</v>
      </c>
      <c r="J42" s="122" t="s">
        <v>2</v>
      </c>
      <c r="K42" s="127">
        <f>$C$2</f>
        <v>955985</v>
      </c>
      <c r="M42" s="126" t="s">
        <v>1</v>
      </c>
      <c r="N42" s="122" t="s">
        <v>2</v>
      </c>
      <c r="O42" s="127">
        <f>$C$2</f>
        <v>955985</v>
      </c>
    </row>
    <row r="43" spans="1:15">
      <c r="A43" s="135" t="s">
        <v>3</v>
      </c>
      <c r="B43" s="122" t="s">
        <v>2</v>
      </c>
      <c r="C43" s="136" t="str">
        <f>$C$3</f>
        <v>DIN CONNECTOR FITTING</v>
      </c>
      <c r="E43" s="135" t="s">
        <v>3</v>
      </c>
      <c r="F43" s="122" t="s">
        <v>2</v>
      </c>
      <c r="G43" s="136" t="str">
        <f>$C$3</f>
        <v>DIN CONNECTOR FITTING</v>
      </c>
      <c r="I43" s="135" t="s">
        <v>3</v>
      </c>
      <c r="J43" s="122" t="s">
        <v>2</v>
      </c>
      <c r="K43" s="136" t="str">
        <f>$C$3</f>
        <v>DIN CONNECTOR FITTING</v>
      </c>
      <c r="M43" s="135" t="s">
        <v>3</v>
      </c>
      <c r="N43" s="122" t="s">
        <v>2</v>
      </c>
      <c r="O43" s="136" t="str">
        <f>$C$3</f>
        <v>DIN CONNECTOR FITTING</v>
      </c>
    </row>
    <row r="44" spans="1:15">
      <c r="A44" s="135" t="s">
        <v>4</v>
      </c>
      <c r="B44" s="122" t="s">
        <v>2</v>
      </c>
      <c r="C44" s="137">
        <f>$C$4</f>
        <v>200</v>
      </c>
      <c r="E44" s="135" t="s">
        <v>4</v>
      </c>
      <c r="F44" s="122" t="s">
        <v>2</v>
      </c>
      <c r="G44" s="137">
        <f>$C$4</f>
        <v>200</v>
      </c>
      <c r="I44" s="135" t="s">
        <v>4</v>
      </c>
      <c r="J44" s="122" t="s">
        <v>2</v>
      </c>
      <c r="K44" s="137">
        <f>$C$4</f>
        <v>200</v>
      </c>
      <c r="M44" s="135" t="s">
        <v>4</v>
      </c>
      <c r="N44" s="122" t="s">
        <v>2</v>
      </c>
      <c r="O44" s="137">
        <f>$C$4</f>
        <v>200</v>
      </c>
    </row>
    <row r="45" spans="1:15">
      <c r="A45" s="135" t="s">
        <v>5</v>
      </c>
      <c r="B45" s="122" t="s">
        <v>2</v>
      </c>
      <c r="C45" s="130" t="s">
        <v>6</v>
      </c>
      <c r="E45" s="135" t="s">
        <v>5</v>
      </c>
      <c r="F45" s="122" t="s">
        <v>2</v>
      </c>
      <c r="G45" s="130" t="s">
        <v>6</v>
      </c>
      <c r="I45" s="135" t="s">
        <v>5</v>
      </c>
      <c r="J45" s="122" t="s">
        <v>2</v>
      </c>
      <c r="K45" s="130" t="s">
        <v>6</v>
      </c>
      <c r="M45" s="135" t="s">
        <v>5</v>
      </c>
      <c r="N45" s="122" t="s">
        <v>2</v>
      </c>
      <c r="O45" s="130" t="s">
        <v>6</v>
      </c>
    </row>
    <row r="46" spans="1:15">
      <c r="A46" s="126" t="s">
        <v>7</v>
      </c>
      <c r="B46" s="122" t="s">
        <v>2</v>
      </c>
      <c r="C46" s="138">
        <f>$C$6</f>
        <v>0</v>
      </c>
      <c r="E46" s="126" t="s">
        <v>7</v>
      </c>
      <c r="F46" s="122" t="s">
        <v>2</v>
      </c>
      <c r="G46" s="138">
        <f>$C$6</f>
        <v>0</v>
      </c>
      <c r="I46" s="126" t="s">
        <v>7</v>
      </c>
      <c r="J46" s="122" t="s">
        <v>2</v>
      </c>
      <c r="K46" s="138">
        <f>$C$6</f>
        <v>0</v>
      </c>
      <c r="M46" s="126" t="s">
        <v>7</v>
      </c>
      <c r="N46" s="122" t="s">
        <v>2</v>
      </c>
      <c r="O46" s="138">
        <f>$C$6</f>
        <v>0</v>
      </c>
    </row>
    <row r="47" spans="1:15">
      <c r="A47" s="139" t="s">
        <v>8</v>
      </c>
      <c r="B47" s="133" t="s">
        <v>2</v>
      </c>
      <c r="C47" s="134" t="str">
        <f>C39</f>
        <v>OK 01 03</v>
      </c>
      <c r="E47" s="139" t="s">
        <v>8</v>
      </c>
      <c r="F47" s="133" t="s">
        <v>2</v>
      </c>
      <c r="G47" s="134" t="str">
        <f>C47</f>
        <v>OK 01 03</v>
      </c>
      <c r="I47" s="139" t="s">
        <v>8</v>
      </c>
      <c r="J47" s="133" t="s">
        <v>2</v>
      </c>
      <c r="K47" s="134" t="str">
        <f>G47</f>
        <v>OK 01 03</v>
      </c>
      <c r="M47" s="139" t="s">
        <v>8</v>
      </c>
      <c r="N47" s="133" t="s">
        <v>2</v>
      </c>
      <c r="O47" s="134" t="str">
        <f>K47</f>
        <v>OK 01 03</v>
      </c>
    </row>
    <row r="48" ht="12.95" customHeight="1"/>
    <row r="49" s="120" customFormat="1" ht="30" spans="1:15">
      <c r="A49" s="140" t="str">
        <f>$A$1</f>
        <v>226</v>
      </c>
      <c r="B49" s="124" t="s">
        <v>0</v>
      </c>
      <c r="C49" s="125"/>
      <c r="E49" s="140" t="str">
        <f>$A$1</f>
        <v>226</v>
      </c>
      <c r="F49" s="124" t="s">
        <v>0</v>
      </c>
      <c r="G49" s="125"/>
      <c r="I49" s="140" t="str">
        <f>$A$1</f>
        <v>226</v>
      </c>
      <c r="J49" s="124" t="s">
        <v>0</v>
      </c>
      <c r="K49" s="125"/>
      <c r="M49" s="140" t="str">
        <f>$A$1</f>
        <v>226</v>
      </c>
      <c r="N49" s="124" t="s">
        <v>0</v>
      </c>
      <c r="O49" s="125"/>
    </row>
    <row r="50" spans="1:15">
      <c r="A50" s="126" t="s">
        <v>1</v>
      </c>
      <c r="B50" s="122" t="s">
        <v>2</v>
      </c>
      <c r="C50" s="127">
        <f>$C$2</f>
        <v>955985</v>
      </c>
      <c r="E50" s="126" t="s">
        <v>1</v>
      </c>
      <c r="F50" s="122" t="s">
        <v>2</v>
      </c>
      <c r="G50" s="127">
        <f>$C$2</f>
        <v>955985</v>
      </c>
      <c r="I50" s="126" t="s">
        <v>1</v>
      </c>
      <c r="J50" s="122" t="s">
        <v>2</v>
      </c>
      <c r="K50" s="127">
        <f>$C$2</f>
        <v>955985</v>
      </c>
      <c r="M50" s="126" t="s">
        <v>1</v>
      </c>
      <c r="N50" s="122" t="s">
        <v>2</v>
      </c>
      <c r="O50" s="127">
        <f>$C$2</f>
        <v>955985</v>
      </c>
    </row>
    <row r="51" spans="1:15">
      <c r="A51" s="135" t="s">
        <v>3</v>
      </c>
      <c r="B51" s="122" t="s">
        <v>2</v>
      </c>
      <c r="C51" s="136" t="str">
        <f>$C$3</f>
        <v>DIN CONNECTOR FITTING</v>
      </c>
      <c r="E51" s="135" t="s">
        <v>3</v>
      </c>
      <c r="F51" s="122" t="s">
        <v>2</v>
      </c>
      <c r="G51" s="136" t="str">
        <f>$C$3</f>
        <v>DIN CONNECTOR FITTING</v>
      </c>
      <c r="I51" s="135" t="s">
        <v>3</v>
      </c>
      <c r="J51" s="122" t="s">
        <v>2</v>
      </c>
      <c r="K51" s="136" t="str">
        <f>$C$3</f>
        <v>DIN CONNECTOR FITTING</v>
      </c>
      <c r="M51" s="135" t="s">
        <v>3</v>
      </c>
      <c r="N51" s="122" t="s">
        <v>2</v>
      </c>
      <c r="O51" s="136" t="str">
        <f>$C$3</f>
        <v>DIN CONNECTOR FITTING</v>
      </c>
    </row>
    <row r="52" spans="1:15">
      <c r="A52" s="135" t="s">
        <v>4</v>
      </c>
      <c r="B52" s="122" t="s">
        <v>2</v>
      </c>
      <c r="C52" s="137">
        <f>$C$4</f>
        <v>200</v>
      </c>
      <c r="E52" s="135" t="s">
        <v>4</v>
      </c>
      <c r="F52" s="122" t="s">
        <v>2</v>
      </c>
      <c r="G52" s="137">
        <f>$C$4</f>
        <v>200</v>
      </c>
      <c r="I52" s="135" t="s">
        <v>4</v>
      </c>
      <c r="J52" s="122" t="s">
        <v>2</v>
      </c>
      <c r="K52" s="137">
        <f>$C$4</f>
        <v>200</v>
      </c>
      <c r="M52" s="135" t="s">
        <v>4</v>
      </c>
      <c r="N52" s="122" t="s">
        <v>2</v>
      </c>
      <c r="O52" s="137">
        <f>$C$4</f>
        <v>200</v>
      </c>
    </row>
    <row r="53" spans="1:15">
      <c r="A53" s="135" t="s">
        <v>5</v>
      </c>
      <c r="B53" s="122" t="s">
        <v>2</v>
      </c>
      <c r="C53" s="130" t="s">
        <v>6</v>
      </c>
      <c r="E53" s="135" t="s">
        <v>5</v>
      </c>
      <c r="F53" s="122" t="s">
        <v>2</v>
      </c>
      <c r="G53" s="130" t="s">
        <v>6</v>
      </c>
      <c r="I53" s="135" t="s">
        <v>5</v>
      </c>
      <c r="J53" s="122" t="s">
        <v>2</v>
      </c>
      <c r="K53" s="130" t="s">
        <v>6</v>
      </c>
      <c r="M53" s="135" t="s">
        <v>5</v>
      </c>
      <c r="N53" s="122" t="s">
        <v>2</v>
      </c>
      <c r="O53" s="130" t="s">
        <v>6</v>
      </c>
    </row>
    <row r="54" spans="1:15">
      <c r="A54" s="126" t="s">
        <v>7</v>
      </c>
      <c r="B54" s="122" t="s">
        <v>2</v>
      </c>
      <c r="C54" s="138">
        <f>$C$6</f>
        <v>0</v>
      </c>
      <c r="E54" s="126" t="s">
        <v>7</v>
      </c>
      <c r="F54" s="122" t="s">
        <v>2</v>
      </c>
      <c r="G54" s="138">
        <f>$C$6</f>
        <v>0</v>
      </c>
      <c r="I54" s="126" t="s">
        <v>7</v>
      </c>
      <c r="J54" s="122" t="s">
        <v>2</v>
      </c>
      <c r="K54" s="138">
        <f>$C$6</f>
        <v>0</v>
      </c>
      <c r="M54" s="126" t="s">
        <v>7</v>
      </c>
      <c r="N54" s="122" t="s">
        <v>2</v>
      </c>
      <c r="O54" s="138">
        <f>$C$6</f>
        <v>0</v>
      </c>
    </row>
    <row r="55" spans="1:15">
      <c r="A55" s="139" t="s">
        <v>8</v>
      </c>
      <c r="B55" s="133" t="s">
        <v>2</v>
      </c>
      <c r="C55" s="134" t="str">
        <f>C47</f>
        <v>OK 01 03</v>
      </c>
      <c r="E55" s="139" t="s">
        <v>8</v>
      </c>
      <c r="F55" s="133" t="s">
        <v>2</v>
      </c>
      <c r="G55" s="134" t="str">
        <f>C55</f>
        <v>OK 01 03</v>
      </c>
      <c r="I55" s="139" t="s">
        <v>8</v>
      </c>
      <c r="J55" s="133" t="s">
        <v>2</v>
      </c>
      <c r="K55" s="134" t="str">
        <f>G55</f>
        <v>OK 01 03</v>
      </c>
      <c r="M55" s="139" t="s">
        <v>8</v>
      </c>
      <c r="N55" s="133" t="s">
        <v>2</v>
      </c>
      <c r="O55" s="134" t="str">
        <f>K55</f>
        <v>OK 01 03</v>
      </c>
    </row>
    <row r="56" ht="12.95" customHeight="1"/>
    <row r="57" s="120" customFormat="1" ht="30" spans="1:15">
      <c r="A57" s="140" t="str">
        <f>$A$1</f>
        <v>226</v>
      </c>
      <c r="B57" s="124" t="s">
        <v>0</v>
      </c>
      <c r="C57" s="125"/>
      <c r="E57" s="140" t="str">
        <f>$A$1</f>
        <v>226</v>
      </c>
      <c r="F57" s="124" t="s">
        <v>0</v>
      </c>
      <c r="G57" s="125"/>
      <c r="I57" s="140" t="str">
        <f>$A$1</f>
        <v>226</v>
      </c>
      <c r="J57" s="124" t="s">
        <v>0</v>
      </c>
      <c r="K57" s="125"/>
      <c r="M57" s="140" t="str">
        <f>$A$1</f>
        <v>226</v>
      </c>
      <c r="N57" s="124" t="s">
        <v>0</v>
      </c>
      <c r="O57" s="125"/>
    </row>
    <row r="58" spans="1:15">
      <c r="A58" s="126" t="s">
        <v>1</v>
      </c>
      <c r="B58" s="122" t="s">
        <v>2</v>
      </c>
      <c r="C58" s="127">
        <f>$C$2</f>
        <v>955985</v>
      </c>
      <c r="E58" s="126" t="s">
        <v>1</v>
      </c>
      <c r="F58" s="122" t="s">
        <v>2</v>
      </c>
      <c r="G58" s="127">
        <f>$C$2</f>
        <v>955985</v>
      </c>
      <c r="I58" s="126" t="s">
        <v>1</v>
      </c>
      <c r="J58" s="122" t="s">
        <v>2</v>
      </c>
      <c r="K58" s="127">
        <f>$C$2</f>
        <v>955985</v>
      </c>
      <c r="M58" s="126" t="s">
        <v>1</v>
      </c>
      <c r="N58" s="122" t="s">
        <v>2</v>
      </c>
      <c r="O58" s="127">
        <f>$C$2</f>
        <v>955985</v>
      </c>
    </row>
    <row r="59" spans="1:15">
      <c r="A59" s="135" t="s">
        <v>3</v>
      </c>
      <c r="B59" s="122" t="s">
        <v>2</v>
      </c>
      <c r="C59" s="136" t="str">
        <f>$C$3</f>
        <v>DIN CONNECTOR FITTING</v>
      </c>
      <c r="E59" s="135" t="s">
        <v>3</v>
      </c>
      <c r="F59" s="122" t="s">
        <v>2</v>
      </c>
      <c r="G59" s="136" t="str">
        <f>$C$3</f>
        <v>DIN CONNECTOR FITTING</v>
      </c>
      <c r="I59" s="135" t="s">
        <v>3</v>
      </c>
      <c r="J59" s="122" t="s">
        <v>2</v>
      </c>
      <c r="K59" s="136" t="str">
        <f>$C$3</f>
        <v>DIN CONNECTOR FITTING</v>
      </c>
      <c r="M59" s="135" t="s">
        <v>3</v>
      </c>
      <c r="N59" s="122" t="s">
        <v>2</v>
      </c>
      <c r="O59" s="136" t="str">
        <f>$C$3</f>
        <v>DIN CONNECTOR FITTING</v>
      </c>
    </row>
    <row r="60" spans="1:15">
      <c r="A60" s="135" t="s">
        <v>4</v>
      </c>
      <c r="B60" s="122" t="s">
        <v>2</v>
      </c>
      <c r="C60" s="137">
        <f>$C$4</f>
        <v>200</v>
      </c>
      <c r="E60" s="135" t="s">
        <v>4</v>
      </c>
      <c r="F60" s="122" t="s">
        <v>2</v>
      </c>
      <c r="G60" s="137">
        <f>$C$4</f>
        <v>200</v>
      </c>
      <c r="I60" s="135" t="s">
        <v>4</v>
      </c>
      <c r="J60" s="122" t="s">
        <v>2</v>
      </c>
      <c r="K60" s="137">
        <f>$C$4</f>
        <v>200</v>
      </c>
      <c r="M60" s="135" t="s">
        <v>4</v>
      </c>
      <c r="N60" s="122" t="s">
        <v>2</v>
      </c>
      <c r="O60" s="137">
        <f>$C$4</f>
        <v>200</v>
      </c>
    </row>
    <row r="61" spans="1:15">
      <c r="A61" s="135" t="s">
        <v>5</v>
      </c>
      <c r="B61" s="122" t="s">
        <v>2</v>
      </c>
      <c r="C61" s="130" t="s">
        <v>6</v>
      </c>
      <c r="E61" s="135" t="s">
        <v>5</v>
      </c>
      <c r="F61" s="122" t="s">
        <v>2</v>
      </c>
      <c r="G61" s="130" t="s">
        <v>6</v>
      </c>
      <c r="I61" s="135" t="s">
        <v>5</v>
      </c>
      <c r="J61" s="122" t="s">
        <v>2</v>
      </c>
      <c r="K61" s="130" t="s">
        <v>6</v>
      </c>
      <c r="M61" s="135" t="s">
        <v>5</v>
      </c>
      <c r="N61" s="122" t="s">
        <v>2</v>
      </c>
      <c r="O61" s="130" t="s">
        <v>6</v>
      </c>
    </row>
    <row r="62" spans="1:15">
      <c r="A62" s="126" t="s">
        <v>7</v>
      </c>
      <c r="B62" s="122" t="s">
        <v>2</v>
      </c>
      <c r="C62" s="138">
        <f>$C$6</f>
        <v>0</v>
      </c>
      <c r="E62" s="126" t="s">
        <v>7</v>
      </c>
      <c r="F62" s="122" t="s">
        <v>2</v>
      </c>
      <c r="G62" s="138">
        <f>$C$6</f>
        <v>0</v>
      </c>
      <c r="I62" s="126" t="s">
        <v>7</v>
      </c>
      <c r="J62" s="122" t="s">
        <v>2</v>
      </c>
      <c r="K62" s="138">
        <f>$C$6</f>
        <v>0</v>
      </c>
      <c r="M62" s="126" t="s">
        <v>7</v>
      </c>
      <c r="N62" s="122" t="s">
        <v>2</v>
      </c>
      <c r="O62" s="138">
        <f>$C$6</f>
        <v>0</v>
      </c>
    </row>
    <row r="63" spans="1:15">
      <c r="A63" s="139" t="s">
        <v>8</v>
      </c>
      <c r="B63" s="133" t="s">
        <v>2</v>
      </c>
      <c r="C63" s="134" t="str">
        <f>C55</f>
        <v>OK 01 03</v>
      </c>
      <c r="E63" s="139" t="s">
        <v>8</v>
      </c>
      <c r="F63" s="133" t="s">
        <v>2</v>
      </c>
      <c r="G63" s="134" t="str">
        <f>C63</f>
        <v>OK 01 03</v>
      </c>
      <c r="I63" s="139" t="s">
        <v>8</v>
      </c>
      <c r="J63" s="133" t="s">
        <v>2</v>
      </c>
      <c r="K63" s="134" t="str">
        <f>G63</f>
        <v>OK 01 03</v>
      </c>
      <c r="M63" s="139" t="s">
        <v>8</v>
      </c>
      <c r="N63" s="133" t="s">
        <v>2</v>
      </c>
      <c r="O63" s="134" t="str">
        <f>K63</f>
        <v>OK 01 03</v>
      </c>
    </row>
    <row r="64" ht="12.95" customHeight="1"/>
    <row r="65" s="120" customFormat="1" ht="30" spans="1:15">
      <c r="A65" s="140" t="str">
        <f>$A$1</f>
        <v>226</v>
      </c>
      <c r="B65" s="124" t="s">
        <v>0</v>
      </c>
      <c r="C65" s="125"/>
      <c r="E65" s="140" t="str">
        <f>$A$1</f>
        <v>226</v>
      </c>
      <c r="F65" s="124" t="s">
        <v>0</v>
      </c>
      <c r="G65" s="125"/>
      <c r="I65" s="140" t="str">
        <f>$A$1</f>
        <v>226</v>
      </c>
      <c r="J65" s="124" t="s">
        <v>0</v>
      </c>
      <c r="K65" s="125"/>
      <c r="M65" s="140" t="str">
        <f>$A$1</f>
        <v>226</v>
      </c>
      <c r="N65" s="124" t="s">
        <v>0</v>
      </c>
      <c r="O65" s="125"/>
    </row>
    <row r="66" spans="1:15">
      <c r="A66" s="126" t="s">
        <v>1</v>
      </c>
      <c r="B66" s="122" t="s">
        <v>2</v>
      </c>
      <c r="C66" s="127">
        <f>$C$2</f>
        <v>955985</v>
      </c>
      <c r="E66" s="126" t="s">
        <v>1</v>
      </c>
      <c r="F66" s="122" t="s">
        <v>2</v>
      </c>
      <c r="G66" s="127">
        <f>$C$2</f>
        <v>955985</v>
      </c>
      <c r="I66" s="126" t="s">
        <v>1</v>
      </c>
      <c r="J66" s="122" t="s">
        <v>2</v>
      </c>
      <c r="K66" s="127">
        <f>$C$2</f>
        <v>955985</v>
      </c>
      <c r="M66" s="126" t="s">
        <v>1</v>
      </c>
      <c r="N66" s="122" t="s">
        <v>2</v>
      </c>
      <c r="O66" s="127">
        <f>$C$2</f>
        <v>955985</v>
      </c>
    </row>
    <row r="67" spans="1:15">
      <c r="A67" s="135" t="s">
        <v>3</v>
      </c>
      <c r="B67" s="122" t="s">
        <v>2</v>
      </c>
      <c r="C67" s="136" t="str">
        <f>$C$3</f>
        <v>DIN CONNECTOR FITTING</v>
      </c>
      <c r="E67" s="135" t="s">
        <v>3</v>
      </c>
      <c r="F67" s="122" t="s">
        <v>2</v>
      </c>
      <c r="G67" s="136" t="str">
        <f>$C$3</f>
        <v>DIN CONNECTOR FITTING</v>
      </c>
      <c r="I67" s="135" t="s">
        <v>3</v>
      </c>
      <c r="J67" s="122" t="s">
        <v>2</v>
      </c>
      <c r="K67" s="136" t="str">
        <f>$C$3</f>
        <v>DIN CONNECTOR FITTING</v>
      </c>
      <c r="M67" s="135" t="s">
        <v>3</v>
      </c>
      <c r="N67" s="122" t="s">
        <v>2</v>
      </c>
      <c r="O67" s="136" t="str">
        <f>$C$3</f>
        <v>DIN CONNECTOR FITTING</v>
      </c>
    </row>
    <row r="68" spans="1:15">
      <c r="A68" s="135" t="s">
        <v>4</v>
      </c>
      <c r="B68" s="122" t="s">
        <v>2</v>
      </c>
      <c r="C68" s="137">
        <f>$C$4</f>
        <v>200</v>
      </c>
      <c r="E68" s="135" t="s">
        <v>4</v>
      </c>
      <c r="F68" s="122" t="s">
        <v>2</v>
      </c>
      <c r="G68" s="137">
        <f>$C$4</f>
        <v>200</v>
      </c>
      <c r="I68" s="135" t="s">
        <v>4</v>
      </c>
      <c r="J68" s="122" t="s">
        <v>2</v>
      </c>
      <c r="K68" s="137">
        <f>$C$4</f>
        <v>200</v>
      </c>
      <c r="M68" s="135" t="s">
        <v>4</v>
      </c>
      <c r="N68" s="122" t="s">
        <v>2</v>
      </c>
      <c r="O68" s="137">
        <f>$C$4</f>
        <v>200</v>
      </c>
    </row>
    <row r="69" spans="1:15">
      <c r="A69" s="135" t="s">
        <v>5</v>
      </c>
      <c r="B69" s="122" t="s">
        <v>2</v>
      </c>
      <c r="C69" s="130" t="s">
        <v>6</v>
      </c>
      <c r="E69" s="135" t="s">
        <v>5</v>
      </c>
      <c r="F69" s="122" t="s">
        <v>2</v>
      </c>
      <c r="G69" s="130" t="s">
        <v>6</v>
      </c>
      <c r="I69" s="135" t="s">
        <v>5</v>
      </c>
      <c r="J69" s="122" t="s">
        <v>2</v>
      </c>
      <c r="K69" s="130" t="s">
        <v>6</v>
      </c>
      <c r="M69" s="135" t="s">
        <v>5</v>
      </c>
      <c r="N69" s="122" t="s">
        <v>2</v>
      </c>
      <c r="O69" s="130" t="s">
        <v>6</v>
      </c>
    </row>
    <row r="70" spans="1:15">
      <c r="A70" s="126" t="s">
        <v>7</v>
      </c>
      <c r="B70" s="122" t="s">
        <v>2</v>
      </c>
      <c r="C70" s="138">
        <f>$C$6</f>
        <v>0</v>
      </c>
      <c r="E70" s="126" t="s">
        <v>7</v>
      </c>
      <c r="F70" s="122" t="s">
        <v>2</v>
      </c>
      <c r="G70" s="138">
        <f>$C$6</f>
        <v>0</v>
      </c>
      <c r="I70" s="126" t="s">
        <v>7</v>
      </c>
      <c r="J70" s="122" t="s">
        <v>2</v>
      </c>
      <c r="K70" s="138">
        <f>$C$6</f>
        <v>0</v>
      </c>
      <c r="M70" s="126" t="s">
        <v>7</v>
      </c>
      <c r="N70" s="122" t="s">
        <v>2</v>
      </c>
      <c r="O70" s="138">
        <f>$C$6</f>
        <v>0</v>
      </c>
    </row>
    <row r="71" spans="1:15">
      <c r="A71" s="139" t="s">
        <v>8</v>
      </c>
      <c r="B71" s="133" t="s">
        <v>2</v>
      </c>
      <c r="C71" s="134" t="str">
        <f>C63</f>
        <v>OK 01 03</v>
      </c>
      <c r="E71" s="139" t="s">
        <v>8</v>
      </c>
      <c r="F71" s="133" t="s">
        <v>2</v>
      </c>
      <c r="G71" s="134" t="str">
        <f>C71</f>
        <v>OK 01 03</v>
      </c>
      <c r="I71" s="139" t="s">
        <v>8</v>
      </c>
      <c r="J71" s="133" t="s">
        <v>2</v>
      </c>
      <c r="K71" s="134" t="str">
        <f>G71</f>
        <v>OK 01 03</v>
      </c>
      <c r="M71" s="139" t="s">
        <v>8</v>
      </c>
      <c r="N71" s="133" t="s">
        <v>2</v>
      </c>
      <c r="O71" s="134" t="str">
        <f>K71</f>
        <v>OK 01 03</v>
      </c>
    </row>
    <row r="72" ht="12.95" customHeight="1"/>
    <row r="73" s="120" customFormat="1" ht="30" spans="1:15">
      <c r="A73" s="140" t="str">
        <f>$A$1</f>
        <v>226</v>
      </c>
      <c r="B73" s="124" t="s">
        <v>0</v>
      </c>
      <c r="C73" s="125"/>
      <c r="E73" s="140" t="str">
        <f>$A$1</f>
        <v>226</v>
      </c>
      <c r="F73" s="124" t="s">
        <v>0</v>
      </c>
      <c r="G73" s="125"/>
      <c r="I73" s="140" t="str">
        <f>$A$1</f>
        <v>226</v>
      </c>
      <c r="J73" s="124" t="s">
        <v>0</v>
      </c>
      <c r="K73" s="125"/>
      <c r="M73" s="140" t="str">
        <f>$A$1</f>
        <v>226</v>
      </c>
      <c r="N73" s="124" t="s">
        <v>0</v>
      </c>
      <c r="O73" s="125"/>
    </row>
    <row r="74" spans="1:15">
      <c r="A74" s="126" t="s">
        <v>1</v>
      </c>
      <c r="B74" s="122" t="s">
        <v>2</v>
      </c>
      <c r="C74" s="127">
        <f>$C$2</f>
        <v>955985</v>
      </c>
      <c r="E74" s="126" t="s">
        <v>1</v>
      </c>
      <c r="F74" s="122" t="s">
        <v>2</v>
      </c>
      <c r="G74" s="127">
        <f>$C$2</f>
        <v>955985</v>
      </c>
      <c r="I74" s="126" t="s">
        <v>1</v>
      </c>
      <c r="J74" s="122" t="s">
        <v>2</v>
      </c>
      <c r="K74" s="127">
        <f>$C$2</f>
        <v>955985</v>
      </c>
      <c r="M74" s="126" t="s">
        <v>1</v>
      </c>
      <c r="N74" s="122" t="s">
        <v>2</v>
      </c>
      <c r="O74" s="127">
        <f>$C$2</f>
        <v>955985</v>
      </c>
    </row>
    <row r="75" spans="1:15">
      <c r="A75" s="135" t="s">
        <v>3</v>
      </c>
      <c r="B75" s="122" t="s">
        <v>2</v>
      </c>
      <c r="C75" s="136" t="str">
        <f>$C$3</f>
        <v>DIN CONNECTOR FITTING</v>
      </c>
      <c r="E75" s="135" t="s">
        <v>3</v>
      </c>
      <c r="F75" s="122" t="s">
        <v>2</v>
      </c>
      <c r="G75" s="136" t="str">
        <f>$C$3</f>
        <v>DIN CONNECTOR FITTING</v>
      </c>
      <c r="I75" s="135" t="s">
        <v>3</v>
      </c>
      <c r="J75" s="122" t="s">
        <v>2</v>
      </c>
      <c r="K75" s="136" t="str">
        <f>$C$3</f>
        <v>DIN CONNECTOR FITTING</v>
      </c>
      <c r="M75" s="135" t="s">
        <v>3</v>
      </c>
      <c r="N75" s="122" t="s">
        <v>2</v>
      </c>
      <c r="O75" s="136" t="str">
        <f>$C$3</f>
        <v>DIN CONNECTOR FITTING</v>
      </c>
    </row>
    <row r="76" spans="1:15">
      <c r="A76" s="135" t="s">
        <v>4</v>
      </c>
      <c r="B76" s="122" t="s">
        <v>2</v>
      </c>
      <c r="C76" s="137">
        <f>$C$4</f>
        <v>200</v>
      </c>
      <c r="E76" s="135" t="s">
        <v>4</v>
      </c>
      <c r="F76" s="122" t="s">
        <v>2</v>
      </c>
      <c r="G76" s="137">
        <f>$C$4</f>
        <v>200</v>
      </c>
      <c r="I76" s="135" t="s">
        <v>4</v>
      </c>
      <c r="J76" s="122" t="s">
        <v>2</v>
      </c>
      <c r="K76" s="137">
        <f>$C$4</f>
        <v>200</v>
      </c>
      <c r="M76" s="135" t="s">
        <v>4</v>
      </c>
      <c r="N76" s="122" t="s">
        <v>2</v>
      </c>
      <c r="O76" s="137">
        <f>$C$4</f>
        <v>200</v>
      </c>
    </row>
    <row r="77" spans="1:15">
      <c r="A77" s="135" t="s">
        <v>5</v>
      </c>
      <c r="B77" s="122" t="s">
        <v>2</v>
      </c>
      <c r="C77" s="130" t="s">
        <v>6</v>
      </c>
      <c r="E77" s="135" t="s">
        <v>5</v>
      </c>
      <c r="F77" s="122" t="s">
        <v>2</v>
      </c>
      <c r="G77" s="130" t="s">
        <v>6</v>
      </c>
      <c r="I77" s="135" t="s">
        <v>5</v>
      </c>
      <c r="J77" s="122" t="s">
        <v>2</v>
      </c>
      <c r="K77" s="130" t="s">
        <v>6</v>
      </c>
      <c r="M77" s="135" t="s">
        <v>5</v>
      </c>
      <c r="N77" s="122" t="s">
        <v>2</v>
      </c>
      <c r="O77" s="130" t="s">
        <v>6</v>
      </c>
    </row>
    <row r="78" spans="1:15">
      <c r="A78" s="126" t="s">
        <v>7</v>
      </c>
      <c r="B78" s="122" t="s">
        <v>2</v>
      </c>
      <c r="C78" s="138">
        <f>$C$6</f>
        <v>0</v>
      </c>
      <c r="E78" s="126" t="s">
        <v>7</v>
      </c>
      <c r="F78" s="122" t="s">
        <v>2</v>
      </c>
      <c r="G78" s="138">
        <f>$C$6</f>
        <v>0</v>
      </c>
      <c r="I78" s="126" t="s">
        <v>7</v>
      </c>
      <c r="J78" s="122" t="s">
        <v>2</v>
      </c>
      <c r="K78" s="138">
        <f>$C$6</f>
        <v>0</v>
      </c>
      <c r="M78" s="126" t="s">
        <v>7</v>
      </c>
      <c r="N78" s="122" t="s">
        <v>2</v>
      </c>
      <c r="O78" s="138">
        <f>$C$6</f>
        <v>0</v>
      </c>
    </row>
    <row r="79" spans="1:15">
      <c r="A79" s="139" t="s">
        <v>8</v>
      </c>
      <c r="B79" s="133" t="s">
        <v>2</v>
      </c>
      <c r="C79" s="134" t="str">
        <f>C71</f>
        <v>OK 01 03</v>
      </c>
      <c r="E79" s="139" t="s">
        <v>8</v>
      </c>
      <c r="F79" s="133" t="s">
        <v>2</v>
      </c>
      <c r="G79" s="134" t="str">
        <f>C79</f>
        <v>OK 01 03</v>
      </c>
      <c r="I79" s="139" t="s">
        <v>8</v>
      </c>
      <c r="J79" s="133" t="s">
        <v>2</v>
      </c>
      <c r="K79" s="134" t="str">
        <f>G79</f>
        <v>OK 01 03</v>
      </c>
      <c r="M79" s="139" t="s">
        <v>8</v>
      </c>
      <c r="N79" s="133" t="s">
        <v>2</v>
      </c>
      <c r="O79" s="134" t="str">
        <f>K79</f>
        <v>OK 01 03</v>
      </c>
    </row>
    <row r="80" ht="12.95" customHeight="1"/>
    <row r="81" s="120" customFormat="1" ht="30" spans="1:15">
      <c r="A81" s="140" t="str">
        <f>$A$1</f>
        <v>226</v>
      </c>
      <c r="B81" s="124" t="s">
        <v>0</v>
      </c>
      <c r="C81" s="125"/>
      <c r="E81" s="140" t="str">
        <f>$A$1</f>
        <v>226</v>
      </c>
      <c r="F81" s="124" t="s">
        <v>0</v>
      </c>
      <c r="G81" s="125"/>
      <c r="I81" s="140" t="str">
        <f>$A$1</f>
        <v>226</v>
      </c>
      <c r="J81" s="124" t="s">
        <v>0</v>
      </c>
      <c r="K81" s="125"/>
      <c r="M81" s="140" t="str">
        <f>$A$1</f>
        <v>226</v>
      </c>
      <c r="N81" s="124" t="s">
        <v>0</v>
      </c>
      <c r="O81" s="125"/>
    </row>
    <row r="82" spans="1:15">
      <c r="A82" s="126" t="s">
        <v>1</v>
      </c>
      <c r="B82" s="122" t="s">
        <v>2</v>
      </c>
      <c r="C82" s="127">
        <f>$C$2</f>
        <v>955985</v>
      </c>
      <c r="E82" s="126" t="s">
        <v>1</v>
      </c>
      <c r="F82" s="122" t="s">
        <v>2</v>
      </c>
      <c r="G82" s="127">
        <f>$C$2</f>
        <v>955985</v>
      </c>
      <c r="I82" s="126" t="s">
        <v>1</v>
      </c>
      <c r="J82" s="122" t="s">
        <v>2</v>
      </c>
      <c r="K82" s="127">
        <f>$C$2</f>
        <v>955985</v>
      </c>
      <c r="M82" s="126" t="s">
        <v>1</v>
      </c>
      <c r="N82" s="122" t="s">
        <v>2</v>
      </c>
      <c r="O82" s="127">
        <f>$C$2</f>
        <v>955985</v>
      </c>
    </row>
    <row r="83" spans="1:15">
      <c r="A83" s="135" t="s">
        <v>3</v>
      </c>
      <c r="B83" s="122" t="s">
        <v>2</v>
      </c>
      <c r="C83" s="136" t="str">
        <f>$C$3</f>
        <v>DIN CONNECTOR FITTING</v>
      </c>
      <c r="E83" s="135" t="s">
        <v>3</v>
      </c>
      <c r="F83" s="122" t="s">
        <v>2</v>
      </c>
      <c r="G83" s="136" t="str">
        <f>$C$3</f>
        <v>DIN CONNECTOR FITTING</v>
      </c>
      <c r="I83" s="135" t="s">
        <v>3</v>
      </c>
      <c r="J83" s="122" t="s">
        <v>2</v>
      </c>
      <c r="K83" s="136" t="str">
        <f>$C$3</f>
        <v>DIN CONNECTOR FITTING</v>
      </c>
      <c r="M83" s="135" t="s">
        <v>3</v>
      </c>
      <c r="N83" s="122" t="s">
        <v>2</v>
      </c>
      <c r="O83" s="136" t="str">
        <f>$C$3</f>
        <v>DIN CONNECTOR FITTING</v>
      </c>
    </row>
    <row r="84" spans="1:15">
      <c r="A84" s="135" t="s">
        <v>4</v>
      </c>
      <c r="B84" s="122" t="s">
        <v>2</v>
      </c>
      <c r="C84" s="137">
        <f>$C$4</f>
        <v>200</v>
      </c>
      <c r="E84" s="135" t="s">
        <v>4</v>
      </c>
      <c r="F84" s="122" t="s">
        <v>2</v>
      </c>
      <c r="G84" s="137">
        <f>$C$4</f>
        <v>200</v>
      </c>
      <c r="I84" s="135" t="s">
        <v>4</v>
      </c>
      <c r="J84" s="122" t="s">
        <v>2</v>
      </c>
      <c r="K84" s="137">
        <f>$C$4</f>
        <v>200</v>
      </c>
      <c r="M84" s="135" t="s">
        <v>4</v>
      </c>
      <c r="N84" s="122" t="s">
        <v>2</v>
      </c>
      <c r="O84" s="137">
        <f>$C$4</f>
        <v>200</v>
      </c>
    </row>
    <row r="85" spans="1:15">
      <c r="A85" s="135" t="s">
        <v>5</v>
      </c>
      <c r="B85" s="122" t="s">
        <v>2</v>
      </c>
      <c r="C85" s="130" t="s">
        <v>6</v>
      </c>
      <c r="E85" s="135" t="s">
        <v>5</v>
      </c>
      <c r="F85" s="122" t="s">
        <v>2</v>
      </c>
      <c r="G85" s="130" t="s">
        <v>6</v>
      </c>
      <c r="I85" s="135" t="s">
        <v>5</v>
      </c>
      <c r="J85" s="122" t="s">
        <v>2</v>
      </c>
      <c r="K85" s="130" t="s">
        <v>6</v>
      </c>
      <c r="M85" s="135" t="s">
        <v>5</v>
      </c>
      <c r="N85" s="122" t="s">
        <v>2</v>
      </c>
      <c r="O85" s="130" t="s">
        <v>6</v>
      </c>
    </row>
    <row r="86" spans="1:15">
      <c r="A86" s="126" t="s">
        <v>7</v>
      </c>
      <c r="B86" s="122" t="s">
        <v>2</v>
      </c>
      <c r="C86" s="138">
        <f>$C$6</f>
        <v>0</v>
      </c>
      <c r="E86" s="126" t="s">
        <v>7</v>
      </c>
      <c r="F86" s="122" t="s">
        <v>2</v>
      </c>
      <c r="G86" s="138">
        <f>$C$6</f>
        <v>0</v>
      </c>
      <c r="I86" s="126" t="s">
        <v>7</v>
      </c>
      <c r="J86" s="122" t="s">
        <v>2</v>
      </c>
      <c r="K86" s="138">
        <f>$C$6</f>
        <v>0</v>
      </c>
      <c r="M86" s="126" t="s">
        <v>7</v>
      </c>
      <c r="N86" s="122" t="s">
        <v>2</v>
      </c>
      <c r="O86" s="138">
        <f>$C$6</f>
        <v>0</v>
      </c>
    </row>
    <row r="87" spans="1:15">
      <c r="A87" s="139" t="s">
        <v>8</v>
      </c>
      <c r="B87" s="133" t="s">
        <v>2</v>
      </c>
      <c r="C87" s="134" t="str">
        <f>C79</f>
        <v>OK 01 03</v>
      </c>
      <c r="E87" s="139" t="s">
        <v>8</v>
      </c>
      <c r="F87" s="133" t="s">
        <v>2</v>
      </c>
      <c r="G87" s="134" t="str">
        <f>C87</f>
        <v>OK 01 03</v>
      </c>
      <c r="I87" s="139" t="s">
        <v>8</v>
      </c>
      <c r="J87" s="133" t="s">
        <v>2</v>
      </c>
      <c r="K87" s="134" t="str">
        <f>G87</f>
        <v>OK 01 03</v>
      </c>
      <c r="M87" s="139" t="s">
        <v>8</v>
      </c>
      <c r="N87" s="133" t="s">
        <v>2</v>
      </c>
      <c r="O87" s="134" t="str">
        <f>K87</f>
        <v>OK 01 03</v>
      </c>
    </row>
    <row r="88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65:C65"/>
    <mergeCell ref="F65:G65"/>
    <mergeCell ref="J65:K65"/>
    <mergeCell ref="N65:O65"/>
    <mergeCell ref="B73:C73"/>
    <mergeCell ref="F73:G73"/>
    <mergeCell ref="J73:K73"/>
    <mergeCell ref="N73:O73"/>
    <mergeCell ref="B81:C81"/>
    <mergeCell ref="F81:G81"/>
    <mergeCell ref="J81:K81"/>
    <mergeCell ref="N81:O81"/>
  </mergeCells>
  <printOptions horizontalCentered="1" verticalCentered="1"/>
  <pageMargins left="0" right="0" top="0" bottom="0" header="0" footer="0"/>
  <pageSetup paperSize="9" scale="5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8"/>
  <sheetViews>
    <sheetView workbookViewId="0">
      <selection activeCell="B1" sqref="B1:C1"/>
    </sheetView>
  </sheetViews>
  <sheetFormatPr defaultColWidth="9" defaultRowHeight="15"/>
  <cols>
    <col min="1" max="1" width="9.42666666666667" style="121" customWidth="1"/>
    <col min="2" max="2" width="1.28666666666667" style="122" customWidth="1"/>
    <col min="3" max="3" width="32.7133333333333" style="122" customWidth="1"/>
    <col min="4" max="4" width="2.71333333333333" style="122" customWidth="1"/>
    <col min="5" max="5" width="9.42666666666667" style="122" customWidth="1"/>
    <col min="6" max="6" width="1.28666666666667" style="122" customWidth="1"/>
    <col min="7" max="7" width="32.7133333333333" style="122" customWidth="1"/>
    <col min="8" max="8" width="2.71333333333333" style="122" customWidth="1"/>
    <col min="9" max="9" width="9.42666666666667" style="122" customWidth="1"/>
    <col min="10" max="10" width="1.28666666666667" style="122" customWidth="1"/>
    <col min="11" max="11" width="32.7133333333333" style="122" customWidth="1"/>
    <col min="12" max="12" width="2.71333333333333" style="122" customWidth="1"/>
    <col min="13" max="13" width="9.42666666666667" style="122" customWidth="1"/>
    <col min="14" max="14" width="1.28666666666667" style="122" customWidth="1"/>
    <col min="15" max="15" width="32.7133333333333" style="122" customWidth="1"/>
    <col min="16" max="257" width="9.14" style="122"/>
    <col min="258" max="258" width="1.42666666666667" style="122" customWidth="1"/>
    <col min="259" max="259" width="14.8533333333333" style="122" customWidth="1"/>
    <col min="260" max="260" width="1.85333333333333" style="122" customWidth="1"/>
    <col min="261" max="261" width="9.14" style="122"/>
    <col min="262" max="262" width="1.57333333333333" style="122" customWidth="1"/>
    <col min="263" max="263" width="14.8533333333333" style="122" customWidth="1"/>
    <col min="264" max="264" width="2.42666666666667" style="122" customWidth="1"/>
    <col min="265" max="265" width="9.85333333333333" style="122" customWidth="1"/>
    <col min="266" max="266" width="2" style="122" customWidth="1"/>
    <col min="267" max="267" width="14.8533333333333" style="122" customWidth="1"/>
    <col min="268" max="268" width="2.42666666666667" style="122" customWidth="1"/>
    <col min="269" max="269" width="9.85333333333333" style="122" customWidth="1"/>
    <col min="270" max="270" width="2" style="122" customWidth="1"/>
    <col min="271" max="271" width="14.8533333333333" style="122" customWidth="1"/>
    <col min="272" max="513" width="9.14" style="122"/>
    <col min="514" max="514" width="1.42666666666667" style="122" customWidth="1"/>
    <col min="515" max="515" width="14.8533333333333" style="122" customWidth="1"/>
    <col min="516" max="516" width="1.85333333333333" style="122" customWidth="1"/>
    <col min="517" max="517" width="9.14" style="122"/>
    <col min="518" max="518" width="1.57333333333333" style="122" customWidth="1"/>
    <col min="519" max="519" width="14.8533333333333" style="122" customWidth="1"/>
    <col min="520" max="520" width="2.42666666666667" style="122" customWidth="1"/>
    <col min="521" max="521" width="9.85333333333333" style="122" customWidth="1"/>
    <col min="522" max="522" width="2" style="122" customWidth="1"/>
    <col min="523" max="523" width="14.8533333333333" style="122" customWidth="1"/>
    <col min="524" max="524" width="2.42666666666667" style="122" customWidth="1"/>
    <col min="525" max="525" width="9.85333333333333" style="122" customWidth="1"/>
    <col min="526" max="526" width="2" style="122" customWidth="1"/>
    <col min="527" max="527" width="14.8533333333333" style="122" customWidth="1"/>
    <col min="528" max="769" width="9.14" style="122"/>
    <col min="770" max="770" width="1.42666666666667" style="122" customWidth="1"/>
    <col min="771" max="771" width="14.8533333333333" style="122" customWidth="1"/>
    <col min="772" max="772" width="1.85333333333333" style="122" customWidth="1"/>
    <col min="773" max="773" width="9.14" style="122"/>
    <col min="774" max="774" width="1.57333333333333" style="122" customWidth="1"/>
    <col min="775" max="775" width="14.8533333333333" style="122" customWidth="1"/>
    <col min="776" max="776" width="2.42666666666667" style="122" customWidth="1"/>
    <col min="777" max="777" width="9.85333333333333" style="122" customWidth="1"/>
    <col min="778" max="778" width="2" style="122" customWidth="1"/>
    <col min="779" max="779" width="14.8533333333333" style="122" customWidth="1"/>
    <col min="780" max="780" width="2.42666666666667" style="122" customWidth="1"/>
    <col min="781" max="781" width="9.85333333333333" style="122" customWidth="1"/>
    <col min="782" max="782" width="2" style="122" customWidth="1"/>
    <col min="783" max="783" width="14.8533333333333" style="122" customWidth="1"/>
    <col min="784" max="1025" width="9.14" style="122"/>
    <col min="1026" max="1026" width="1.42666666666667" style="122" customWidth="1"/>
    <col min="1027" max="1027" width="14.8533333333333" style="122" customWidth="1"/>
    <col min="1028" max="1028" width="1.85333333333333" style="122" customWidth="1"/>
    <col min="1029" max="1029" width="9.14" style="122"/>
    <col min="1030" max="1030" width="1.57333333333333" style="122" customWidth="1"/>
    <col min="1031" max="1031" width="14.8533333333333" style="122" customWidth="1"/>
    <col min="1032" max="1032" width="2.42666666666667" style="122" customWidth="1"/>
    <col min="1033" max="1033" width="9.85333333333333" style="122" customWidth="1"/>
    <col min="1034" max="1034" width="2" style="122" customWidth="1"/>
    <col min="1035" max="1035" width="14.8533333333333" style="122" customWidth="1"/>
    <col min="1036" max="1036" width="2.42666666666667" style="122" customWidth="1"/>
    <col min="1037" max="1037" width="9.85333333333333" style="122" customWidth="1"/>
    <col min="1038" max="1038" width="2" style="122" customWidth="1"/>
    <col min="1039" max="1039" width="14.8533333333333" style="122" customWidth="1"/>
    <col min="1040" max="1281" width="9.14" style="122"/>
    <col min="1282" max="1282" width="1.42666666666667" style="122" customWidth="1"/>
    <col min="1283" max="1283" width="14.8533333333333" style="122" customWidth="1"/>
    <col min="1284" max="1284" width="1.85333333333333" style="122" customWidth="1"/>
    <col min="1285" max="1285" width="9.14" style="122"/>
    <col min="1286" max="1286" width="1.57333333333333" style="122" customWidth="1"/>
    <col min="1287" max="1287" width="14.8533333333333" style="122" customWidth="1"/>
    <col min="1288" max="1288" width="2.42666666666667" style="122" customWidth="1"/>
    <col min="1289" max="1289" width="9.85333333333333" style="122" customWidth="1"/>
    <col min="1290" max="1290" width="2" style="122" customWidth="1"/>
    <col min="1291" max="1291" width="14.8533333333333" style="122" customWidth="1"/>
    <col min="1292" max="1292" width="2.42666666666667" style="122" customWidth="1"/>
    <col min="1293" max="1293" width="9.85333333333333" style="122" customWidth="1"/>
    <col min="1294" max="1294" width="2" style="122" customWidth="1"/>
    <col min="1295" max="1295" width="14.8533333333333" style="122" customWidth="1"/>
    <col min="1296" max="1537" width="9.14" style="122"/>
    <col min="1538" max="1538" width="1.42666666666667" style="122" customWidth="1"/>
    <col min="1539" max="1539" width="14.8533333333333" style="122" customWidth="1"/>
    <col min="1540" max="1540" width="1.85333333333333" style="122" customWidth="1"/>
    <col min="1541" max="1541" width="9.14" style="122"/>
    <col min="1542" max="1542" width="1.57333333333333" style="122" customWidth="1"/>
    <col min="1543" max="1543" width="14.8533333333333" style="122" customWidth="1"/>
    <col min="1544" max="1544" width="2.42666666666667" style="122" customWidth="1"/>
    <col min="1545" max="1545" width="9.85333333333333" style="122" customWidth="1"/>
    <col min="1546" max="1546" width="2" style="122" customWidth="1"/>
    <col min="1547" max="1547" width="14.8533333333333" style="122" customWidth="1"/>
    <col min="1548" max="1548" width="2.42666666666667" style="122" customWidth="1"/>
    <col min="1549" max="1549" width="9.85333333333333" style="122" customWidth="1"/>
    <col min="1550" max="1550" width="2" style="122" customWidth="1"/>
    <col min="1551" max="1551" width="14.8533333333333" style="122" customWidth="1"/>
    <col min="1552" max="1793" width="9.14" style="122"/>
    <col min="1794" max="1794" width="1.42666666666667" style="122" customWidth="1"/>
    <col min="1795" max="1795" width="14.8533333333333" style="122" customWidth="1"/>
    <col min="1796" max="1796" width="1.85333333333333" style="122" customWidth="1"/>
    <col min="1797" max="1797" width="9.14" style="122"/>
    <col min="1798" max="1798" width="1.57333333333333" style="122" customWidth="1"/>
    <col min="1799" max="1799" width="14.8533333333333" style="122" customWidth="1"/>
    <col min="1800" max="1800" width="2.42666666666667" style="122" customWidth="1"/>
    <col min="1801" max="1801" width="9.85333333333333" style="122" customWidth="1"/>
    <col min="1802" max="1802" width="2" style="122" customWidth="1"/>
    <col min="1803" max="1803" width="14.8533333333333" style="122" customWidth="1"/>
    <col min="1804" max="1804" width="2.42666666666667" style="122" customWidth="1"/>
    <col min="1805" max="1805" width="9.85333333333333" style="122" customWidth="1"/>
    <col min="1806" max="1806" width="2" style="122" customWidth="1"/>
    <col min="1807" max="1807" width="14.8533333333333" style="122" customWidth="1"/>
    <col min="1808" max="2049" width="9.14" style="122"/>
    <col min="2050" max="2050" width="1.42666666666667" style="122" customWidth="1"/>
    <col min="2051" max="2051" width="14.8533333333333" style="122" customWidth="1"/>
    <col min="2052" max="2052" width="1.85333333333333" style="122" customWidth="1"/>
    <col min="2053" max="2053" width="9.14" style="122"/>
    <col min="2054" max="2054" width="1.57333333333333" style="122" customWidth="1"/>
    <col min="2055" max="2055" width="14.8533333333333" style="122" customWidth="1"/>
    <col min="2056" max="2056" width="2.42666666666667" style="122" customWidth="1"/>
    <col min="2057" max="2057" width="9.85333333333333" style="122" customWidth="1"/>
    <col min="2058" max="2058" width="2" style="122" customWidth="1"/>
    <col min="2059" max="2059" width="14.8533333333333" style="122" customWidth="1"/>
    <col min="2060" max="2060" width="2.42666666666667" style="122" customWidth="1"/>
    <col min="2061" max="2061" width="9.85333333333333" style="122" customWidth="1"/>
    <col min="2062" max="2062" width="2" style="122" customWidth="1"/>
    <col min="2063" max="2063" width="14.8533333333333" style="122" customWidth="1"/>
    <col min="2064" max="2305" width="9.14" style="122"/>
    <col min="2306" max="2306" width="1.42666666666667" style="122" customWidth="1"/>
    <col min="2307" max="2307" width="14.8533333333333" style="122" customWidth="1"/>
    <col min="2308" max="2308" width="1.85333333333333" style="122" customWidth="1"/>
    <col min="2309" max="2309" width="9.14" style="122"/>
    <col min="2310" max="2310" width="1.57333333333333" style="122" customWidth="1"/>
    <col min="2311" max="2311" width="14.8533333333333" style="122" customWidth="1"/>
    <col min="2312" max="2312" width="2.42666666666667" style="122" customWidth="1"/>
    <col min="2313" max="2313" width="9.85333333333333" style="122" customWidth="1"/>
    <col min="2314" max="2314" width="2" style="122" customWidth="1"/>
    <col min="2315" max="2315" width="14.8533333333333" style="122" customWidth="1"/>
    <col min="2316" max="2316" width="2.42666666666667" style="122" customWidth="1"/>
    <col min="2317" max="2317" width="9.85333333333333" style="122" customWidth="1"/>
    <col min="2318" max="2318" width="2" style="122" customWidth="1"/>
    <col min="2319" max="2319" width="14.8533333333333" style="122" customWidth="1"/>
    <col min="2320" max="2561" width="9.14" style="122"/>
    <col min="2562" max="2562" width="1.42666666666667" style="122" customWidth="1"/>
    <col min="2563" max="2563" width="14.8533333333333" style="122" customWidth="1"/>
    <col min="2564" max="2564" width="1.85333333333333" style="122" customWidth="1"/>
    <col min="2565" max="2565" width="9.14" style="122"/>
    <col min="2566" max="2566" width="1.57333333333333" style="122" customWidth="1"/>
    <col min="2567" max="2567" width="14.8533333333333" style="122" customWidth="1"/>
    <col min="2568" max="2568" width="2.42666666666667" style="122" customWidth="1"/>
    <col min="2569" max="2569" width="9.85333333333333" style="122" customWidth="1"/>
    <col min="2570" max="2570" width="2" style="122" customWidth="1"/>
    <col min="2571" max="2571" width="14.8533333333333" style="122" customWidth="1"/>
    <col min="2572" max="2572" width="2.42666666666667" style="122" customWidth="1"/>
    <col min="2573" max="2573" width="9.85333333333333" style="122" customWidth="1"/>
    <col min="2574" max="2574" width="2" style="122" customWidth="1"/>
    <col min="2575" max="2575" width="14.8533333333333" style="122" customWidth="1"/>
    <col min="2576" max="2817" width="9.14" style="122"/>
    <col min="2818" max="2818" width="1.42666666666667" style="122" customWidth="1"/>
    <col min="2819" max="2819" width="14.8533333333333" style="122" customWidth="1"/>
    <col min="2820" max="2820" width="1.85333333333333" style="122" customWidth="1"/>
    <col min="2821" max="2821" width="9.14" style="122"/>
    <col min="2822" max="2822" width="1.57333333333333" style="122" customWidth="1"/>
    <col min="2823" max="2823" width="14.8533333333333" style="122" customWidth="1"/>
    <col min="2824" max="2824" width="2.42666666666667" style="122" customWidth="1"/>
    <col min="2825" max="2825" width="9.85333333333333" style="122" customWidth="1"/>
    <col min="2826" max="2826" width="2" style="122" customWidth="1"/>
    <col min="2827" max="2827" width="14.8533333333333" style="122" customWidth="1"/>
    <col min="2828" max="2828" width="2.42666666666667" style="122" customWidth="1"/>
    <col min="2829" max="2829" width="9.85333333333333" style="122" customWidth="1"/>
    <col min="2830" max="2830" width="2" style="122" customWidth="1"/>
    <col min="2831" max="2831" width="14.8533333333333" style="122" customWidth="1"/>
    <col min="2832" max="3073" width="9.14" style="122"/>
    <col min="3074" max="3074" width="1.42666666666667" style="122" customWidth="1"/>
    <col min="3075" max="3075" width="14.8533333333333" style="122" customWidth="1"/>
    <col min="3076" max="3076" width="1.85333333333333" style="122" customWidth="1"/>
    <col min="3077" max="3077" width="9.14" style="122"/>
    <col min="3078" max="3078" width="1.57333333333333" style="122" customWidth="1"/>
    <col min="3079" max="3079" width="14.8533333333333" style="122" customWidth="1"/>
    <col min="3080" max="3080" width="2.42666666666667" style="122" customWidth="1"/>
    <col min="3081" max="3081" width="9.85333333333333" style="122" customWidth="1"/>
    <col min="3082" max="3082" width="2" style="122" customWidth="1"/>
    <col min="3083" max="3083" width="14.8533333333333" style="122" customWidth="1"/>
    <col min="3084" max="3084" width="2.42666666666667" style="122" customWidth="1"/>
    <col min="3085" max="3085" width="9.85333333333333" style="122" customWidth="1"/>
    <col min="3086" max="3086" width="2" style="122" customWidth="1"/>
    <col min="3087" max="3087" width="14.8533333333333" style="122" customWidth="1"/>
    <col min="3088" max="3329" width="9.14" style="122"/>
    <col min="3330" max="3330" width="1.42666666666667" style="122" customWidth="1"/>
    <col min="3331" max="3331" width="14.8533333333333" style="122" customWidth="1"/>
    <col min="3332" max="3332" width="1.85333333333333" style="122" customWidth="1"/>
    <col min="3333" max="3333" width="9.14" style="122"/>
    <col min="3334" max="3334" width="1.57333333333333" style="122" customWidth="1"/>
    <col min="3335" max="3335" width="14.8533333333333" style="122" customWidth="1"/>
    <col min="3336" max="3336" width="2.42666666666667" style="122" customWidth="1"/>
    <col min="3337" max="3337" width="9.85333333333333" style="122" customWidth="1"/>
    <col min="3338" max="3338" width="2" style="122" customWidth="1"/>
    <col min="3339" max="3339" width="14.8533333333333" style="122" customWidth="1"/>
    <col min="3340" max="3340" width="2.42666666666667" style="122" customWidth="1"/>
    <col min="3341" max="3341" width="9.85333333333333" style="122" customWidth="1"/>
    <col min="3342" max="3342" width="2" style="122" customWidth="1"/>
    <col min="3343" max="3343" width="14.8533333333333" style="122" customWidth="1"/>
    <col min="3344" max="3585" width="9.14" style="122"/>
    <col min="3586" max="3586" width="1.42666666666667" style="122" customWidth="1"/>
    <col min="3587" max="3587" width="14.8533333333333" style="122" customWidth="1"/>
    <col min="3588" max="3588" width="1.85333333333333" style="122" customWidth="1"/>
    <col min="3589" max="3589" width="9.14" style="122"/>
    <col min="3590" max="3590" width="1.57333333333333" style="122" customWidth="1"/>
    <col min="3591" max="3591" width="14.8533333333333" style="122" customWidth="1"/>
    <col min="3592" max="3592" width="2.42666666666667" style="122" customWidth="1"/>
    <col min="3593" max="3593" width="9.85333333333333" style="122" customWidth="1"/>
    <col min="3594" max="3594" width="2" style="122" customWidth="1"/>
    <col min="3595" max="3595" width="14.8533333333333" style="122" customWidth="1"/>
    <col min="3596" max="3596" width="2.42666666666667" style="122" customWidth="1"/>
    <col min="3597" max="3597" width="9.85333333333333" style="122" customWidth="1"/>
    <col min="3598" max="3598" width="2" style="122" customWidth="1"/>
    <col min="3599" max="3599" width="14.8533333333333" style="122" customWidth="1"/>
    <col min="3600" max="3841" width="9.14" style="122"/>
    <col min="3842" max="3842" width="1.42666666666667" style="122" customWidth="1"/>
    <col min="3843" max="3843" width="14.8533333333333" style="122" customWidth="1"/>
    <col min="3844" max="3844" width="1.85333333333333" style="122" customWidth="1"/>
    <col min="3845" max="3845" width="9.14" style="122"/>
    <col min="3846" max="3846" width="1.57333333333333" style="122" customWidth="1"/>
    <col min="3847" max="3847" width="14.8533333333333" style="122" customWidth="1"/>
    <col min="3848" max="3848" width="2.42666666666667" style="122" customWidth="1"/>
    <col min="3849" max="3849" width="9.85333333333333" style="122" customWidth="1"/>
    <col min="3850" max="3850" width="2" style="122" customWidth="1"/>
    <col min="3851" max="3851" width="14.8533333333333" style="122" customWidth="1"/>
    <col min="3852" max="3852" width="2.42666666666667" style="122" customWidth="1"/>
    <col min="3853" max="3853" width="9.85333333333333" style="122" customWidth="1"/>
    <col min="3854" max="3854" width="2" style="122" customWidth="1"/>
    <col min="3855" max="3855" width="14.8533333333333" style="122" customWidth="1"/>
    <col min="3856" max="4097" width="9.14" style="122"/>
    <col min="4098" max="4098" width="1.42666666666667" style="122" customWidth="1"/>
    <col min="4099" max="4099" width="14.8533333333333" style="122" customWidth="1"/>
    <col min="4100" max="4100" width="1.85333333333333" style="122" customWidth="1"/>
    <col min="4101" max="4101" width="9.14" style="122"/>
    <col min="4102" max="4102" width="1.57333333333333" style="122" customWidth="1"/>
    <col min="4103" max="4103" width="14.8533333333333" style="122" customWidth="1"/>
    <col min="4104" max="4104" width="2.42666666666667" style="122" customWidth="1"/>
    <col min="4105" max="4105" width="9.85333333333333" style="122" customWidth="1"/>
    <col min="4106" max="4106" width="2" style="122" customWidth="1"/>
    <col min="4107" max="4107" width="14.8533333333333" style="122" customWidth="1"/>
    <col min="4108" max="4108" width="2.42666666666667" style="122" customWidth="1"/>
    <col min="4109" max="4109" width="9.85333333333333" style="122" customWidth="1"/>
    <col min="4110" max="4110" width="2" style="122" customWidth="1"/>
    <col min="4111" max="4111" width="14.8533333333333" style="122" customWidth="1"/>
    <col min="4112" max="4353" width="9.14" style="122"/>
    <col min="4354" max="4354" width="1.42666666666667" style="122" customWidth="1"/>
    <col min="4355" max="4355" width="14.8533333333333" style="122" customWidth="1"/>
    <col min="4356" max="4356" width="1.85333333333333" style="122" customWidth="1"/>
    <col min="4357" max="4357" width="9.14" style="122"/>
    <col min="4358" max="4358" width="1.57333333333333" style="122" customWidth="1"/>
    <col min="4359" max="4359" width="14.8533333333333" style="122" customWidth="1"/>
    <col min="4360" max="4360" width="2.42666666666667" style="122" customWidth="1"/>
    <col min="4361" max="4361" width="9.85333333333333" style="122" customWidth="1"/>
    <col min="4362" max="4362" width="2" style="122" customWidth="1"/>
    <col min="4363" max="4363" width="14.8533333333333" style="122" customWidth="1"/>
    <col min="4364" max="4364" width="2.42666666666667" style="122" customWidth="1"/>
    <col min="4365" max="4365" width="9.85333333333333" style="122" customWidth="1"/>
    <col min="4366" max="4366" width="2" style="122" customWidth="1"/>
    <col min="4367" max="4367" width="14.8533333333333" style="122" customWidth="1"/>
    <col min="4368" max="4609" width="9.14" style="122"/>
    <col min="4610" max="4610" width="1.42666666666667" style="122" customWidth="1"/>
    <col min="4611" max="4611" width="14.8533333333333" style="122" customWidth="1"/>
    <col min="4612" max="4612" width="1.85333333333333" style="122" customWidth="1"/>
    <col min="4613" max="4613" width="9.14" style="122"/>
    <col min="4614" max="4614" width="1.57333333333333" style="122" customWidth="1"/>
    <col min="4615" max="4615" width="14.8533333333333" style="122" customWidth="1"/>
    <col min="4616" max="4616" width="2.42666666666667" style="122" customWidth="1"/>
    <col min="4617" max="4617" width="9.85333333333333" style="122" customWidth="1"/>
    <col min="4618" max="4618" width="2" style="122" customWidth="1"/>
    <col min="4619" max="4619" width="14.8533333333333" style="122" customWidth="1"/>
    <col min="4620" max="4620" width="2.42666666666667" style="122" customWidth="1"/>
    <col min="4621" max="4621" width="9.85333333333333" style="122" customWidth="1"/>
    <col min="4622" max="4622" width="2" style="122" customWidth="1"/>
    <col min="4623" max="4623" width="14.8533333333333" style="122" customWidth="1"/>
    <col min="4624" max="4865" width="9.14" style="122"/>
    <col min="4866" max="4866" width="1.42666666666667" style="122" customWidth="1"/>
    <col min="4867" max="4867" width="14.8533333333333" style="122" customWidth="1"/>
    <col min="4868" max="4868" width="1.85333333333333" style="122" customWidth="1"/>
    <col min="4869" max="4869" width="9.14" style="122"/>
    <col min="4870" max="4870" width="1.57333333333333" style="122" customWidth="1"/>
    <col min="4871" max="4871" width="14.8533333333333" style="122" customWidth="1"/>
    <col min="4872" max="4872" width="2.42666666666667" style="122" customWidth="1"/>
    <col min="4873" max="4873" width="9.85333333333333" style="122" customWidth="1"/>
    <col min="4874" max="4874" width="2" style="122" customWidth="1"/>
    <col min="4875" max="4875" width="14.8533333333333" style="122" customWidth="1"/>
    <col min="4876" max="4876" width="2.42666666666667" style="122" customWidth="1"/>
    <col min="4877" max="4877" width="9.85333333333333" style="122" customWidth="1"/>
    <col min="4878" max="4878" width="2" style="122" customWidth="1"/>
    <col min="4879" max="4879" width="14.8533333333333" style="122" customWidth="1"/>
    <col min="4880" max="5121" width="9.14" style="122"/>
    <col min="5122" max="5122" width="1.42666666666667" style="122" customWidth="1"/>
    <col min="5123" max="5123" width="14.8533333333333" style="122" customWidth="1"/>
    <col min="5124" max="5124" width="1.85333333333333" style="122" customWidth="1"/>
    <col min="5125" max="5125" width="9.14" style="122"/>
    <col min="5126" max="5126" width="1.57333333333333" style="122" customWidth="1"/>
    <col min="5127" max="5127" width="14.8533333333333" style="122" customWidth="1"/>
    <col min="5128" max="5128" width="2.42666666666667" style="122" customWidth="1"/>
    <col min="5129" max="5129" width="9.85333333333333" style="122" customWidth="1"/>
    <col min="5130" max="5130" width="2" style="122" customWidth="1"/>
    <col min="5131" max="5131" width="14.8533333333333" style="122" customWidth="1"/>
    <col min="5132" max="5132" width="2.42666666666667" style="122" customWidth="1"/>
    <col min="5133" max="5133" width="9.85333333333333" style="122" customWidth="1"/>
    <col min="5134" max="5134" width="2" style="122" customWidth="1"/>
    <col min="5135" max="5135" width="14.8533333333333" style="122" customWidth="1"/>
    <col min="5136" max="5377" width="9.14" style="122"/>
    <col min="5378" max="5378" width="1.42666666666667" style="122" customWidth="1"/>
    <col min="5379" max="5379" width="14.8533333333333" style="122" customWidth="1"/>
    <col min="5380" max="5380" width="1.85333333333333" style="122" customWidth="1"/>
    <col min="5381" max="5381" width="9.14" style="122"/>
    <col min="5382" max="5382" width="1.57333333333333" style="122" customWidth="1"/>
    <col min="5383" max="5383" width="14.8533333333333" style="122" customWidth="1"/>
    <col min="5384" max="5384" width="2.42666666666667" style="122" customWidth="1"/>
    <col min="5385" max="5385" width="9.85333333333333" style="122" customWidth="1"/>
    <col min="5386" max="5386" width="2" style="122" customWidth="1"/>
    <col min="5387" max="5387" width="14.8533333333333" style="122" customWidth="1"/>
    <col min="5388" max="5388" width="2.42666666666667" style="122" customWidth="1"/>
    <col min="5389" max="5389" width="9.85333333333333" style="122" customWidth="1"/>
    <col min="5390" max="5390" width="2" style="122" customWidth="1"/>
    <col min="5391" max="5391" width="14.8533333333333" style="122" customWidth="1"/>
    <col min="5392" max="5633" width="9.14" style="122"/>
    <col min="5634" max="5634" width="1.42666666666667" style="122" customWidth="1"/>
    <col min="5635" max="5635" width="14.8533333333333" style="122" customWidth="1"/>
    <col min="5636" max="5636" width="1.85333333333333" style="122" customWidth="1"/>
    <col min="5637" max="5637" width="9.14" style="122"/>
    <col min="5638" max="5638" width="1.57333333333333" style="122" customWidth="1"/>
    <col min="5639" max="5639" width="14.8533333333333" style="122" customWidth="1"/>
    <col min="5640" max="5640" width="2.42666666666667" style="122" customWidth="1"/>
    <col min="5641" max="5641" width="9.85333333333333" style="122" customWidth="1"/>
    <col min="5642" max="5642" width="2" style="122" customWidth="1"/>
    <col min="5643" max="5643" width="14.8533333333333" style="122" customWidth="1"/>
    <col min="5644" max="5644" width="2.42666666666667" style="122" customWidth="1"/>
    <col min="5645" max="5645" width="9.85333333333333" style="122" customWidth="1"/>
    <col min="5646" max="5646" width="2" style="122" customWidth="1"/>
    <col min="5647" max="5647" width="14.8533333333333" style="122" customWidth="1"/>
    <col min="5648" max="5889" width="9.14" style="122"/>
    <col min="5890" max="5890" width="1.42666666666667" style="122" customWidth="1"/>
    <col min="5891" max="5891" width="14.8533333333333" style="122" customWidth="1"/>
    <col min="5892" max="5892" width="1.85333333333333" style="122" customWidth="1"/>
    <col min="5893" max="5893" width="9.14" style="122"/>
    <col min="5894" max="5894" width="1.57333333333333" style="122" customWidth="1"/>
    <col min="5895" max="5895" width="14.8533333333333" style="122" customWidth="1"/>
    <col min="5896" max="5896" width="2.42666666666667" style="122" customWidth="1"/>
    <col min="5897" max="5897" width="9.85333333333333" style="122" customWidth="1"/>
    <col min="5898" max="5898" width="2" style="122" customWidth="1"/>
    <col min="5899" max="5899" width="14.8533333333333" style="122" customWidth="1"/>
    <col min="5900" max="5900" width="2.42666666666667" style="122" customWidth="1"/>
    <col min="5901" max="5901" width="9.85333333333333" style="122" customWidth="1"/>
    <col min="5902" max="5902" width="2" style="122" customWidth="1"/>
    <col min="5903" max="5903" width="14.8533333333333" style="122" customWidth="1"/>
    <col min="5904" max="6145" width="9.14" style="122"/>
    <col min="6146" max="6146" width="1.42666666666667" style="122" customWidth="1"/>
    <col min="6147" max="6147" width="14.8533333333333" style="122" customWidth="1"/>
    <col min="6148" max="6148" width="1.85333333333333" style="122" customWidth="1"/>
    <col min="6149" max="6149" width="9.14" style="122"/>
    <col min="6150" max="6150" width="1.57333333333333" style="122" customWidth="1"/>
    <col min="6151" max="6151" width="14.8533333333333" style="122" customWidth="1"/>
    <col min="6152" max="6152" width="2.42666666666667" style="122" customWidth="1"/>
    <col min="6153" max="6153" width="9.85333333333333" style="122" customWidth="1"/>
    <col min="6154" max="6154" width="2" style="122" customWidth="1"/>
    <col min="6155" max="6155" width="14.8533333333333" style="122" customWidth="1"/>
    <col min="6156" max="6156" width="2.42666666666667" style="122" customWidth="1"/>
    <col min="6157" max="6157" width="9.85333333333333" style="122" customWidth="1"/>
    <col min="6158" max="6158" width="2" style="122" customWidth="1"/>
    <col min="6159" max="6159" width="14.8533333333333" style="122" customWidth="1"/>
    <col min="6160" max="6401" width="9.14" style="122"/>
    <col min="6402" max="6402" width="1.42666666666667" style="122" customWidth="1"/>
    <col min="6403" max="6403" width="14.8533333333333" style="122" customWidth="1"/>
    <col min="6404" max="6404" width="1.85333333333333" style="122" customWidth="1"/>
    <col min="6405" max="6405" width="9.14" style="122"/>
    <col min="6406" max="6406" width="1.57333333333333" style="122" customWidth="1"/>
    <col min="6407" max="6407" width="14.8533333333333" style="122" customWidth="1"/>
    <col min="6408" max="6408" width="2.42666666666667" style="122" customWidth="1"/>
    <col min="6409" max="6409" width="9.85333333333333" style="122" customWidth="1"/>
    <col min="6410" max="6410" width="2" style="122" customWidth="1"/>
    <col min="6411" max="6411" width="14.8533333333333" style="122" customWidth="1"/>
    <col min="6412" max="6412" width="2.42666666666667" style="122" customWidth="1"/>
    <col min="6413" max="6413" width="9.85333333333333" style="122" customWidth="1"/>
    <col min="6414" max="6414" width="2" style="122" customWidth="1"/>
    <col min="6415" max="6415" width="14.8533333333333" style="122" customWidth="1"/>
    <col min="6416" max="6657" width="9.14" style="122"/>
    <col min="6658" max="6658" width="1.42666666666667" style="122" customWidth="1"/>
    <col min="6659" max="6659" width="14.8533333333333" style="122" customWidth="1"/>
    <col min="6660" max="6660" width="1.85333333333333" style="122" customWidth="1"/>
    <col min="6661" max="6661" width="9.14" style="122"/>
    <col min="6662" max="6662" width="1.57333333333333" style="122" customWidth="1"/>
    <col min="6663" max="6663" width="14.8533333333333" style="122" customWidth="1"/>
    <col min="6664" max="6664" width="2.42666666666667" style="122" customWidth="1"/>
    <col min="6665" max="6665" width="9.85333333333333" style="122" customWidth="1"/>
    <col min="6666" max="6666" width="2" style="122" customWidth="1"/>
    <col min="6667" max="6667" width="14.8533333333333" style="122" customWidth="1"/>
    <col min="6668" max="6668" width="2.42666666666667" style="122" customWidth="1"/>
    <col min="6669" max="6669" width="9.85333333333333" style="122" customWidth="1"/>
    <col min="6670" max="6670" width="2" style="122" customWidth="1"/>
    <col min="6671" max="6671" width="14.8533333333333" style="122" customWidth="1"/>
    <col min="6672" max="6913" width="9.14" style="122"/>
    <col min="6914" max="6914" width="1.42666666666667" style="122" customWidth="1"/>
    <col min="6915" max="6915" width="14.8533333333333" style="122" customWidth="1"/>
    <col min="6916" max="6916" width="1.85333333333333" style="122" customWidth="1"/>
    <col min="6917" max="6917" width="9.14" style="122"/>
    <col min="6918" max="6918" width="1.57333333333333" style="122" customWidth="1"/>
    <col min="6919" max="6919" width="14.8533333333333" style="122" customWidth="1"/>
    <col min="6920" max="6920" width="2.42666666666667" style="122" customWidth="1"/>
    <col min="6921" max="6921" width="9.85333333333333" style="122" customWidth="1"/>
    <col min="6922" max="6922" width="2" style="122" customWidth="1"/>
    <col min="6923" max="6923" width="14.8533333333333" style="122" customWidth="1"/>
    <col min="6924" max="6924" width="2.42666666666667" style="122" customWidth="1"/>
    <col min="6925" max="6925" width="9.85333333333333" style="122" customWidth="1"/>
    <col min="6926" max="6926" width="2" style="122" customWidth="1"/>
    <col min="6927" max="6927" width="14.8533333333333" style="122" customWidth="1"/>
    <col min="6928" max="7169" width="9.14" style="122"/>
    <col min="7170" max="7170" width="1.42666666666667" style="122" customWidth="1"/>
    <col min="7171" max="7171" width="14.8533333333333" style="122" customWidth="1"/>
    <col min="7172" max="7172" width="1.85333333333333" style="122" customWidth="1"/>
    <col min="7173" max="7173" width="9.14" style="122"/>
    <col min="7174" max="7174" width="1.57333333333333" style="122" customWidth="1"/>
    <col min="7175" max="7175" width="14.8533333333333" style="122" customWidth="1"/>
    <col min="7176" max="7176" width="2.42666666666667" style="122" customWidth="1"/>
    <col min="7177" max="7177" width="9.85333333333333" style="122" customWidth="1"/>
    <col min="7178" max="7178" width="2" style="122" customWidth="1"/>
    <col min="7179" max="7179" width="14.8533333333333" style="122" customWidth="1"/>
    <col min="7180" max="7180" width="2.42666666666667" style="122" customWidth="1"/>
    <col min="7181" max="7181" width="9.85333333333333" style="122" customWidth="1"/>
    <col min="7182" max="7182" width="2" style="122" customWidth="1"/>
    <col min="7183" max="7183" width="14.8533333333333" style="122" customWidth="1"/>
    <col min="7184" max="7425" width="9.14" style="122"/>
    <col min="7426" max="7426" width="1.42666666666667" style="122" customWidth="1"/>
    <col min="7427" max="7427" width="14.8533333333333" style="122" customWidth="1"/>
    <col min="7428" max="7428" width="1.85333333333333" style="122" customWidth="1"/>
    <col min="7429" max="7429" width="9.14" style="122"/>
    <col min="7430" max="7430" width="1.57333333333333" style="122" customWidth="1"/>
    <col min="7431" max="7431" width="14.8533333333333" style="122" customWidth="1"/>
    <col min="7432" max="7432" width="2.42666666666667" style="122" customWidth="1"/>
    <col min="7433" max="7433" width="9.85333333333333" style="122" customWidth="1"/>
    <col min="7434" max="7434" width="2" style="122" customWidth="1"/>
    <col min="7435" max="7435" width="14.8533333333333" style="122" customWidth="1"/>
    <col min="7436" max="7436" width="2.42666666666667" style="122" customWidth="1"/>
    <col min="7437" max="7437" width="9.85333333333333" style="122" customWidth="1"/>
    <col min="7438" max="7438" width="2" style="122" customWidth="1"/>
    <col min="7439" max="7439" width="14.8533333333333" style="122" customWidth="1"/>
    <col min="7440" max="7681" width="9.14" style="122"/>
    <col min="7682" max="7682" width="1.42666666666667" style="122" customWidth="1"/>
    <col min="7683" max="7683" width="14.8533333333333" style="122" customWidth="1"/>
    <col min="7684" max="7684" width="1.85333333333333" style="122" customWidth="1"/>
    <col min="7685" max="7685" width="9.14" style="122"/>
    <col min="7686" max="7686" width="1.57333333333333" style="122" customWidth="1"/>
    <col min="7687" max="7687" width="14.8533333333333" style="122" customWidth="1"/>
    <col min="7688" max="7688" width="2.42666666666667" style="122" customWidth="1"/>
    <col min="7689" max="7689" width="9.85333333333333" style="122" customWidth="1"/>
    <col min="7690" max="7690" width="2" style="122" customWidth="1"/>
    <col min="7691" max="7691" width="14.8533333333333" style="122" customWidth="1"/>
    <col min="7692" max="7692" width="2.42666666666667" style="122" customWidth="1"/>
    <col min="7693" max="7693" width="9.85333333333333" style="122" customWidth="1"/>
    <col min="7694" max="7694" width="2" style="122" customWidth="1"/>
    <col min="7695" max="7695" width="14.8533333333333" style="122" customWidth="1"/>
    <col min="7696" max="7937" width="9.14" style="122"/>
    <col min="7938" max="7938" width="1.42666666666667" style="122" customWidth="1"/>
    <col min="7939" max="7939" width="14.8533333333333" style="122" customWidth="1"/>
    <col min="7940" max="7940" width="1.85333333333333" style="122" customWidth="1"/>
    <col min="7941" max="7941" width="9.14" style="122"/>
    <col min="7942" max="7942" width="1.57333333333333" style="122" customWidth="1"/>
    <col min="7943" max="7943" width="14.8533333333333" style="122" customWidth="1"/>
    <col min="7944" max="7944" width="2.42666666666667" style="122" customWidth="1"/>
    <col min="7945" max="7945" width="9.85333333333333" style="122" customWidth="1"/>
    <col min="7946" max="7946" width="2" style="122" customWidth="1"/>
    <col min="7947" max="7947" width="14.8533333333333" style="122" customWidth="1"/>
    <col min="7948" max="7948" width="2.42666666666667" style="122" customWidth="1"/>
    <col min="7949" max="7949" width="9.85333333333333" style="122" customWidth="1"/>
    <col min="7950" max="7950" width="2" style="122" customWidth="1"/>
    <col min="7951" max="7951" width="14.8533333333333" style="122" customWidth="1"/>
    <col min="7952" max="8193" width="9.14" style="122"/>
    <col min="8194" max="8194" width="1.42666666666667" style="122" customWidth="1"/>
    <col min="8195" max="8195" width="14.8533333333333" style="122" customWidth="1"/>
    <col min="8196" max="8196" width="1.85333333333333" style="122" customWidth="1"/>
    <col min="8197" max="8197" width="9.14" style="122"/>
    <col min="8198" max="8198" width="1.57333333333333" style="122" customWidth="1"/>
    <col min="8199" max="8199" width="14.8533333333333" style="122" customWidth="1"/>
    <col min="8200" max="8200" width="2.42666666666667" style="122" customWidth="1"/>
    <col min="8201" max="8201" width="9.85333333333333" style="122" customWidth="1"/>
    <col min="8202" max="8202" width="2" style="122" customWidth="1"/>
    <col min="8203" max="8203" width="14.8533333333333" style="122" customWidth="1"/>
    <col min="8204" max="8204" width="2.42666666666667" style="122" customWidth="1"/>
    <col min="8205" max="8205" width="9.85333333333333" style="122" customWidth="1"/>
    <col min="8206" max="8206" width="2" style="122" customWidth="1"/>
    <col min="8207" max="8207" width="14.8533333333333" style="122" customWidth="1"/>
    <col min="8208" max="8449" width="9.14" style="122"/>
    <col min="8450" max="8450" width="1.42666666666667" style="122" customWidth="1"/>
    <col min="8451" max="8451" width="14.8533333333333" style="122" customWidth="1"/>
    <col min="8452" max="8452" width="1.85333333333333" style="122" customWidth="1"/>
    <col min="8453" max="8453" width="9.14" style="122"/>
    <col min="8454" max="8454" width="1.57333333333333" style="122" customWidth="1"/>
    <col min="8455" max="8455" width="14.8533333333333" style="122" customWidth="1"/>
    <col min="8456" max="8456" width="2.42666666666667" style="122" customWidth="1"/>
    <col min="8457" max="8457" width="9.85333333333333" style="122" customWidth="1"/>
    <col min="8458" max="8458" width="2" style="122" customWidth="1"/>
    <col min="8459" max="8459" width="14.8533333333333" style="122" customWidth="1"/>
    <col min="8460" max="8460" width="2.42666666666667" style="122" customWidth="1"/>
    <col min="8461" max="8461" width="9.85333333333333" style="122" customWidth="1"/>
    <col min="8462" max="8462" width="2" style="122" customWidth="1"/>
    <col min="8463" max="8463" width="14.8533333333333" style="122" customWidth="1"/>
    <col min="8464" max="8705" width="9.14" style="122"/>
    <col min="8706" max="8706" width="1.42666666666667" style="122" customWidth="1"/>
    <col min="8707" max="8707" width="14.8533333333333" style="122" customWidth="1"/>
    <col min="8708" max="8708" width="1.85333333333333" style="122" customWidth="1"/>
    <col min="8709" max="8709" width="9.14" style="122"/>
    <col min="8710" max="8710" width="1.57333333333333" style="122" customWidth="1"/>
    <col min="8711" max="8711" width="14.8533333333333" style="122" customWidth="1"/>
    <col min="8712" max="8712" width="2.42666666666667" style="122" customWidth="1"/>
    <col min="8713" max="8713" width="9.85333333333333" style="122" customWidth="1"/>
    <col min="8714" max="8714" width="2" style="122" customWidth="1"/>
    <col min="8715" max="8715" width="14.8533333333333" style="122" customWidth="1"/>
    <col min="8716" max="8716" width="2.42666666666667" style="122" customWidth="1"/>
    <col min="8717" max="8717" width="9.85333333333333" style="122" customWidth="1"/>
    <col min="8718" max="8718" width="2" style="122" customWidth="1"/>
    <col min="8719" max="8719" width="14.8533333333333" style="122" customWidth="1"/>
    <col min="8720" max="8961" width="9.14" style="122"/>
    <col min="8962" max="8962" width="1.42666666666667" style="122" customWidth="1"/>
    <col min="8963" max="8963" width="14.8533333333333" style="122" customWidth="1"/>
    <col min="8964" max="8964" width="1.85333333333333" style="122" customWidth="1"/>
    <col min="8965" max="8965" width="9.14" style="122"/>
    <col min="8966" max="8966" width="1.57333333333333" style="122" customWidth="1"/>
    <col min="8967" max="8967" width="14.8533333333333" style="122" customWidth="1"/>
    <col min="8968" max="8968" width="2.42666666666667" style="122" customWidth="1"/>
    <col min="8969" max="8969" width="9.85333333333333" style="122" customWidth="1"/>
    <col min="8970" max="8970" width="2" style="122" customWidth="1"/>
    <col min="8971" max="8971" width="14.8533333333333" style="122" customWidth="1"/>
    <col min="8972" max="8972" width="2.42666666666667" style="122" customWidth="1"/>
    <col min="8973" max="8973" width="9.85333333333333" style="122" customWidth="1"/>
    <col min="8974" max="8974" width="2" style="122" customWidth="1"/>
    <col min="8975" max="8975" width="14.8533333333333" style="122" customWidth="1"/>
    <col min="8976" max="9217" width="9.14" style="122"/>
    <col min="9218" max="9218" width="1.42666666666667" style="122" customWidth="1"/>
    <col min="9219" max="9219" width="14.8533333333333" style="122" customWidth="1"/>
    <col min="9220" max="9220" width="1.85333333333333" style="122" customWidth="1"/>
    <col min="9221" max="9221" width="9.14" style="122"/>
    <col min="9222" max="9222" width="1.57333333333333" style="122" customWidth="1"/>
    <col min="9223" max="9223" width="14.8533333333333" style="122" customWidth="1"/>
    <col min="9224" max="9224" width="2.42666666666667" style="122" customWidth="1"/>
    <col min="9225" max="9225" width="9.85333333333333" style="122" customWidth="1"/>
    <col min="9226" max="9226" width="2" style="122" customWidth="1"/>
    <col min="9227" max="9227" width="14.8533333333333" style="122" customWidth="1"/>
    <col min="9228" max="9228" width="2.42666666666667" style="122" customWidth="1"/>
    <col min="9229" max="9229" width="9.85333333333333" style="122" customWidth="1"/>
    <col min="9230" max="9230" width="2" style="122" customWidth="1"/>
    <col min="9231" max="9231" width="14.8533333333333" style="122" customWidth="1"/>
    <col min="9232" max="9473" width="9.14" style="122"/>
    <col min="9474" max="9474" width="1.42666666666667" style="122" customWidth="1"/>
    <col min="9475" max="9475" width="14.8533333333333" style="122" customWidth="1"/>
    <col min="9476" max="9476" width="1.85333333333333" style="122" customWidth="1"/>
    <col min="9477" max="9477" width="9.14" style="122"/>
    <col min="9478" max="9478" width="1.57333333333333" style="122" customWidth="1"/>
    <col min="9479" max="9479" width="14.8533333333333" style="122" customWidth="1"/>
    <col min="9480" max="9480" width="2.42666666666667" style="122" customWidth="1"/>
    <col min="9481" max="9481" width="9.85333333333333" style="122" customWidth="1"/>
    <col min="9482" max="9482" width="2" style="122" customWidth="1"/>
    <col min="9483" max="9483" width="14.8533333333333" style="122" customWidth="1"/>
    <col min="9484" max="9484" width="2.42666666666667" style="122" customWidth="1"/>
    <col min="9485" max="9485" width="9.85333333333333" style="122" customWidth="1"/>
    <col min="9486" max="9486" width="2" style="122" customWidth="1"/>
    <col min="9487" max="9487" width="14.8533333333333" style="122" customWidth="1"/>
    <col min="9488" max="9729" width="9.14" style="122"/>
    <col min="9730" max="9730" width="1.42666666666667" style="122" customWidth="1"/>
    <col min="9731" max="9731" width="14.8533333333333" style="122" customWidth="1"/>
    <col min="9732" max="9732" width="1.85333333333333" style="122" customWidth="1"/>
    <col min="9733" max="9733" width="9.14" style="122"/>
    <col min="9734" max="9734" width="1.57333333333333" style="122" customWidth="1"/>
    <col min="9735" max="9735" width="14.8533333333333" style="122" customWidth="1"/>
    <col min="9736" max="9736" width="2.42666666666667" style="122" customWidth="1"/>
    <col min="9737" max="9737" width="9.85333333333333" style="122" customWidth="1"/>
    <col min="9738" max="9738" width="2" style="122" customWidth="1"/>
    <col min="9739" max="9739" width="14.8533333333333" style="122" customWidth="1"/>
    <col min="9740" max="9740" width="2.42666666666667" style="122" customWidth="1"/>
    <col min="9741" max="9741" width="9.85333333333333" style="122" customWidth="1"/>
    <col min="9742" max="9742" width="2" style="122" customWidth="1"/>
    <col min="9743" max="9743" width="14.8533333333333" style="122" customWidth="1"/>
    <col min="9744" max="9985" width="9.14" style="122"/>
    <col min="9986" max="9986" width="1.42666666666667" style="122" customWidth="1"/>
    <col min="9987" max="9987" width="14.8533333333333" style="122" customWidth="1"/>
    <col min="9988" max="9988" width="1.85333333333333" style="122" customWidth="1"/>
    <col min="9989" max="9989" width="9.14" style="122"/>
    <col min="9990" max="9990" width="1.57333333333333" style="122" customWidth="1"/>
    <col min="9991" max="9991" width="14.8533333333333" style="122" customWidth="1"/>
    <col min="9992" max="9992" width="2.42666666666667" style="122" customWidth="1"/>
    <col min="9993" max="9993" width="9.85333333333333" style="122" customWidth="1"/>
    <col min="9994" max="9994" width="2" style="122" customWidth="1"/>
    <col min="9995" max="9995" width="14.8533333333333" style="122" customWidth="1"/>
    <col min="9996" max="9996" width="2.42666666666667" style="122" customWidth="1"/>
    <col min="9997" max="9997" width="9.85333333333333" style="122" customWidth="1"/>
    <col min="9998" max="9998" width="2" style="122" customWidth="1"/>
    <col min="9999" max="9999" width="14.8533333333333" style="122" customWidth="1"/>
    <col min="10000" max="10241" width="9.14" style="122"/>
    <col min="10242" max="10242" width="1.42666666666667" style="122" customWidth="1"/>
    <col min="10243" max="10243" width="14.8533333333333" style="122" customWidth="1"/>
    <col min="10244" max="10244" width="1.85333333333333" style="122" customWidth="1"/>
    <col min="10245" max="10245" width="9.14" style="122"/>
    <col min="10246" max="10246" width="1.57333333333333" style="122" customWidth="1"/>
    <col min="10247" max="10247" width="14.8533333333333" style="122" customWidth="1"/>
    <col min="10248" max="10248" width="2.42666666666667" style="122" customWidth="1"/>
    <col min="10249" max="10249" width="9.85333333333333" style="122" customWidth="1"/>
    <col min="10250" max="10250" width="2" style="122" customWidth="1"/>
    <col min="10251" max="10251" width="14.8533333333333" style="122" customWidth="1"/>
    <col min="10252" max="10252" width="2.42666666666667" style="122" customWidth="1"/>
    <col min="10253" max="10253" width="9.85333333333333" style="122" customWidth="1"/>
    <col min="10254" max="10254" width="2" style="122" customWidth="1"/>
    <col min="10255" max="10255" width="14.8533333333333" style="122" customWidth="1"/>
    <col min="10256" max="10497" width="9.14" style="122"/>
    <col min="10498" max="10498" width="1.42666666666667" style="122" customWidth="1"/>
    <col min="10499" max="10499" width="14.8533333333333" style="122" customWidth="1"/>
    <col min="10500" max="10500" width="1.85333333333333" style="122" customWidth="1"/>
    <col min="10501" max="10501" width="9.14" style="122"/>
    <col min="10502" max="10502" width="1.57333333333333" style="122" customWidth="1"/>
    <col min="10503" max="10503" width="14.8533333333333" style="122" customWidth="1"/>
    <col min="10504" max="10504" width="2.42666666666667" style="122" customWidth="1"/>
    <col min="10505" max="10505" width="9.85333333333333" style="122" customWidth="1"/>
    <col min="10506" max="10506" width="2" style="122" customWidth="1"/>
    <col min="10507" max="10507" width="14.8533333333333" style="122" customWidth="1"/>
    <col min="10508" max="10508" width="2.42666666666667" style="122" customWidth="1"/>
    <col min="10509" max="10509" width="9.85333333333333" style="122" customWidth="1"/>
    <col min="10510" max="10510" width="2" style="122" customWidth="1"/>
    <col min="10511" max="10511" width="14.8533333333333" style="122" customWidth="1"/>
    <col min="10512" max="10753" width="9.14" style="122"/>
    <col min="10754" max="10754" width="1.42666666666667" style="122" customWidth="1"/>
    <col min="10755" max="10755" width="14.8533333333333" style="122" customWidth="1"/>
    <col min="10756" max="10756" width="1.85333333333333" style="122" customWidth="1"/>
    <col min="10757" max="10757" width="9.14" style="122"/>
    <col min="10758" max="10758" width="1.57333333333333" style="122" customWidth="1"/>
    <col min="10759" max="10759" width="14.8533333333333" style="122" customWidth="1"/>
    <col min="10760" max="10760" width="2.42666666666667" style="122" customWidth="1"/>
    <col min="10761" max="10761" width="9.85333333333333" style="122" customWidth="1"/>
    <col min="10762" max="10762" width="2" style="122" customWidth="1"/>
    <col min="10763" max="10763" width="14.8533333333333" style="122" customWidth="1"/>
    <col min="10764" max="10764" width="2.42666666666667" style="122" customWidth="1"/>
    <col min="10765" max="10765" width="9.85333333333333" style="122" customWidth="1"/>
    <col min="10766" max="10766" width="2" style="122" customWidth="1"/>
    <col min="10767" max="10767" width="14.8533333333333" style="122" customWidth="1"/>
    <col min="10768" max="11009" width="9.14" style="122"/>
    <col min="11010" max="11010" width="1.42666666666667" style="122" customWidth="1"/>
    <col min="11011" max="11011" width="14.8533333333333" style="122" customWidth="1"/>
    <col min="11012" max="11012" width="1.85333333333333" style="122" customWidth="1"/>
    <col min="11013" max="11013" width="9.14" style="122"/>
    <col min="11014" max="11014" width="1.57333333333333" style="122" customWidth="1"/>
    <col min="11015" max="11015" width="14.8533333333333" style="122" customWidth="1"/>
    <col min="11016" max="11016" width="2.42666666666667" style="122" customWidth="1"/>
    <col min="11017" max="11017" width="9.85333333333333" style="122" customWidth="1"/>
    <col min="11018" max="11018" width="2" style="122" customWidth="1"/>
    <col min="11019" max="11019" width="14.8533333333333" style="122" customWidth="1"/>
    <col min="11020" max="11020" width="2.42666666666667" style="122" customWidth="1"/>
    <col min="11021" max="11021" width="9.85333333333333" style="122" customWidth="1"/>
    <col min="11022" max="11022" width="2" style="122" customWidth="1"/>
    <col min="11023" max="11023" width="14.8533333333333" style="122" customWidth="1"/>
    <col min="11024" max="11265" width="9.14" style="122"/>
    <col min="11266" max="11266" width="1.42666666666667" style="122" customWidth="1"/>
    <col min="11267" max="11267" width="14.8533333333333" style="122" customWidth="1"/>
    <col min="11268" max="11268" width="1.85333333333333" style="122" customWidth="1"/>
    <col min="11269" max="11269" width="9.14" style="122"/>
    <col min="11270" max="11270" width="1.57333333333333" style="122" customWidth="1"/>
    <col min="11271" max="11271" width="14.8533333333333" style="122" customWidth="1"/>
    <col min="11272" max="11272" width="2.42666666666667" style="122" customWidth="1"/>
    <col min="11273" max="11273" width="9.85333333333333" style="122" customWidth="1"/>
    <col min="11274" max="11274" width="2" style="122" customWidth="1"/>
    <col min="11275" max="11275" width="14.8533333333333" style="122" customWidth="1"/>
    <col min="11276" max="11276" width="2.42666666666667" style="122" customWidth="1"/>
    <col min="11277" max="11277" width="9.85333333333333" style="122" customWidth="1"/>
    <col min="11278" max="11278" width="2" style="122" customWidth="1"/>
    <col min="11279" max="11279" width="14.8533333333333" style="122" customWidth="1"/>
    <col min="11280" max="11521" width="9.14" style="122"/>
    <col min="11522" max="11522" width="1.42666666666667" style="122" customWidth="1"/>
    <col min="11523" max="11523" width="14.8533333333333" style="122" customWidth="1"/>
    <col min="11524" max="11524" width="1.85333333333333" style="122" customWidth="1"/>
    <col min="11525" max="11525" width="9.14" style="122"/>
    <col min="11526" max="11526" width="1.57333333333333" style="122" customWidth="1"/>
    <col min="11527" max="11527" width="14.8533333333333" style="122" customWidth="1"/>
    <col min="11528" max="11528" width="2.42666666666667" style="122" customWidth="1"/>
    <col min="11529" max="11529" width="9.85333333333333" style="122" customWidth="1"/>
    <col min="11530" max="11530" width="2" style="122" customWidth="1"/>
    <col min="11531" max="11531" width="14.8533333333333" style="122" customWidth="1"/>
    <col min="11532" max="11532" width="2.42666666666667" style="122" customWidth="1"/>
    <col min="11533" max="11533" width="9.85333333333333" style="122" customWidth="1"/>
    <col min="11534" max="11534" width="2" style="122" customWidth="1"/>
    <col min="11535" max="11535" width="14.8533333333333" style="122" customWidth="1"/>
    <col min="11536" max="11777" width="9.14" style="122"/>
    <col min="11778" max="11778" width="1.42666666666667" style="122" customWidth="1"/>
    <col min="11779" max="11779" width="14.8533333333333" style="122" customWidth="1"/>
    <col min="11780" max="11780" width="1.85333333333333" style="122" customWidth="1"/>
    <col min="11781" max="11781" width="9.14" style="122"/>
    <col min="11782" max="11782" width="1.57333333333333" style="122" customWidth="1"/>
    <col min="11783" max="11783" width="14.8533333333333" style="122" customWidth="1"/>
    <col min="11784" max="11784" width="2.42666666666667" style="122" customWidth="1"/>
    <col min="11785" max="11785" width="9.85333333333333" style="122" customWidth="1"/>
    <col min="11786" max="11786" width="2" style="122" customWidth="1"/>
    <col min="11787" max="11787" width="14.8533333333333" style="122" customWidth="1"/>
    <col min="11788" max="11788" width="2.42666666666667" style="122" customWidth="1"/>
    <col min="11789" max="11789" width="9.85333333333333" style="122" customWidth="1"/>
    <col min="11790" max="11790" width="2" style="122" customWidth="1"/>
    <col min="11791" max="11791" width="14.8533333333333" style="122" customWidth="1"/>
    <col min="11792" max="12033" width="9.14" style="122"/>
    <col min="12034" max="12034" width="1.42666666666667" style="122" customWidth="1"/>
    <col min="12035" max="12035" width="14.8533333333333" style="122" customWidth="1"/>
    <col min="12036" max="12036" width="1.85333333333333" style="122" customWidth="1"/>
    <col min="12037" max="12037" width="9.14" style="122"/>
    <col min="12038" max="12038" width="1.57333333333333" style="122" customWidth="1"/>
    <col min="12039" max="12039" width="14.8533333333333" style="122" customWidth="1"/>
    <col min="12040" max="12040" width="2.42666666666667" style="122" customWidth="1"/>
    <col min="12041" max="12041" width="9.85333333333333" style="122" customWidth="1"/>
    <col min="12042" max="12042" width="2" style="122" customWidth="1"/>
    <col min="12043" max="12043" width="14.8533333333333" style="122" customWidth="1"/>
    <col min="12044" max="12044" width="2.42666666666667" style="122" customWidth="1"/>
    <col min="12045" max="12045" width="9.85333333333333" style="122" customWidth="1"/>
    <col min="12046" max="12046" width="2" style="122" customWidth="1"/>
    <col min="12047" max="12047" width="14.8533333333333" style="122" customWidth="1"/>
    <col min="12048" max="12289" width="9.14" style="122"/>
    <col min="12290" max="12290" width="1.42666666666667" style="122" customWidth="1"/>
    <col min="12291" max="12291" width="14.8533333333333" style="122" customWidth="1"/>
    <col min="12292" max="12292" width="1.85333333333333" style="122" customWidth="1"/>
    <col min="12293" max="12293" width="9.14" style="122"/>
    <col min="12294" max="12294" width="1.57333333333333" style="122" customWidth="1"/>
    <col min="12295" max="12295" width="14.8533333333333" style="122" customWidth="1"/>
    <col min="12296" max="12296" width="2.42666666666667" style="122" customWidth="1"/>
    <col min="12297" max="12297" width="9.85333333333333" style="122" customWidth="1"/>
    <col min="12298" max="12298" width="2" style="122" customWidth="1"/>
    <col min="12299" max="12299" width="14.8533333333333" style="122" customWidth="1"/>
    <col min="12300" max="12300" width="2.42666666666667" style="122" customWidth="1"/>
    <col min="12301" max="12301" width="9.85333333333333" style="122" customWidth="1"/>
    <col min="12302" max="12302" width="2" style="122" customWidth="1"/>
    <col min="12303" max="12303" width="14.8533333333333" style="122" customWidth="1"/>
    <col min="12304" max="12545" width="9.14" style="122"/>
    <col min="12546" max="12546" width="1.42666666666667" style="122" customWidth="1"/>
    <col min="12547" max="12547" width="14.8533333333333" style="122" customWidth="1"/>
    <col min="12548" max="12548" width="1.85333333333333" style="122" customWidth="1"/>
    <col min="12549" max="12549" width="9.14" style="122"/>
    <col min="12550" max="12550" width="1.57333333333333" style="122" customWidth="1"/>
    <col min="12551" max="12551" width="14.8533333333333" style="122" customWidth="1"/>
    <col min="12552" max="12552" width="2.42666666666667" style="122" customWidth="1"/>
    <col min="12553" max="12553" width="9.85333333333333" style="122" customWidth="1"/>
    <col min="12554" max="12554" width="2" style="122" customWidth="1"/>
    <col min="12555" max="12555" width="14.8533333333333" style="122" customWidth="1"/>
    <col min="12556" max="12556" width="2.42666666666667" style="122" customWidth="1"/>
    <col min="12557" max="12557" width="9.85333333333333" style="122" customWidth="1"/>
    <col min="12558" max="12558" width="2" style="122" customWidth="1"/>
    <col min="12559" max="12559" width="14.8533333333333" style="122" customWidth="1"/>
    <col min="12560" max="12801" width="9.14" style="122"/>
    <col min="12802" max="12802" width="1.42666666666667" style="122" customWidth="1"/>
    <col min="12803" max="12803" width="14.8533333333333" style="122" customWidth="1"/>
    <col min="12804" max="12804" width="1.85333333333333" style="122" customWidth="1"/>
    <col min="12805" max="12805" width="9.14" style="122"/>
    <col min="12806" max="12806" width="1.57333333333333" style="122" customWidth="1"/>
    <col min="12807" max="12807" width="14.8533333333333" style="122" customWidth="1"/>
    <col min="12808" max="12808" width="2.42666666666667" style="122" customWidth="1"/>
    <col min="12809" max="12809" width="9.85333333333333" style="122" customWidth="1"/>
    <col min="12810" max="12810" width="2" style="122" customWidth="1"/>
    <col min="12811" max="12811" width="14.8533333333333" style="122" customWidth="1"/>
    <col min="12812" max="12812" width="2.42666666666667" style="122" customWidth="1"/>
    <col min="12813" max="12813" width="9.85333333333333" style="122" customWidth="1"/>
    <col min="12814" max="12814" width="2" style="122" customWidth="1"/>
    <col min="12815" max="12815" width="14.8533333333333" style="122" customWidth="1"/>
    <col min="12816" max="13057" width="9.14" style="122"/>
    <col min="13058" max="13058" width="1.42666666666667" style="122" customWidth="1"/>
    <col min="13059" max="13059" width="14.8533333333333" style="122" customWidth="1"/>
    <col min="13060" max="13060" width="1.85333333333333" style="122" customWidth="1"/>
    <col min="13061" max="13061" width="9.14" style="122"/>
    <col min="13062" max="13062" width="1.57333333333333" style="122" customWidth="1"/>
    <col min="13063" max="13063" width="14.8533333333333" style="122" customWidth="1"/>
    <col min="13064" max="13064" width="2.42666666666667" style="122" customWidth="1"/>
    <col min="13065" max="13065" width="9.85333333333333" style="122" customWidth="1"/>
    <col min="13066" max="13066" width="2" style="122" customWidth="1"/>
    <col min="13067" max="13067" width="14.8533333333333" style="122" customWidth="1"/>
    <col min="13068" max="13068" width="2.42666666666667" style="122" customWidth="1"/>
    <col min="13069" max="13069" width="9.85333333333333" style="122" customWidth="1"/>
    <col min="13070" max="13070" width="2" style="122" customWidth="1"/>
    <col min="13071" max="13071" width="14.8533333333333" style="122" customWidth="1"/>
    <col min="13072" max="13313" width="9.14" style="122"/>
    <col min="13314" max="13314" width="1.42666666666667" style="122" customWidth="1"/>
    <col min="13315" max="13315" width="14.8533333333333" style="122" customWidth="1"/>
    <col min="13316" max="13316" width="1.85333333333333" style="122" customWidth="1"/>
    <col min="13317" max="13317" width="9.14" style="122"/>
    <col min="13318" max="13318" width="1.57333333333333" style="122" customWidth="1"/>
    <col min="13319" max="13319" width="14.8533333333333" style="122" customWidth="1"/>
    <col min="13320" max="13320" width="2.42666666666667" style="122" customWidth="1"/>
    <col min="13321" max="13321" width="9.85333333333333" style="122" customWidth="1"/>
    <col min="13322" max="13322" width="2" style="122" customWidth="1"/>
    <col min="13323" max="13323" width="14.8533333333333" style="122" customWidth="1"/>
    <col min="13324" max="13324" width="2.42666666666667" style="122" customWidth="1"/>
    <col min="13325" max="13325" width="9.85333333333333" style="122" customWidth="1"/>
    <col min="13326" max="13326" width="2" style="122" customWidth="1"/>
    <col min="13327" max="13327" width="14.8533333333333" style="122" customWidth="1"/>
    <col min="13328" max="13569" width="9.14" style="122"/>
    <col min="13570" max="13570" width="1.42666666666667" style="122" customWidth="1"/>
    <col min="13571" max="13571" width="14.8533333333333" style="122" customWidth="1"/>
    <col min="13572" max="13572" width="1.85333333333333" style="122" customWidth="1"/>
    <col min="13573" max="13573" width="9.14" style="122"/>
    <col min="13574" max="13574" width="1.57333333333333" style="122" customWidth="1"/>
    <col min="13575" max="13575" width="14.8533333333333" style="122" customWidth="1"/>
    <col min="13576" max="13576" width="2.42666666666667" style="122" customWidth="1"/>
    <col min="13577" max="13577" width="9.85333333333333" style="122" customWidth="1"/>
    <col min="13578" max="13578" width="2" style="122" customWidth="1"/>
    <col min="13579" max="13579" width="14.8533333333333" style="122" customWidth="1"/>
    <col min="13580" max="13580" width="2.42666666666667" style="122" customWidth="1"/>
    <col min="13581" max="13581" width="9.85333333333333" style="122" customWidth="1"/>
    <col min="13582" max="13582" width="2" style="122" customWidth="1"/>
    <col min="13583" max="13583" width="14.8533333333333" style="122" customWidth="1"/>
    <col min="13584" max="13825" width="9.14" style="122"/>
    <col min="13826" max="13826" width="1.42666666666667" style="122" customWidth="1"/>
    <col min="13827" max="13827" width="14.8533333333333" style="122" customWidth="1"/>
    <col min="13828" max="13828" width="1.85333333333333" style="122" customWidth="1"/>
    <col min="13829" max="13829" width="9.14" style="122"/>
    <col min="13830" max="13830" width="1.57333333333333" style="122" customWidth="1"/>
    <col min="13831" max="13831" width="14.8533333333333" style="122" customWidth="1"/>
    <col min="13832" max="13832" width="2.42666666666667" style="122" customWidth="1"/>
    <col min="13833" max="13833" width="9.85333333333333" style="122" customWidth="1"/>
    <col min="13834" max="13834" width="2" style="122" customWidth="1"/>
    <col min="13835" max="13835" width="14.8533333333333" style="122" customWidth="1"/>
    <col min="13836" max="13836" width="2.42666666666667" style="122" customWidth="1"/>
    <col min="13837" max="13837" width="9.85333333333333" style="122" customWidth="1"/>
    <col min="13838" max="13838" width="2" style="122" customWidth="1"/>
    <col min="13839" max="13839" width="14.8533333333333" style="122" customWidth="1"/>
    <col min="13840" max="14081" width="9.14" style="122"/>
    <col min="14082" max="14082" width="1.42666666666667" style="122" customWidth="1"/>
    <col min="14083" max="14083" width="14.8533333333333" style="122" customWidth="1"/>
    <col min="14084" max="14084" width="1.85333333333333" style="122" customWidth="1"/>
    <col min="14085" max="14085" width="9.14" style="122"/>
    <col min="14086" max="14086" width="1.57333333333333" style="122" customWidth="1"/>
    <col min="14087" max="14087" width="14.8533333333333" style="122" customWidth="1"/>
    <col min="14088" max="14088" width="2.42666666666667" style="122" customWidth="1"/>
    <col min="14089" max="14089" width="9.85333333333333" style="122" customWidth="1"/>
    <col min="14090" max="14090" width="2" style="122" customWidth="1"/>
    <col min="14091" max="14091" width="14.8533333333333" style="122" customWidth="1"/>
    <col min="14092" max="14092" width="2.42666666666667" style="122" customWidth="1"/>
    <col min="14093" max="14093" width="9.85333333333333" style="122" customWidth="1"/>
    <col min="14094" max="14094" width="2" style="122" customWidth="1"/>
    <col min="14095" max="14095" width="14.8533333333333" style="122" customWidth="1"/>
    <col min="14096" max="14337" width="9.14" style="122"/>
    <col min="14338" max="14338" width="1.42666666666667" style="122" customWidth="1"/>
    <col min="14339" max="14339" width="14.8533333333333" style="122" customWidth="1"/>
    <col min="14340" max="14340" width="1.85333333333333" style="122" customWidth="1"/>
    <col min="14341" max="14341" width="9.14" style="122"/>
    <col min="14342" max="14342" width="1.57333333333333" style="122" customWidth="1"/>
    <col min="14343" max="14343" width="14.8533333333333" style="122" customWidth="1"/>
    <col min="14344" max="14344" width="2.42666666666667" style="122" customWidth="1"/>
    <col min="14345" max="14345" width="9.85333333333333" style="122" customWidth="1"/>
    <col min="14346" max="14346" width="2" style="122" customWidth="1"/>
    <col min="14347" max="14347" width="14.8533333333333" style="122" customWidth="1"/>
    <col min="14348" max="14348" width="2.42666666666667" style="122" customWidth="1"/>
    <col min="14349" max="14349" width="9.85333333333333" style="122" customWidth="1"/>
    <col min="14350" max="14350" width="2" style="122" customWidth="1"/>
    <col min="14351" max="14351" width="14.8533333333333" style="122" customWidth="1"/>
    <col min="14352" max="14593" width="9.14" style="122"/>
    <col min="14594" max="14594" width="1.42666666666667" style="122" customWidth="1"/>
    <col min="14595" max="14595" width="14.8533333333333" style="122" customWidth="1"/>
    <col min="14596" max="14596" width="1.85333333333333" style="122" customWidth="1"/>
    <col min="14597" max="14597" width="9.14" style="122"/>
    <col min="14598" max="14598" width="1.57333333333333" style="122" customWidth="1"/>
    <col min="14599" max="14599" width="14.8533333333333" style="122" customWidth="1"/>
    <col min="14600" max="14600" width="2.42666666666667" style="122" customWidth="1"/>
    <col min="14601" max="14601" width="9.85333333333333" style="122" customWidth="1"/>
    <col min="14602" max="14602" width="2" style="122" customWidth="1"/>
    <col min="14603" max="14603" width="14.8533333333333" style="122" customWidth="1"/>
    <col min="14604" max="14604" width="2.42666666666667" style="122" customWidth="1"/>
    <col min="14605" max="14605" width="9.85333333333333" style="122" customWidth="1"/>
    <col min="14606" max="14606" width="2" style="122" customWidth="1"/>
    <col min="14607" max="14607" width="14.8533333333333" style="122" customWidth="1"/>
    <col min="14608" max="14849" width="9.14" style="122"/>
    <col min="14850" max="14850" width="1.42666666666667" style="122" customWidth="1"/>
    <col min="14851" max="14851" width="14.8533333333333" style="122" customWidth="1"/>
    <col min="14852" max="14852" width="1.85333333333333" style="122" customWidth="1"/>
    <col min="14853" max="14853" width="9.14" style="122"/>
    <col min="14854" max="14854" width="1.57333333333333" style="122" customWidth="1"/>
    <col min="14855" max="14855" width="14.8533333333333" style="122" customWidth="1"/>
    <col min="14856" max="14856" width="2.42666666666667" style="122" customWidth="1"/>
    <col min="14857" max="14857" width="9.85333333333333" style="122" customWidth="1"/>
    <col min="14858" max="14858" width="2" style="122" customWidth="1"/>
    <col min="14859" max="14859" width="14.8533333333333" style="122" customWidth="1"/>
    <col min="14860" max="14860" width="2.42666666666667" style="122" customWidth="1"/>
    <col min="14861" max="14861" width="9.85333333333333" style="122" customWidth="1"/>
    <col min="14862" max="14862" width="2" style="122" customWidth="1"/>
    <col min="14863" max="14863" width="14.8533333333333" style="122" customWidth="1"/>
    <col min="14864" max="15105" width="9.14" style="122"/>
    <col min="15106" max="15106" width="1.42666666666667" style="122" customWidth="1"/>
    <col min="15107" max="15107" width="14.8533333333333" style="122" customWidth="1"/>
    <col min="15108" max="15108" width="1.85333333333333" style="122" customWidth="1"/>
    <col min="15109" max="15109" width="9.14" style="122"/>
    <col min="15110" max="15110" width="1.57333333333333" style="122" customWidth="1"/>
    <col min="15111" max="15111" width="14.8533333333333" style="122" customWidth="1"/>
    <col min="15112" max="15112" width="2.42666666666667" style="122" customWidth="1"/>
    <col min="15113" max="15113" width="9.85333333333333" style="122" customWidth="1"/>
    <col min="15114" max="15114" width="2" style="122" customWidth="1"/>
    <col min="15115" max="15115" width="14.8533333333333" style="122" customWidth="1"/>
    <col min="15116" max="15116" width="2.42666666666667" style="122" customWidth="1"/>
    <col min="15117" max="15117" width="9.85333333333333" style="122" customWidth="1"/>
    <col min="15118" max="15118" width="2" style="122" customWidth="1"/>
    <col min="15119" max="15119" width="14.8533333333333" style="122" customWidth="1"/>
    <col min="15120" max="15361" width="9.14" style="122"/>
    <col min="15362" max="15362" width="1.42666666666667" style="122" customWidth="1"/>
    <col min="15363" max="15363" width="14.8533333333333" style="122" customWidth="1"/>
    <col min="15364" max="15364" width="1.85333333333333" style="122" customWidth="1"/>
    <col min="15365" max="15365" width="9.14" style="122"/>
    <col min="15366" max="15366" width="1.57333333333333" style="122" customWidth="1"/>
    <col min="15367" max="15367" width="14.8533333333333" style="122" customWidth="1"/>
    <col min="15368" max="15368" width="2.42666666666667" style="122" customWidth="1"/>
    <col min="15369" max="15369" width="9.85333333333333" style="122" customWidth="1"/>
    <col min="15370" max="15370" width="2" style="122" customWidth="1"/>
    <col min="15371" max="15371" width="14.8533333333333" style="122" customWidth="1"/>
    <col min="15372" max="15372" width="2.42666666666667" style="122" customWidth="1"/>
    <col min="15373" max="15373" width="9.85333333333333" style="122" customWidth="1"/>
    <col min="15374" max="15374" width="2" style="122" customWidth="1"/>
    <col min="15375" max="15375" width="14.8533333333333" style="122" customWidth="1"/>
    <col min="15376" max="15617" width="9.14" style="122"/>
    <col min="15618" max="15618" width="1.42666666666667" style="122" customWidth="1"/>
    <col min="15619" max="15619" width="14.8533333333333" style="122" customWidth="1"/>
    <col min="15620" max="15620" width="1.85333333333333" style="122" customWidth="1"/>
    <col min="15621" max="15621" width="9.14" style="122"/>
    <col min="15622" max="15622" width="1.57333333333333" style="122" customWidth="1"/>
    <col min="15623" max="15623" width="14.8533333333333" style="122" customWidth="1"/>
    <col min="15624" max="15624" width="2.42666666666667" style="122" customWidth="1"/>
    <col min="15625" max="15625" width="9.85333333333333" style="122" customWidth="1"/>
    <col min="15626" max="15626" width="2" style="122" customWidth="1"/>
    <col min="15627" max="15627" width="14.8533333333333" style="122" customWidth="1"/>
    <col min="15628" max="15628" width="2.42666666666667" style="122" customWidth="1"/>
    <col min="15629" max="15629" width="9.85333333333333" style="122" customWidth="1"/>
    <col min="15630" max="15630" width="2" style="122" customWidth="1"/>
    <col min="15631" max="15631" width="14.8533333333333" style="122" customWidth="1"/>
    <col min="15632" max="15873" width="9.14" style="122"/>
    <col min="15874" max="15874" width="1.42666666666667" style="122" customWidth="1"/>
    <col min="15875" max="15875" width="14.8533333333333" style="122" customWidth="1"/>
    <col min="15876" max="15876" width="1.85333333333333" style="122" customWidth="1"/>
    <col min="15877" max="15877" width="9.14" style="122"/>
    <col min="15878" max="15878" width="1.57333333333333" style="122" customWidth="1"/>
    <col min="15879" max="15879" width="14.8533333333333" style="122" customWidth="1"/>
    <col min="15880" max="15880" width="2.42666666666667" style="122" customWidth="1"/>
    <col min="15881" max="15881" width="9.85333333333333" style="122" customWidth="1"/>
    <col min="15882" max="15882" width="2" style="122" customWidth="1"/>
    <col min="15883" max="15883" width="14.8533333333333" style="122" customWidth="1"/>
    <col min="15884" max="15884" width="2.42666666666667" style="122" customWidth="1"/>
    <col min="15885" max="15885" width="9.85333333333333" style="122" customWidth="1"/>
    <col min="15886" max="15886" width="2" style="122" customWidth="1"/>
    <col min="15887" max="15887" width="14.8533333333333" style="122" customWidth="1"/>
    <col min="15888" max="16129" width="9.14" style="122"/>
    <col min="16130" max="16130" width="1.42666666666667" style="122" customWidth="1"/>
    <col min="16131" max="16131" width="14.8533333333333" style="122" customWidth="1"/>
    <col min="16132" max="16132" width="1.85333333333333" style="122" customWidth="1"/>
    <col min="16133" max="16133" width="9.14" style="122"/>
    <col min="16134" max="16134" width="1.57333333333333" style="122" customWidth="1"/>
    <col min="16135" max="16135" width="14.8533333333333" style="122" customWidth="1"/>
    <col min="16136" max="16136" width="2.42666666666667" style="122" customWidth="1"/>
    <col min="16137" max="16137" width="9.85333333333333" style="122" customWidth="1"/>
    <col min="16138" max="16138" width="2" style="122" customWidth="1"/>
    <col min="16139" max="16139" width="14.8533333333333" style="122" customWidth="1"/>
    <col min="16140" max="16140" width="2.42666666666667" style="122" customWidth="1"/>
    <col min="16141" max="16141" width="9.85333333333333" style="122" customWidth="1"/>
    <col min="16142" max="16142" width="2" style="122" customWidth="1"/>
    <col min="16143" max="16143" width="14.8533333333333" style="122" customWidth="1"/>
    <col min="16144" max="16384" width="9.14" style="122"/>
  </cols>
  <sheetData>
    <row r="1" s="120" customFormat="1" ht="30" spans="1:15">
      <c r="A1" s="140" t="str">
        <f t="array" ref="A1">'Label FG'!F3:F3</f>
        <v>226</v>
      </c>
      <c r="B1" s="124" t="s">
        <v>0</v>
      </c>
      <c r="C1" s="125"/>
      <c r="E1" s="140" t="str">
        <f>$A$1</f>
        <v>226</v>
      </c>
      <c r="F1" s="124" t="s">
        <v>0</v>
      </c>
      <c r="G1" s="125"/>
      <c r="I1" s="140" t="str">
        <f>$A$1</f>
        <v>226</v>
      </c>
      <c r="J1" s="124" t="s">
        <v>0</v>
      </c>
      <c r="K1" s="125"/>
      <c r="M1" s="140" t="str">
        <f>$A$1</f>
        <v>226</v>
      </c>
      <c r="N1" s="124" t="s">
        <v>0</v>
      </c>
      <c r="O1" s="125"/>
    </row>
    <row r="2" spans="1:15">
      <c r="A2" s="126" t="s">
        <v>1</v>
      </c>
      <c r="B2" s="122" t="s">
        <v>2</v>
      </c>
      <c r="C2" s="127">
        <f>VLOOKUP(A1,'List Part'!$A$5:$C$374,2,0)</f>
        <v>955985</v>
      </c>
      <c r="E2" s="126" t="s">
        <v>1</v>
      </c>
      <c r="F2" s="122" t="s">
        <v>2</v>
      </c>
      <c r="G2" s="127">
        <f>$C$2</f>
        <v>955985</v>
      </c>
      <c r="I2" s="126" t="s">
        <v>1</v>
      </c>
      <c r="J2" s="122" t="s">
        <v>2</v>
      </c>
      <c r="K2" s="127">
        <f>$C$2</f>
        <v>955985</v>
      </c>
      <c r="M2" s="126" t="s">
        <v>1</v>
      </c>
      <c r="N2" s="122" t="s">
        <v>2</v>
      </c>
      <c r="O2" s="127">
        <f>$C$2</f>
        <v>955985</v>
      </c>
    </row>
    <row r="3" spans="1:15">
      <c r="A3" s="126" t="s">
        <v>3</v>
      </c>
      <c r="B3" s="122" t="s">
        <v>2</v>
      </c>
      <c r="C3" s="128" t="str">
        <f>VLOOKUP(A1,'List Part'!$A$5:$C$374,3,0)</f>
        <v>DIN CONNECTOR FITTING</v>
      </c>
      <c r="E3" s="135" t="s">
        <v>3</v>
      </c>
      <c r="F3" s="122" t="s">
        <v>2</v>
      </c>
      <c r="G3" s="136" t="str">
        <f>$C$3</f>
        <v>DIN CONNECTOR FITTING</v>
      </c>
      <c r="I3" s="135" t="s">
        <v>3</v>
      </c>
      <c r="J3" s="122" t="s">
        <v>2</v>
      </c>
      <c r="K3" s="136" t="str">
        <f>$C$3</f>
        <v>DIN CONNECTOR FITTING</v>
      </c>
      <c r="M3" s="135" t="s">
        <v>3</v>
      </c>
      <c r="N3" s="122" t="s">
        <v>2</v>
      </c>
      <c r="O3" s="136" t="str">
        <f>$C$3</f>
        <v>DIN CONNECTOR FITTING</v>
      </c>
    </row>
    <row r="4" spans="1:15">
      <c r="A4" s="126" t="s">
        <v>4</v>
      </c>
      <c r="B4" s="122" t="s">
        <v>2</v>
      </c>
      <c r="C4" s="129">
        <f>VLOOKUP(A1,'List Part'!$A$5:$P$374,15,0)</f>
        <v>200</v>
      </c>
      <c r="E4" s="135" t="s">
        <v>4</v>
      </c>
      <c r="F4" s="122" t="s">
        <v>2</v>
      </c>
      <c r="G4" s="137">
        <f>$C$4</f>
        <v>200</v>
      </c>
      <c r="I4" s="135" t="s">
        <v>4</v>
      </c>
      <c r="J4" s="122" t="s">
        <v>2</v>
      </c>
      <c r="K4" s="137">
        <f>$C$4</f>
        <v>200</v>
      </c>
      <c r="M4" s="135" t="s">
        <v>4</v>
      </c>
      <c r="N4" s="122" t="s">
        <v>2</v>
      </c>
      <c r="O4" s="137">
        <f>$C$4</f>
        <v>200</v>
      </c>
    </row>
    <row r="5" spans="1:15">
      <c r="A5" s="126" t="s">
        <v>5</v>
      </c>
      <c r="B5" s="122" t="s">
        <v>2</v>
      </c>
      <c r="C5" s="130" t="s">
        <v>6</v>
      </c>
      <c r="E5" s="135" t="s">
        <v>5</v>
      </c>
      <c r="F5" s="122" t="s">
        <v>2</v>
      </c>
      <c r="G5" s="130" t="s">
        <v>6</v>
      </c>
      <c r="I5" s="135" t="s">
        <v>5</v>
      </c>
      <c r="J5" s="122" t="s">
        <v>2</v>
      </c>
      <c r="K5" s="130" t="s">
        <v>6</v>
      </c>
      <c r="M5" s="135" t="s">
        <v>5</v>
      </c>
      <c r="N5" s="122" t="s">
        <v>2</v>
      </c>
      <c r="O5" s="130" t="s">
        <v>6</v>
      </c>
    </row>
    <row r="6" spans="1:15">
      <c r="A6" s="126" t="s">
        <v>7</v>
      </c>
      <c r="B6" s="122" t="s">
        <v>2</v>
      </c>
      <c r="C6" s="131">
        <f>VLOOKUP(A1,'List Part'!$A$5:$P$374,6,0)</f>
        <v>0</v>
      </c>
      <c r="E6" s="126" t="s">
        <v>7</v>
      </c>
      <c r="F6" s="122" t="s">
        <v>2</v>
      </c>
      <c r="G6" s="138">
        <f>$C$6</f>
        <v>0</v>
      </c>
      <c r="I6" s="126" t="s">
        <v>7</v>
      </c>
      <c r="J6" s="122" t="s">
        <v>2</v>
      </c>
      <c r="K6" s="138">
        <f>$C$6</f>
        <v>0</v>
      </c>
      <c r="M6" s="126" t="s">
        <v>7</v>
      </c>
      <c r="N6" s="122" t="s">
        <v>2</v>
      </c>
      <c r="O6" s="138">
        <f>$C$6</f>
        <v>0</v>
      </c>
    </row>
    <row r="7" spans="1:15">
      <c r="A7" s="132" t="s">
        <v>8</v>
      </c>
      <c r="B7" s="133" t="s">
        <v>2</v>
      </c>
      <c r="C7" s="134" t="s">
        <v>11</v>
      </c>
      <c r="E7" s="139" t="s">
        <v>8</v>
      </c>
      <c r="F7" s="133" t="s">
        <v>2</v>
      </c>
      <c r="G7" s="134" t="str">
        <f>C7</f>
        <v>BY 02 05</v>
      </c>
      <c r="I7" s="139" t="s">
        <v>8</v>
      </c>
      <c r="J7" s="133" t="s">
        <v>2</v>
      </c>
      <c r="K7" s="134" t="str">
        <f>G7</f>
        <v>BY 02 05</v>
      </c>
      <c r="M7" s="139" t="s">
        <v>8</v>
      </c>
      <c r="N7" s="133" t="s">
        <v>2</v>
      </c>
      <c r="O7" s="134" t="str">
        <f>K7</f>
        <v>BY 02 05</v>
      </c>
    </row>
    <row r="8" ht="12.95" customHeight="1" spans="3:3">
      <c r="C8" s="121"/>
    </row>
    <row r="9" s="120" customFormat="1" ht="30" spans="1:15">
      <c r="A9" s="140" t="str">
        <f>$A$1</f>
        <v>226</v>
      </c>
      <c r="B9" s="124" t="s">
        <v>0</v>
      </c>
      <c r="C9" s="125"/>
      <c r="E9" s="140" t="str">
        <f>$A$1</f>
        <v>226</v>
      </c>
      <c r="F9" s="124" t="s">
        <v>0</v>
      </c>
      <c r="G9" s="125"/>
      <c r="I9" s="140" t="str">
        <f>$A$1</f>
        <v>226</v>
      </c>
      <c r="J9" s="124" t="s">
        <v>0</v>
      </c>
      <c r="K9" s="125"/>
      <c r="M9" s="140" t="str">
        <f>$A$1</f>
        <v>226</v>
      </c>
      <c r="N9" s="124" t="s">
        <v>0</v>
      </c>
      <c r="O9" s="125"/>
    </row>
    <row r="10" spans="1:15">
      <c r="A10" s="126" t="s">
        <v>1</v>
      </c>
      <c r="B10" s="122" t="s">
        <v>2</v>
      </c>
      <c r="C10" s="127">
        <f>$C$2</f>
        <v>955985</v>
      </c>
      <c r="E10" s="126" t="s">
        <v>1</v>
      </c>
      <c r="F10" s="122" t="s">
        <v>2</v>
      </c>
      <c r="G10" s="127">
        <f>$C$2</f>
        <v>955985</v>
      </c>
      <c r="I10" s="126" t="s">
        <v>1</v>
      </c>
      <c r="J10" s="122" t="s">
        <v>2</v>
      </c>
      <c r="K10" s="127">
        <f>$C$2</f>
        <v>955985</v>
      </c>
      <c r="M10" s="126" t="s">
        <v>1</v>
      </c>
      <c r="N10" s="122" t="s">
        <v>2</v>
      </c>
      <c r="O10" s="127">
        <f>$C$2</f>
        <v>955985</v>
      </c>
    </row>
    <row r="11" spans="1:15">
      <c r="A11" s="135" t="s">
        <v>3</v>
      </c>
      <c r="B11" s="122" t="s">
        <v>2</v>
      </c>
      <c r="C11" s="136" t="str">
        <f>$C$3</f>
        <v>DIN CONNECTOR FITTING</v>
      </c>
      <c r="E11" s="135" t="s">
        <v>3</v>
      </c>
      <c r="F11" s="122" t="s">
        <v>2</v>
      </c>
      <c r="G11" s="136" t="str">
        <f>$C$3</f>
        <v>DIN CONNECTOR FITTING</v>
      </c>
      <c r="I11" s="135" t="s">
        <v>3</v>
      </c>
      <c r="J11" s="122" t="s">
        <v>2</v>
      </c>
      <c r="K11" s="136" t="str">
        <f>$C$3</f>
        <v>DIN CONNECTOR FITTING</v>
      </c>
      <c r="M11" s="135" t="s">
        <v>3</v>
      </c>
      <c r="N11" s="122" t="s">
        <v>2</v>
      </c>
      <c r="O11" s="136" t="str">
        <f>$C$3</f>
        <v>DIN CONNECTOR FITTING</v>
      </c>
    </row>
    <row r="12" spans="1:15">
      <c r="A12" s="135" t="s">
        <v>4</v>
      </c>
      <c r="B12" s="122" t="s">
        <v>2</v>
      </c>
      <c r="C12" s="137">
        <f>$C$4</f>
        <v>200</v>
      </c>
      <c r="E12" s="135" t="s">
        <v>4</v>
      </c>
      <c r="F12" s="122" t="s">
        <v>2</v>
      </c>
      <c r="G12" s="137">
        <f>$C$4</f>
        <v>200</v>
      </c>
      <c r="I12" s="135" t="s">
        <v>4</v>
      </c>
      <c r="J12" s="122" t="s">
        <v>2</v>
      </c>
      <c r="K12" s="137">
        <f>$C$4</f>
        <v>200</v>
      </c>
      <c r="M12" s="135" t="s">
        <v>4</v>
      </c>
      <c r="N12" s="122" t="s">
        <v>2</v>
      </c>
      <c r="O12" s="137">
        <f>$C$4</f>
        <v>200</v>
      </c>
    </row>
    <row r="13" spans="1:15">
      <c r="A13" s="135" t="s">
        <v>5</v>
      </c>
      <c r="B13" s="122" t="s">
        <v>2</v>
      </c>
      <c r="C13" s="130" t="s">
        <v>6</v>
      </c>
      <c r="E13" s="135" t="s">
        <v>5</v>
      </c>
      <c r="F13" s="122" t="s">
        <v>2</v>
      </c>
      <c r="G13" s="130" t="s">
        <v>6</v>
      </c>
      <c r="I13" s="135" t="s">
        <v>5</v>
      </c>
      <c r="J13" s="122" t="s">
        <v>2</v>
      </c>
      <c r="K13" s="130" t="s">
        <v>6</v>
      </c>
      <c r="M13" s="135" t="s">
        <v>5</v>
      </c>
      <c r="N13" s="122" t="s">
        <v>2</v>
      </c>
      <c r="O13" s="130" t="s">
        <v>6</v>
      </c>
    </row>
    <row r="14" spans="1:15">
      <c r="A14" s="126" t="s">
        <v>7</v>
      </c>
      <c r="B14" s="122" t="s">
        <v>2</v>
      </c>
      <c r="C14" s="138">
        <f>$C$6</f>
        <v>0</v>
      </c>
      <c r="E14" s="126" t="s">
        <v>7</v>
      </c>
      <c r="F14" s="122" t="s">
        <v>2</v>
      </c>
      <c r="G14" s="138">
        <f>$C$6</f>
        <v>0</v>
      </c>
      <c r="I14" s="126" t="s">
        <v>7</v>
      </c>
      <c r="J14" s="122" t="s">
        <v>2</v>
      </c>
      <c r="K14" s="138">
        <f>$C$6</f>
        <v>0</v>
      </c>
      <c r="M14" s="126" t="s">
        <v>7</v>
      </c>
      <c r="N14" s="122" t="s">
        <v>2</v>
      </c>
      <c r="O14" s="138">
        <f>$C$6</f>
        <v>0</v>
      </c>
    </row>
    <row r="15" spans="1:15">
      <c r="A15" s="139" t="s">
        <v>8</v>
      </c>
      <c r="B15" s="133" t="s">
        <v>2</v>
      </c>
      <c r="C15" s="134" t="str">
        <f>C7</f>
        <v>BY 02 05</v>
      </c>
      <c r="E15" s="139" t="s">
        <v>8</v>
      </c>
      <c r="F15" s="133" t="s">
        <v>2</v>
      </c>
      <c r="G15" s="134" t="str">
        <f>C15</f>
        <v>BY 02 05</v>
      </c>
      <c r="I15" s="139" t="s">
        <v>8</v>
      </c>
      <c r="J15" s="133" t="s">
        <v>2</v>
      </c>
      <c r="K15" s="134" t="str">
        <f>G15</f>
        <v>BY 02 05</v>
      </c>
      <c r="M15" s="139" t="s">
        <v>8</v>
      </c>
      <c r="N15" s="133" t="s">
        <v>2</v>
      </c>
      <c r="O15" s="134" t="str">
        <f>K15</f>
        <v>BY 02 05</v>
      </c>
    </row>
    <row r="16" ht="12.95" customHeight="1"/>
    <row r="17" s="120" customFormat="1" ht="30" spans="1:15">
      <c r="A17" s="140" t="str">
        <f>$A$1</f>
        <v>226</v>
      </c>
      <c r="B17" s="124" t="s">
        <v>0</v>
      </c>
      <c r="C17" s="125"/>
      <c r="E17" s="140" t="str">
        <f>$A$1</f>
        <v>226</v>
      </c>
      <c r="F17" s="124" t="s">
        <v>0</v>
      </c>
      <c r="G17" s="125"/>
      <c r="I17" s="140" t="str">
        <f>$A$1</f>
        <v>226</v>
      </c>
      <c r="J17" s="124" t="s">
        <v>0</v>
      </c>
      <c r="K17" s="125"/>
      <c r="M17" s="140" t="str">
        <f>$A$1</f>
        <v>226</v>
      </c>
      <c r="N17" s="124" t="s">
        <v>0</v>
      </c>
      <c r="O17" s="125"/>
    </row>
    <row r="18" spans="1:15">
      <c r="A18" s="126" t="s">
        <v>1</v>
      </c>
      <c r="B18" s="122" t="s">
        <v>2</v>
      </c>
      <c r="C18" s="127">
        <f>$C$2</f>
        <v>955985</v>
      </c>
      <c r="E18" s="126" t="s">
        <v>1</v>
      </c>
      <c r="F18" s="122" t="s">
        <v>2</v>
      </c>
      <c r="G18" s="127">
        <f>$C$2</f>
        <v>955985</v>
      </c>
      <c r="I18" s="126" t="s">
        <v>1</v>
      </c>
      <c r="J18" s="122" t="s">
        <v>2</v>
      </c>
      <c r="K18" s="127">
        <f>$C$2</f>
        <v>955985</v>
      </c>
      <c r="M18" s="126" t="s">
        <v>1</v>
      </c>
      <c r="N18" s="122" t="s">
        <v>2</v>
      </c>
      <c r="O18" s="127">
        <f>$C$2</f>
        <v>955985</v>
      </c>
    </row>
    <row r="19" spans="1:15">
      <c r="A19" s="135" t="s">
        <v>3</v>
      </c>
      <c r="B19" s="122" t="s">
        <v>2</v>
      </c>
      <c r="C19" s="136" t="str">
        <f>$C$3</f>
        <v>DIN CONNECTOR FITTING</v>
      </c>
      <c r="E19" s="135" t="s">
        <v>3</v>
      </c>
      <c r="F19" s="122" t="s">
        <v>2</v>
      </c>
      <c r="G19" s="136" t="str">
        <f>$C$3</f>
        <v>DIN CONNECTOR FITTING</v>
      </c>
      <c r="I19" s="135" t="s">
        <v>3</v>
      </c>
      <c r="J19" s="122" t="s">
        <v>2</v>
      </c>
      <c r="K19" s="136" t="str">
        <f>$C$3</f>
        <v>DIN CONNECTOR FITTING</v>
      </c>
      <c r="M19" s="135" t="s">
        <v>3</v>
      </c>
      <c r="N19" s="122" t="s">
        <v>2</v>
      </c>
      <c r="O19" s="136" t="str">
        <f>$C$3</f>
        <v>DIN CONNECTOR FITTING</v>
      </c>
    </row>
    <row r="20" spans="1:15">
      <c r="A20" s="135" t="s">
        <v>4</v>
      </c>
      <c r="B20" s="122" t="s">
        <v>2</v>
      </c>
      <c r="C20" s="137">
        <f>$C$4</f>
        <v>200</v>
      </c>
      <c r="E20" s="135" t="s">
        <v>4</v>
      </c>
      <c r="F20" s="122" t="s">
        <v>2</v>
      </c>
      <c r="G20" s="137">
        <f>$C$4</f>
        <v>200</v>
      </c>
      <c r="I20" s="135" t="s">
        <v>4</v>
      </c>
      <c r="J20" s="122" t="s">
        <v>2</v>
      </c>
      <c r="K20" s="137">
        <f>$C$4</f>
        <v>200</v>
      </c>
      <c r="M20" s="135" t="s">
        <v>4</v>
      </c>
      <c r="N20" s="122" t="s">
        <v>2</v>
      </c>
      <c r="O20" s="137">
        <f>$C$4</f>
        <v>200</v>
      </c>
    </row>
    <row r="21" spans="1:15">
      <c r="A21" s="135" t="s">
        <v>5</v>
      </c>
      <c r="B21" s="122" t="s">
        <v>2</v>
      </c>
      <c r="C21" s="130" t="s">
        <v>6</v>
      </c>
      <c r="E21" s="135" t="s">
        <v>5</v>
      </c>
      <c r="F21" s="122" t="s">
        <v>2</v>
      </c>
      <c r="G21" s="130" t="s">
        <v>6</v>
      </c>
      <c r="I21" s="135" t="s">
        <v>5</v>
      </c>
      <c r="J21" s="122" t="s">
        <v>2</v>
      </c>
      <c r="K21" s="130" t="s">
        <v>6</v>
      </c>
      <c r="M21" s="135" t="s">
        <v>5</v>
      </c>
      <c r="N21" s="122" t="s">
        <v>2</v>
      </c>
      <c r="O21" s="130" t="s">
        <v>6</v>
      </c>
    </row>
    <row r="22" spans="1:15">
      <c r="A22" s="126" t="s">
        <v>7</v>
      </c>
      <c r="B22" s="122" t="s">
        <v>2</v>
      </c>
      <c r="C22" s="138">
        <f>$C$6</f>
        <v>0</v>
      </c>
      <c r="E22" s="126" t="s">
        <v>7</v>
      </c>
      <c r="F22" s="122" t="s">
        <v>2</v>
      </c>
      <c r="G22" s="138">
        <f>$C$6</f>
        <v>0</v>
      </c>
      <c r="I22" s="126" t="s">
        <v>7</v>
      </c>
      <c r="J22" s="122" t="s">
        <v>2</v>
      </c>
      <c r="K22" s="138">
        <f>$C$6</f>
        <v>0</v>
      </c>
      <c r="M22" s="126" t="s">
        <v>7</v>
      </c>
      <c r="N22" s="122" t="s">
        <v>2</v>
      </c>
      <c r="O22" s="138">
        <f>$C$6</f>
        <v>0</v>
      </c>
    </row>
    <row r="23" spans="1:15">
      <c r="A23" s="139" t="s">
        <v>8</v>
      </c>
      <c r="B23" s="133" t="s">
        <v>2</v>
      </c>
      <c r="C23" s="134" t="str">
        <f>C15</f>
        <v>BY 02 05</v>
      </c>
      <c r="E23" s="139" t="s">
        <v>8</v>
      </c>
      <c r="F23" s="133" t="s">
        <v>2</v>
      </c>
      <c r="G23" s="134" t="str">
        <f>C23</f>
        <v>BY 02 05</v>
      </c>
      <c r="I23" s="139" t="s">
        <v>8</v>
      </c>
      <c r="J23" s="133" t="s">
        <v>2</v>
      </c>
      <c r="K23" s="134" t="str">
        <f>G23</f>
        <v>BY 02 05</v>
      </c>
      <c r="M23" s="139" t="s">
        <v>8</v>
      </c>
      <c r="N23" s="133" t="s">
        <v>2</v>
      </c>
      <c r="O23" s="134" t="str">
        <f>K23</f>
        <v>BY 02 05</v>
      </c>
    </row>
    <row r="24" ht="12.95" customHeight="1"/>
    <row r="25" s="120" customFormat="1" ht="30" spans="1:15">
      <c r="A25" s="140" t="str">
        <f>$A$1</f>
        <v>226</v>
      </c>
      <c r="B25" s="124" t="s">
        <v>0</v>
      </c>
      <c r="C25" s="125"/>
      <c r="E25" s="140" t="str">
        <f>$A$1</f>
        <v>226</v>
      </c>
      <c r="F25" s="124" t="s">
        <v>0</v>
      </c>
      <c r="G25" s="125"/>
      <c r="I25" s="140" t="str">
        <f>$A$1</f>
        <v>226</v>
      </c>
      <c r="J25" s="124" t="s">
        <v>0</v>
      </c>
      <c r="K25" s="125"/>
      <c r="M25" s="140" t="str">
        <f>$A$1</f>
        <v>226</v>
      </c>
      <c r="N25" s="124" t="s">
        <v>0</v>
      </c>
      <c r="O25" s="125"/>
    </row>
    <row r="26" spans="1:15">
      <c r="A26" s="126" t="s">
        <v>1</v>
      </c>
      <c r="B26" s="122" t="s">
        <v>2</v>
      </c>
      <c r="C26" s="127">
        <f>$C$2</f>
        <v>955985</v>
      </c>
      <c r="E26" s="126" t="s">
        <v>1</v>
      </c>
      <c r="F26" s="122" t="s">
        <v>2</v>
      </c>
      <c r="G26" s="127">
        <f>$C$2</f>
        <v>955985</v>
      </c>
      <c r="I26" s="126" t="s">
        <v>1</v>
      </c>
      <c r="J26" s="122" t="s">
        <v>2</v>
      </c>
      <c r="K26" s="127">
        <f>$C$2</f>
        <v>955985</v>
      </c>
      <c r="M26" s="126" t="s">
        <v>1</v>
      </c>
      <c r="N26" s="122" t="s">
        <v>2</v>
      </c>
      <c r="O26" s="127">
        <f>$C$2</f>
        <v>955985</v>
      </c>
    </row>
    <row r="27" spans="1:15">
      <c r="A27" s="135" t="s">
        <v>3</v>
      </c>
      <c r="B27" s="122" t="s">
        <v>2</v>
      </c>
      <c r="C27" s="136" t="str">
        <f>$C$3</f>
        <v>DIN CONNECTOR FITTING</v>
      </c>
      <c r="E27" s="135" t="s">
        <v>3</v>
      </c>
      <c r="F27" s="122" t="s">
        <v>2</v>
      </c>
      <c r="G27" s="136" t="str">
        <f>$C$3</f>
        <v>DIN CONNECTOR FITTING</v>
      </c>
      <c r="I27" s="135" t="s">
        <v>3</v>
      </c>
      <c r="J27" s="122" t="s">
        <v>2</v>
      </c>
      <c r="K27" s="136" t="str">
        <f>$C$3</f>
        <v>DIN CONNECTOR FITTING</v>
      </c>
      <c r="M27" s="135" t="s">
        <v>3</v>
      </c>
      <c r="N27" s="122" t="s">
        <v>2</v>
      </c>
      <c r="O27" s="136" t="str">
        <f>$C$3</f>
        <v>DIN CONNECTOR FITTING</v>
      </c>
    </row>
    <row r="28" spans="1:15">
      <c r="A28" s="135" t="s">
        <v>4</v>
      </c>
      <c r="B28" s="122" t="s">
        <v>2</v>
      </c>
      <c r="C28" s="137">
        <f>$C$4</f>
        <v>200</v>
      </c>
      <c r="E28" s="135" t="s">
        <v>4</v>
      </c>
      <c r="F28" s="122" t="s">
        <v>2</v>
      </c>
      <c r="G28" s="137">
        <f>$C$4</f>
        <v>200</v>
      </c>
      <c r="I28" s="135" t="s">
        <v>4</v>
      </c>
      <c r="J28" s="122" t="s">
        <v>2</v>
      </c>
      <c r="K28" s="137">
        <f>$C$4</f>
        <v>200</v>
      </c>
      <c r="M28" s="135" t="s">
        <v>4</v>
      </c>
      <c r="N28" s="122" t="s">
        <v>2</v>
      </c>
      <c r="O28" s="137">
        <f>$C$4</f>
        <v>200</v>
      </c>
    </row>
    <row r="29" spans="1:15">
      <c r="A29" s="135" t="s">
        <v>5</v>
      </c>
      <c r="B29" s="122" t="s">
        <v>2</v>
      </c>
      <c r="C29" s="130" t="s">
        <v>6</v>
      </c>
      <c r="E29" s="135" t="s">
        <v>5</v>
      </c>
      <c r="F29" s="122" t="s">
        <v>2</v>
      </c>
      <c r="G29" s="130" t="s">
        <v>6</v>
      </c>
      <c r="I29" s="135" t="s">
        <v>5</v>
      </c>
      <c r="J29" s="122" t="s">
        <v>2</v>
      </c>
      <c r="K29" s="130" t="s">
        <v>6</v>
      </c>
      <c r="M29" s="135" t="s">
        <v>5</v>
      </c>
      <c r="N29" s="122" t="s">
        <v>2</v>
      </c>
      <c r="O29" s="130" t="s">
        <v>6</v>
      </c>
    </row>
    <row r="30" spans="1:15">
      <c r="A30" s="126" t="s">
        <v>7</v>
      </c>
      <c r="B30" s="122" t="s">
        <v>2</v>
      </c>
      <c r="C30" s="138">
        <f>$C$6</f>
        <v>0</v>
      </c>
      <c r="E30" s="126" t="s">
        <v>7</v>
      </c>
      <c r="F30" s="122" t="s">
        <v>2</v>
      </c>
      <c r="G30" s="138">
        <f>$C$6</f>
        <v>0</v>
      </c>
      <c r="I30" s="126" t="s">
        <v>7</v>
      </c>
      <c r="J30" s="122" t="s">
        <v>2</v>
      </c>
      <c r="K30" s="138">
        <f>$C$6</f>
        <v>0</v>
      </c>
      <c r="M30" s="126" t="s">
        <v>7</v>
      </c>
      <c r="N30" s="122" t="s">
        <v>2</v>
      </c>
      <c r="O30" s="138">
        <f>$C$6</f>
        <v>0</v>
      </c>
    </row>
    <row r="31" spans="1:15">
      <c r="A31" s="139" t="s">
        <v>8</v>
      </c>
      <c r="B31" s="133" t="s">
        <v>2</v>
      </c>
      <c r="C31" s="134" t="str">
        <f>C23</f>
        <v>BY 02 05</v>
      </c>
      <c r="E31" s="139" t="s">
        <v>8</v>
      </c>
      <c r="F31" s="133" t="s">
        <v>2</v>
      </c>
      <c r="G31" s="134" t="str">
        <f>C31</f>
        <v>BY 02 05</v>
      </c>
      <c r="I31" s="139" t="s">
        <v>8</v>
      </c>
      <c r="J31" s="133" t="s">
        <v>2</v>
      </c>
      <c r="K31" s="134" t="str">
        <f>G31</f>
        <v>BY 02 05</v>
      </c>
      <c r="M31" s="139" t="s">
        <v>8</v>
      </c>
      <c r="N31" s="133" t="s">
        <v>2</v>
      </c>
      <c r="O31" s="134" t="str">
        <f>K31</f>
        <v>BY 02 05</v>
      </c>
    </row>
    <row r="32" ht="12.95" customHeight="1"/>
    <row r="33" s="120" customFormat="1" ht="30" spans="1:15">
      <c r="A33" s="140" t="str">
        <f>$A$1</f>
        <v>226</v>
      </c>
      <c r="B33" s="124" t="s">
        <v>0</v>
      </c>
      <c r="C33" s="125"/>
      <c r="E33" s="140" t="str">
        <f>$A$1</f>
        <v>226</v>
      </c>
      <c r="F33" s="124" t="s">
        <v>0</v>
      </c>
      <c r="G33" s="125"/>
      <c r="I33" s="140" t="str">
        <f>$A$1</f>
        <v>226</v>
      </c>
      <c r="J33" s="124" t="s">
        <v>0</v>
      </c>
      <c r="K33" s="125"/>
      <c r="M33" s="140" t="str">
        <f>$A$1</f>
        <v>226</v>
      </c>
      <c r="N33" s="124" t="s">
        <v>0</v>
      </c>
      <c r="O33" s="125"/>
    </row>
    <row r="34" spans="1:15">
      <c r="A34" s="126" t="s">
        <v>1</v>
      </c>
      <c r="B34" s="122" t="s">
        <v>2</v>
      </c>
      <c r="C34" s="127">
        <f>$C$2</f>
        <v>955985</v>
      </c>
      <c r="E34" s="126" t="s">
        <v>1</v>
      </c>
      <c r="F34" s="122" t="s">
        <v>2</v>
      </c>
      <c r="G34" s="127">
        <f>$C$2</f>
        <v>955985</v>
      </c>
      <c r="I34" s="126" t="s">
        <v>1</v>
      </c>
      <c r="J34" s="122" t="s">
        <v>2</v>
      </c>
      <c r="K34" s="127">
        <f>$C$2</f>
        <v>955985</v>
      </c>
      <c r="M34" s="126" t="s">
        <v>1</v>
      </c>
      <c r="N34" s="122" t="s">
        <v>2</v>
      </c>
      <c r="O34" s="127">
        <f>$C$2</f>
        <v>955985</v>
      </c>
    </row>
    <row r="35" spans="1:15">
      <c r="A35" s="135" t="s">
        <v>3</v>
      </c>
      <c r="B35" s="122" t="s">
        <v>2</v>
      </c>
      <c r="C35" s="136" t="str">
        <f>$C$3</f>
        <v>DIN CONNECTOR FITTING</v>
      </c>
      <c r="E35" s="135" t="s">
        <v>3</v>
      </c>
      <c r="F35" s="122" t="s">
        <v>2</v>
      </c>
      <c r="G35" s="136" t="str">
        <f>$C$3</f>
        <v>DIN CONNECTOR FITTING</v>
      </c>
      <c r="I35" s="135" t="s">
        <v>3</v>
      </c>
      <c r="J35" s="122" t="s">
        <v>2</v>
      </c>
      <c r="K35" s="136" t="str">
        <f>$C$3</f>
        <v>DIN CONNECTOR FITTING</v>
      </c>
      <c r="M35" s="135" t="s">
        <v>3</v>
      </c>
      <c r="N35" s="122" t="s">
        <v>2</v>
      </c>
      <c r="O35" s="136" t="str">
        <f>$C$3</f>
        <v>DIN CONNECTOR FITTING</v>
      </c>
    </row>
    <row r="36" spans="1:15">
      <c r="A36" s="135" t="s">
        <v>4</v>
      </c>
      <c r="B36" s="122" t="s">
        <v>2</v>
      </c>
      <c r="C36" s="137">
        <f>$C$4</f>
        <v>200</v>
      </c>
      <c r="E36" s="135" t="s">
        <v>4</v>
      </c>
      <c r="F36" s="122" t="s">
        <v>2</v>
      </c>
      <c r="G36" s="137">
        <f>$C$4</f>
        <v>200</v>
      </c>
      <c r="I36" s="135" t="s">
        <v>4</v>
      </c>
      <c r="J36" s="122" t="s">
        <v>2</v>
      </c>
      <c r="K36" s="137">
        <f>$C$4</f>
        <v>200</v>
      </c>
      <c r="M36" s="135" t="s">
        <v>4</v>
      </c>
      <c r="N36" s="122" t="s">
        <v>2</v>
      </c>
      <c r="O36" s="137">
        <f>$C$4</f>
        <v>200</v>
      </c>
    </row>
    <row r="37" spans="1:15">
      <c r="A37" s="135" t="s">
        <v>5</v>
      </c>
      <c r="B37" s="122" t="s">
        <v>2</v>
      </c>
      <c r="C37" s="130" t="s">
        <v>6</v>
      </c>
      <c r="E37" s="135" t="s">
        <v>5</v>
      </c>
      <c r="F37" s="122" t="s">
        <v>2</v>
      </c>
      <c r="G37" s="130" t="s">
        <v>6</v>
      </c>
      <c r="I37" s="135" t="s">
        <v>5</v>
      </c>
      <c r="J37" s="122" t="s">
        <v>2</v>
      </c>
      <c r="K37" s="130" t="s">
        <v>6</v>
      </c>
      <c r="M37" s="135" t="s">
        <v>5</v>
      </c>
      <c r="N37" s="122" t="s">
        <v>2</v>
      </c>
      <c r="O37" s="130" t="s">
        <v>6</v>
      </c>
    </row>
    <row r="38" spans="1:15">
      <c r="A38" s="126" t="s">
        <v>7</v>
      </c>
      <c r="B38" s="122" t="s">
        <v>2</v>
      </c>
      <c r="C38" s="138">
        <f>$C$6</f>
        <v>0</v>
      </c>
      <c r="E38" s="126" t="s">
        <v>7</v>
      </c>
      <c r="F38" s="122" t="s">
        <v>2</v>
      </c>
      <c r="G38" s="138">
        <f>$C$6</f>
        <v>0</v>
      </c>
      <c r="I38" s="126" t="s">
        <v>7</v>
      </c>
      <c r="J38" s="122" t="s">
        <v>2</v>
      </c>
      <c r="K38" s="138">
        <f>$C$6</f>
        <v>0</v>
      </c>
      <c r="M38" s="126" t="s">
        <v>7</v>
      </c>
      <c r="N38" s="122" t="s">
        <v>2</v>
      </c>
      <c r="O38" s="138">
        <f>$C$6</f>
        <v>0</v>
      </c>
    </row>
    <row r="39" spans="1:15">
      <c r="A39" s="139" t="s">
        <v>8</v>
      </c>
      <c r="B39" s="133" t="s">
        <v>2</v>
      </c>
      <c r="C39" s="134" t="str">
        <f>C31</f>
        <v>BY 02 05</v>
      </c>
      <c r="E39" s="139" t="s">
        <v>8</v>
      </c>
      <c r="F39" s="133" t="s">
        <v>2</v>
      </c>
      <c r="G39" s="134" t="str">
        <f>C39</f>
        <v>BY 02 05</v>
      </c>
      <c r="I39" s="139" t="s">
        <v>8</v>
      </c>
      <c r="J39" s="133" t="s">
        <v>2</v>
      </c>
      <c r="K39" s="134" t="str">
        <f>G39</f>
        <v>BY 02 05</v>
      </c>
      <c r="M39" s="139" t="s">
        <v>8</v>
      </c>
      <c r="N39" s="133" t="s">
        <v>2</v>
      </c>
      <c r="O39" s="134" t="str">
        <f>K39</f>
        <v>BY 02 05</v>
      </c>
    </row>
    <row r="40" ht="12.95" customHeight="1"/>
    <row r="41" s="120" customFormat="1" ht="30" spans="1:15">
      <c r="A41" s="140" t="str">
        <f>$A$1</f>
        <v>226</v>
      </c>
      <c r="B41" s="124" t="s">
        <v>0</v>
      </c>
      <c r="C41" s="125"/>
      <c r="E41" s="140" t="str">
        <f>$A$1</f>
        <v>226</v>
      </c>
      <c r="F41" s="124" t="s">
        <v>0</v>
      </c>
      <c r="G41" s="125"/>
      <c r="I41" s="140" t="str">
        <f>$A$1</f>
        <v>226</v>
      </c>
      <c r="J41" s="124" t="s">
        <v>0</v>
      </c>
      <c r="K41" s="125"/>
      <c r="M41" s="140" t="str">
        <f>$A$1</f>
        <v>226</v>
      </c>
      <c r="N41" s="124" t="s">
        <v>0</v>
      </c>
      <c r="O41" s="125"/>
    </row>
    <row r="42" spans="1:15">
      <c r="A42" s="126" t="s">
        <v>1</v>
      </c>
      <c r="B42" s="122" t="s">
        <v>2</v>
      </c>
      <c r="C42" s="127">
        <f>$C$2</f>
        <v>955985</v>
      </c>
      <c r="E42" s="126" t="s">
        <v>1</v>
      </c>
      <c r="F42" s="122" t="s">
        <v>2</v>
      </c>
      <c r="G42" s="127">
        <f>$C$2</f>
        <v>955985</v>
      </c>
      <c r="I42" s="126" t="s">
        <v>1</v>
      </c>
      <c r="J42" s="122" t="s">
        <v>2</v>
      </c>
      <c r="K42" s="127">
        <f>$C$2</f>
        <v>955985</v>
      </c>
      <c r="M42" s="126" t="s">
        <v>1</v>
      </c>
      <c r="N42" s="122" t="s">
        <v>2</v>
      </c>
      <c r="O42" s="127">
        <f>$C$2</f>
        <v>955985</v>
      </c>
    </row>
    <row r="43" spans="1:15">
      <c r="A43" s="135" t="s">
        <v>3</v>
      </c>
      <c r="B43" s="122" t="s">
        <v>2</v>
      </c>
      <c r="C43" s="136" t="str">
        <f>$C$3</f>
        <v>DIN CONNECTOR FITTING</v>
      </c>
      <c r="E43" s="135" t="s">
        <v>3</v>
      </c>
      <c r="F43" s="122" t="s">
        <v>2</v>
      </c>
      <c r="G43" s="136" t="str">
        <f>$C$3</f>
        <v>DIN CONNECTOR FITTING</v>
      </c>
      <c r="I43" s="135" t="s">
        <v>3</v>
      </c>
      <c r="J43" s="122" t="s">
        <v>2</v>
      </c>
      <c r="K43" s="136" t="str">
        <f>$C$3</f>
        <v>DIN CONNECTOR FITTING</v>
      </c>
      <c r="M43" s="135" t="s">
        <v>3</v>
      </c>
      <c r="N43" s="122" t="s">
        <v>2</v>
      </c>
      <c r="O43" s="136" t="str">
        <f>$C$3</f>
        <v>DIN CONNECTOR FITTING</v>
      </c>
    </row>
    <row r="44" spans="1:15">
      <c r="A44" s="135" t="s">
        <v>4</v>
      </c>
      <c r="B44" s="122" t="s">
        <v>2</v>
      </c>
      <c r="C44" s="137">
        <f>$C$4</f>
        <v>200</v>
      </c>
      <c r="E44" s="135" t="s">
        <v>4</v>
      </c>
      <c r="F44" s="122" t="s">
        <v>2</v>
      </c>
      <c r="G44" s="137">
        <f>$C$4</f>
        <v>200</v>
      </c>
      <c r="I44" s="135" t="s">
        <v>4</v>
      </c>
      <c r="J44" s="122" t="s">
        <v>2</v>
      </c>
      <c r="K44" s="137">
        <f>$C$4</f>
        <v>200</v>
      </c>
      <c r="M44" s="135" t="s">
        <v>4</v>
      </c>
      <c r="N44" s="122" t="s">
        <v>2</v>
      </c>
      <c r="O44" s="137">
        <f>$C$4</f>
        <v>200</v>
      </c>
    </row>
    <row r="45" spans="1:15">
      <c r="A45" s="135" t="s">
        <v>5</v>
      </c>
      <c r="B45" s="122" t="s">
        <v>2</v>
      </c>
      <c r="C45" s="130" t="s">
        <v>6</v>
      </c>
      <c r="E45" s="135" t="s">
        <v>5</v>
      </c>
      <c r="F45" s="122" t="s">
        <v>2</v>
      </c>
      <c r="G45" s="130" t="s">
        <v>6</v>
      </c>
      <c r="I45" s="135" t="s">
        <v>5</v>
      </c>
      <c r="J45" s="122" t="s">
        <v>2</v>
      </c>
      <c r="K45" s="130" t="s">
        <v>6</v>
      </c>
      <c r="M45" s="135" t="s">
        <v>5</v>
      </c>
      <c r="N45" s="122" t="s">
        <v>2</v>
      </c>
      <c r="O45" s="130" t="s">
        <v>6</v>
      </c>
    </row>
    <row r="46" spans="1:15">
      <c r="A46" s="126" t="s">
        <v>7</v>
      </c>
      <c r="B46" s="122" t="s">
        <v>2</v>
      </c>
      <c r="C46" s="138">
        <f>$C$6</f>
        <v>0</v>
      </c>
      <c r="E46" s="126" t="s">
        <v>7</v>
      </c>
      <c r="F46" s="122" t="s">
        <v>2</v>
      </c>
      <c r="G46" s="138">
        <f>$C$6</f>
        <v>0</v>
      </c>
      <c r="I46" s="126" t="s">
        <v>7</v>
      </c>
      <c r="J46" s="122" t="s">
        <v>2</v>
      </c>
      <c r="K46" s="138">
        <f>$C$6</f>
        <v>0</v>
      </c>
      <c r="M46" s="126" t="s">
        <v>7</v>
      </c>
      <c r="N46" s="122" t="s">
        <v>2</v>
      </c>
      <c r="O46" s="138">
        <f>$C$6</f>
        <v>0</v>
      </c>
    </row>
    <row r="47" spans="1:15">
      <c r="A47" s="139" t="s">
        <v>8</v>
      </c>
      <c r="B47" s="133" t="s">
        <v>2</v>
      </c>
      <c r="C47" s="134" t="str">
        <f>C39</f>
        <v>BY 02 05</v>
      </c>
      <c r="E47" s="139" t="s">
        <v>8</v>
      </c>
      <c r="F47" s="133" t="s">
        <v>2</v>
      </c>
      <c r="G47" s="134" t="str">
        <f>C47</f>
        <v>BY 02 05</v>
      </c>
      <c r="I47" s="139" t="s">
        <v>8</v>
      </c>
      <c r="J47" s="133" t="s">
        <v>2</v>
      </c>
      <c r="K47" s="134" t="str">
        <f>G47</f>
        <v>BY 02 05</v>
      </c>
      <c r="M47" s="139" t="s">
        <v>8</v>
      </c>
      <c r="N47" s="133" t="s">
        <v>2</v>
      </c>
      <c r="O47" s="134" t="str">
        <f>K47</f>
        <v>BY 02 05</v>
      </c>
    </row>
    <row r="48" ht="12.95" customHeight="1"/>
    <row r="49" s="120" customFormat="1" ht="30" spans="1:15">
      <c r="A49" s="140" t="str">
        <f>$A$1</f>
        <v>226</v>
      </c>
      <c r="B49" s="124" t="s">
        <v>0</v>
      </c>
      <c r="C49" s="125"/>
      <c r="E49" s="140" t="str">
        <f>$A$1</f>
        <v>226</v>
      </c>
      <c r="F49" s="124" t="s">
        <v>0</v>
      </c>
      <c r="G49" s="125"/>
      <c r="I49" s="140" t="str">
        <f>$A$1</f>
        <v>226</v>
      </c>
      <c r="J49" s="124" t="s">
        <v>0</v>
      </c>
      <c r="K49" s="125"/>
      <c r="M49" s="140" t="str">
        <f>$A$1</f>
        <v>226</v>
      </c>
      <c r="N49" s="124" t="s">
        <v>0</v>
      </c>
      <c r="O49" s="125"/>
    </row>
    <row r="50" spans="1:15">
      <c r="A50" s="126" t="s">
        <v>1</v>
      </c>
      <c r="B50" s="122" t="s">
        <v>2</v>
      </c>
      <c r="C50" s="127">
        <f>$C$2</f>
        <v>955985</v>
      </c>
      <c r="E50" s="126" t="s">
        <v>1</v>
      </c>
      <c r="F50" s="122" t="s">
        <v>2</v>
      </c>
      <c r="G50" s="127">
        <f>$C$2</f>
        <v>955985</v>
      </c>
      <c r="I50" s="126" t="s">
        <v>1</v>
      </c>
      <c r="J50" s="122" t="s">
        <v>2</v>
      </c>
      <c r="K50" s="127">
        <f>$C$2</f>
        <v>955985</v>
      </c>
      <c r="M50" s="126" t="s">
        <v>1</v>
      </c>
      <c r="N50" s="122" t="s">
        <v>2</v>
      </c>
      <c r="O50" s="127">
        <f>$C$2</f>
        <v>955985</v>
      </c>
    </row>
    <row r="51" spans="1:15">
      <c r="A51" s="135" t="s">
        <v>3</v>
      </c>
      <c r="B51" s="122" t="s">
        <v>2</v>
      </c>
      <c r="C51" s="136" t="str">
        <f>$C$3</f>
        <v>DIN CONNECTOR FITTING</v>
      </c>
      <c r="E51" s="135" t="s">
        <v>3</v>
      </c>
      <c r="F51" s="122" t="s">
        <v>2</v>
      </c>
      <c r="G51" s="136" t="str">
        <f>$C$3</f>
        <v>DIN CONNECTOR FITTING</v>
      </c>
      <c r="I51" s="135" t="s">
        <v>3</v>
      </c>
      <c r="J51" s="122" t="s">
        <v>2</v>
      </c>
      <c r="K51" s="136" t="str">
        <f>$C$3</f>
        <v>DIN CONNECTOR FITTING</v>
      </c>
      <c r="M51" s="135" t="s">
        <v>3</v>
      </c>
      <c r="N51" s="122" t="s">
        <v>2</v>
      </c>
      <c r="O51" s="136" t="str">
        <f>$C$3</f>
        <v>DIN CONNECTOR FITTING</v>
      </c>
    </row>
    <row r="52" spans="1:15">
      <c r="A52" s="135" t="s">
        <v>4</v>
      </c>
      <c r="B52" s="122" t="s">
        <v>2</v>
      </c>
      <c r="C52" s="137">
        <f>$C$4</f>
        <v>200</v>
      </c>
      <c r="E52" s="135" t="s">
        <v>4</v>
      </c>
      <c r="F52" s="122" t="s">
        <v>2</v>
      </c>
      <c r="G52" s="137">
        <f>$C$4</f>
        <v>200</v>
      </c>
      <c r="I52" s="135" t="s">
        <v>4</v>
      </c>
      <c r="J52" s="122" t="s">
        <v>2</v>
      </c>
      <c r="K52" s="137">
        <f>$C$4</f>
        <v>200</v>
      </c>
      <c r="M52" s="135" t="s">
        <v>4</v>
      </c>
      <c r="N52" s="122" t="s">
        <v>2</v>
      </c>
      <c r="O52" s="137">
        <f>$C$4</f>
        <v>200</v>
      </c>
    </row>
    <row r="53" spans="1:15">
      <c r="A53" s="135" t="s">
        <v>5</v>
      </c>
      <c r="B53" s="122" t="s">
        <v>2</v>
      </c>
      <c r="C53" s="130" t="s">
        <v>6</v>
      </c>
      <c r="E53" s="135" t="s">
        <v>5</v>
      </c>
      <c r="F53" s="122" t="s">
        <v>2</v>
      </c>
      <c r="G53" s="130" t="s">
        <v>6</v>
      </c>
      <c r="I53" s="135" t="s">
        <v>5</v>
      </c>
      <c r="J53" s="122" t="s">
        <v>2</v>
      </c>
      <c r="K53" s="130" t="s">
        <v>6</v>
      </c>
      <c r="M53" s="135" t="s">
        <v>5</v>
      </c>
      <c r="N53" s="122" t="s">
        <v>2</v>
      </c>
      <c r="O53" s="130" t="s">
        <v>6</v>
      </c>
    </row>
    <row r="54" spans="1:15">
      <c r="A54" s="126" t="s">
        <v>7</v>
      </c>
      <c r="B54" s="122" t="s">
        <v>2</v>
      </c>
      <c r="C54" s="138">
        <f>$C$6</f>
        <v>0</v>
      </c>
      <c r="E54" s="126" t="s">
        <v>7</v>
      </c>
      <c r="F54" s="122" t="s">
        <v>2</v>
      </c>
      <c r="G54" s="138">
        <f>$C$6</f>
        <v>0</v>
      </c>
      <c r="I54" s="126" t="s">
        <v>7</v>
      </c>
      <c r="J54" s="122" t="s">
        <v>2</v>
      </c>
      <c r="K54" s="138">
        <f>$C$6</f>
        <v>0</v>
      </c>
      <c r="M54" s="126" t="s">
        <v>7</v>
      </c>
      <c r="N54" s="122" t="s">
        <v>2</v>
      </c>
      <c r="O54" s="138">
        <f>$C$6</f>
        <v>0</v>
      </c>
    </row>
    <row r="55" spans="1:15">
      <c r="A55" s="139" t="s">
        <v>8</v>
      </c>
      <c r="B55" s="133" t="s">
        <v>2</v>
      </c>
      <c r="C55" s="134" t="str">
        <f>C47</f>
        <v>BY 02 05</v>
      </c>
      <c r="E55" s="139" t="s">
        <v>8</v>
      </c>
      <c r="F55" s="133" t="s">
        <v>2</v>
      </c>
      <c r="G55" s="134" t="str">
        <f>C55</f>
        <v>BY 02 05</v>
      </c>
      <c r="I55" s="139" t="s">
        <v>8</v>
      </c>
      <c r="J55" s="133" t="s">
        <v>2</v>
      </c>
      <c r="K55" s="134" t="str">
        <f>G55</f>
        <v>BY 02 05</v>
      </c>
      <c r="M55" s="139" t="s">
        <v>8</v>
      </c>
      <c r="N55" s="133" t="s">
        <v>2</v>
      </c>
      <c r="O55" s="134" t="str">
        <f>K55</f>
        <v>BY 02 05</v>
      </c>
    </row>
    <row r="56" ht="12.95" customHeight="1"/>
    <row r="57" s="120" customFormat="1" ht="30" spans="1:15">
      <c r="A57" s="140" t="str">
        <f>$A$1</f>
        <v>226</v>
      </c>
      <c r="B57" s="124" t="s">
        <v>0</v>
      </c>
      <c r="C57" s="125"/>
      <c r="E57" s="140" t="str">
        <f>$A$1</f>
        <v>226</v>
      </c>
      <c r="F57" s="124" t="s">
        <v>0</v>
      </c>
      <c r="G57" s="125"/>
      <c r="I57" s="140" t="str">
        <f>$A$1</f>
        <v>226</v>
      </c>
      <c r="J57" s="124" t="s">
        <v>0</v>
      </c>
      <c r="K57" s="125"/>
      <c r="M57" s="140" t="str">
        <f>$A$1</f>
        <v>226</v>
      </c>
      <c r="N57" s="124" t="s">
        <v>0</v>
      </c>
      <c r="O57" s="125"/>
    </row>
    <row r="58" spans="1:15">
      <c r="A58" s="126" t="s">
        <v>1</v>
      </c>
      <c r="B58" s="122" t="s">
        <v>2</v>
      </c>
      <c r="C58" s="127">
        <f>$C$2</f>
        <v>955985</v>
      </c>
      <c r="E58" s="126" t="s">
        <v>1</v>
      </c>
      <c r="F58" s="122" t="s">
        <v>2</v>
      </c>
      <c r="G58" s="127">
        <f>$C$2</f>
        <v>955985</v>
      </c>
      <c r="I58" s="126" t="s">
        <v>1</v>
      </c>
      <c r="J58" s="122" t="s">
        <v>2</v>
      </c>
      <c r="K58" s="127">
        <f>$C$2</f>
        <v>955985</v>
      </c>
      <c r="M58" s="126" t="s">
        <v>1</v>
      </c>
      <c r="N58" s="122" t="s">
        <v>2</v>
      </c>
      <c r="O58" s="127">
        <f>$C$2</f>
        <v>955985</v>
      </c>
    </row>
    <row r="59" spans="1:15">
      <c r="A59" s="135" t="s">
        <v>3</v>
      </c>
      <c r="B59" s="122" t="s">
        <v>2</v>
      </c>
      <c r="C59" s="136" t="str">
        <f>$C$3</f>
        <v>DIN CONNECTOR FITTING</v>
      </c>
      <c r="E59" s="135" t="s">
        <v>3</v>
      </c>
      <c r="F59" s="122" t="s">
        <v>2</v>
      </c>
      <c r="G59" s="136" t="str">
        <f>$C$3</f>
        <v>DIN CONNECTOR FITTING</v>
      </c>
      <c r="I59" s="135" t="s">
        <v>3</v>
      </c>
      <c r="J59" s="122" t="s">
        <v>2</v>
      </c>
      <c r="K59" s="136" t="str">
        <f>$C$3</f>
        <v>DIN CONNECTOR FITTING</v>
      </c>
      <c r="M59" s="135" t="s">
        <v>3</v>
      </c>
      <c r="N59" s="122" t="s">
        <v>2</v>
      </c>
      <c r="O59" s="136" t="str">
        <f>$C$3</f>
        <v>DIN CONNECTOR FITTING</v>
      </c>
    </row>
    <row r="60" spans="1:15">
      <c r="A60" s="135" t="s">
        <v>4</v>
      </c>
      <c r="B60" s="122" t="s">
        <v>2</v>
      </c>
      <c r="C60" s="137">
        <f>$C$4</f>
        <v>200</v>
      </c>
      <c r="E60" s="135" t="s">
        <v>4</v>
      </c>
      <c r="F60" s="122" t="s">
        <v>2</v>
      </c>
      <c r="G60" s="137">
        <f>$C$4</f>
        <v>200</v>
      </c>
      <c r="I60" s="135" t="s">
        <v>4</v>
      </c>
      <c r="J60" s="122" t="s">
        <v>2</v>
      </c>
      <c r="K60" s="137">
        <f>$C$4</f>
        <v>200</v>
      </c>
      <c r="M60" s="135" t="s">
        <v>4</v>
      </c>
      <c r="N60" s="122" t="s">
        <v>2</v>
      </c>
      <c r="O60" s="137">
        <f>$C$4</f>
        <v>200</v>
      </c>
    </row>
    <row r="61" spans="1:15">
      <c r="A61" s="135" t="s">
        <v>5</v>
      </c>
      <c r="B61" s="122" t="s">
        <v>2</v>
      </c>
      <c r="C61" s="130" t="s">
        <v>6</v>
      </c>
      <c r="E61" s="135" t="s">
        <v>5</v>
      </c>
      <c r="F61" s="122" t="s">
        <v>2</v>
      </c>
      <c r="G61" s="130" t="s">
        <v>6</v>
      </c>
      <c r="I61" s="135" t="s">
        <v>5</v>
      </c>
      <c r="J61" s="122" t="s">
        <v>2</v>
      </c>
      <c r="K61" s="130" t="s">
        <v>6</v>
      </c>
      <c r="M61" s="135" t="s">
        <v>5</v>
      </c>
      <c r="N61" s="122" t="s">
        <v>2</v>
      </c>
      <c r="O61" s="130" t="s">
        <v>6</v>
      </c>
    </row>
    <row r="62" spans="1:15">
      <c r="A62" s="126" t="s">
        <v>7</v>
      </c>
      <c r="B62" s="122" t="s">
        <v>2</v>
      </c>
      <c r="C62" s="138">
        <f>$C$6</f>
        <v>0</v>
      </c>
      <c r="E62" s="126" t="s">
        <v>7</v>
      </c>
      <c r="F62" s="122" t="s">
        <v>2</v>
      </c>
      <c r="G62" s="138">
        <f>$C$6</f>
        <v>0</v>
      </c>
      <c r="I62" s="126" t="s">
        <v>7</v>
      </c>
      <c r="J62" s="122" t="s">
        <v>2</v>
      </c>
      <c r="K62" s="138">
        <f>$C$6</f>
        <v>0</v>
      </c>
      <c r="M62" s="126" t="s">
        <v>7</v>
      </c>
      <c r="N62" s="122" t="s">
        <v>2</v>
      </c>
      <c r="O62" s="138">
        <f>$C$6</f>
        <v>0</v>
      </c>
    </row>
    <row r="63" spans="1:15">
      <c r="A63" s="139" t="s">
        <v>8</v>
      </c>
      <c r="B63" s="133" t="s">
        <v>2</v>
      </c>
      <c r="C63" s="134" t="str">
        <f>C55</f>
        <v>BY 02 05</v>
      </c>
      <c r="E63" s="139" t="s">
        <v>8</v>
      </c>
      <c r="F63" s="133" t="s">
        <v>2</v>
      </c>
      <c r="G63" s="134" t="str">
        <f>C63</f>
        <v>BY 02 05</v>
      </c>
      <c r="I63" s="139" t="s">
        <v>8</v>
      </c>
      <c r="J63" s="133" t="s">
        <v>2</v>
      </c>
      <c r="K63" s="134" t="str">
        <f>G63</f>
        <v>BY 02 05</v>
      </c>
      <c r="M63" s="139" t="s">
        <v>8</v>
      </c>
      <c r="N63" s="133" t="s">
        <v>2</v>
      </c>
      <c r="O63" s="134" t="str">
        <f>K63</f>
        <v>BY 02 05</v>
      </c>
    </row>
    <row r="64" ht="12.95" customHeight="1"/>
    <row r="65" s="120" customFormat="1" ht="30" spans="1:15">
      <c r="A65" s="140" t="str">
        <f>$A$1</f>
        <v>226</v>
      </c>
      <c r="B65" s="124" t="s">
        <v>0</v>
      </c>
      <c r="C65" s="125"/>
      <c r="E65" s="140" t="str">
        <f>$A$1</f>
        <v>226</v>
      </c>
      <c r="F65" s="124" t="s">
        <v>0</v>
      </c>
      <c r="G65" s="125"/>
      <c r="I65" s="140" t="str">
        <f>$A$1</f>
        <v>226</v>
      </c>
      <c r="J65" s="124" t="s">
        <v>0</v>
      </c>
      <c r="K65" s="125"/>
      <c r="M65" s="140" t="str">
        <f>$A$1</f>
        <v>226</v>
      </c>
      <c r="N65" s="124" t="s">
        <v>0</v>
      </c>
      <c r="O65" s="125"/>
    </row>
    <row r="66" spans="1:15">
      <c r="A66" s="126" t="s">
        <v>1</v>
      </c>
      <c r="B66" s="122" t="s">
        <v>2</v>
      </c>
      <c r="C66" s="127">
        <f>$C$2</f>
        <v>955985</v>
      </c>
      <c r="E66" s="126" t="s">
        <v>1</v>
      </c>
      <c r="F66" s="122" t="s">
        <v>2</v>
      </c>
      <c r="G66" s="127">
        <f>$C$2</f>
        <v>955985</v>
      </c>
      <c r="I66" s="126" t="s">
        <v>1</v>
      </c>
      <c r="J66" s="122" t="s">
        <v>2</v>
      </c>
      <c r="K66" s="127">
        <f>$C$2</f>
        <v>955985</v>
      </c>
      <c r="M66" s="126" t="s">
        <v>1</v>
      </c>
      <c r="N66" s="122" t="s">
        <v>2</v>
      </c>
      <c r="O66" s="127">
        <f>$C$2</f>
        <v>955985</v>
      </c>
    </row>
    <row r="67" spans="1:15">
      <c r="A67" s="135" t="s">
        <v>3</v>
      </c>
      <c r="B67" s="122" t="s">
        <v>2</v>
      </c>
      <c r="C67" s="136" t="str">
        <f>$C$3</f>
        <v>DIN CONNECTOR FITTING</v>
      </c>
      <c r="E67" s="135" t="s">
        <v>3</v>
      </c>
      <c r="F67" s="122" t="s">
        <v>2</v>
      </c>
      <c r="G67" s="136" t="str">
        <f>$C$3</f>
        <v>DIN CONNECTOR FITTING</v>
      </c>
      <c r="I67" s="135" t="s">
        <v>3</v>
      </c>
      <c r="J67" s="122" t="s">
        <v>2</v>
      </c>
      <c r="K67" s="136" t="str">
        <f>$C$3</f>
        <v>DIN CONNECTOR FITTING</v>
      </c>
      <c r="M67" s="135" t="s">
        <v>3</v>
      </c>
      <c r="N67" s="122" t="s">
        <v>2</v>
      </c>
      <c r="O67" s="136" t="str">
        <f>$C$3</f>
        <v>DIN CONNECTOR FITTING</v>
      </c>
    </row>
    <row r="68" spans="1:15">
      <c r="A68" s="135" t="s">
        <v>4</v>
      </c>
      <c r="B68" s="122" t="s">
        <v>2</v>
      </c>
      <c r="C68" s="137">
        <f>$C$4</f>
        <v>200</v>
      </c>
      <c r="E68" s="135" t="s">
        <v>4</v>
      </c>
      <c r="F68" s="122" t="s">
        <v>2</v>
      </c>
      <c r="G68" s="137">
        <f>$C$4</f>
        <v>200</v>
      </c>
      <c r="I68" s="135" t="s">
        <v>4</v>
      </c>
      <c r="J68" s="122" t="s">
        <v>2</v>
      </c>
      <c r="K68" s="137">
        <f>$C$4</f>
        <v>200</v>
      </c>
      <c r="M68" s="135" t="s">
        <v>4</v>
      </c>
      <c r="N68" s="122" t="s">
        <v>2</v>
      </c>
      <c r="O68" s="137">
        <f>$C$4</f>
        <v>200</v>
      </c>
    </row>
    <row r="69" spans="1:15">
      <c r="A69" s="135" t="s">
        <v>5</v>
      </c>
      <c r="B69" s="122" t="s">
        <v>2</v>
      </c>
      <c r="C69" s="130" t="s">
        <v>6</v>
      </c>
      <c r="E69" s="135" t="s">
        <v>5</v>
      </c>
      <c r="F69" s="122" t="s">
        <v>2</v>
      </c>
      <c r="G69" s="130" t="s">
        <v>6</v>
      </c>
      <c r="I69" s="135" t="s">
        <v>5</v>
      </c>
      <c r="J69" s="122" t="s">
        <v>2</v>
      </c>
      <c r="K69" s="130" t="s">
        <v>6</v>
      </c>
      <c r="M69" s="135" t="s">
        <v>5</v>
      </c>
      <c r="N69" s="122" t="s">
        <v>2</v>
      </c>
      <c r="O69" s="130" t="s">
        <v>6</v>
      </c>
    </row>
    <row r="70" spans="1:15">
      <c r="A70" s="126" t="s">
        <v>7</v>
      </c>
      <c r="B70" s="122" t="s">
        <v>2</v>
      </c>
      <c r="C70" s="138">
        <f>$C$6</f>
        <v>0</v>
      </c>
      <c r="E70" s="126" t="s">
        <v>7</v>
      </c>
      <c r="F70" s="122" t="s">
        <v>2</v>
      </c>
      <c r="G70" s="138">
        <f>$C$6</f>
        <v>0</v>
      </c>
      <c r="I70" s="126" t="s">
        <v>7</v>
      </c>
      <c r="J70" s="122" t="s">
        <v>2</v>
      </c>
      <c r="K70" s="138">
        <f>$C$6</f>
        <v>0</v>
      </c>
      <c r="M70" s="126" t="s">
        <v>7</v>
      </c>
      <c r="N70" s="122" t="s">
        <v>2</v>
      </c>
      <c r="O70" s="138">
        <f>$C$6</f>
        <v>0</v>
      </c>
    </row>
    <row r="71" spans="1:15">
      <c r="A71" s="139" t="s">
        <v>8</v>
      </c>
      <c r="B71" s="133" t="s">
        <v>2</v>
      </c>
      <c r="C71" s="134" t="str">
        <f>C63</f>
        <v>BY 02 05</v>
      </c>
      <c r="E71" s="139" t="s">
        <v>8</v>
      </c>
      <c r="F71" s="133" t="s">
        <v>2</v>
      </c>
      <c r="G71" s="134" t="str">
        <f>C71</f>
        <v>BY 02 05</v>
      </c>
      <c r="I71" s="139" t="s">
        <v>8</v>
      </c>
      <c r="J71" s="133" t="s">
        <v>2</v>
      </c>
      <c r="K71" s="134" t="str">
        <f>G71</f>
        <v>BY 02 05</v>
      </c>
      <c r="M71" s="139" t="s">
        <v>8</v>
      </c>
      <c r="N71" s="133" t="s">
        <v>2</v>
      </c>
      <c r="O71" s="134" t="str">
        <f>K71</f>
        <v>BY 02 05</v>
      </c>
    </row>
    <row r="72" ht="12.95" customHeight="1"/>
    <row r="73" s="120" customFormat="1" ht="30" spans="1:15">
      <c r="A73" s="140" t="str">
        <f>$A$1</f>
        <v>226</v>
      </c>
      <c r="B73" s="124" t="s">
        <v>0</v>
      </c>
      <c r="C73" s="125"/>
      <c r="E73" s="140" t="str">
        <f>$A$1</f>
        <v>226</v>
      </c>
      <c r="F73" s="124" t="s">
        <v>0</v>
      </c>
      <c r="G73" s="125"/>
      <c r="I73" s="140" t="str">
        <f>$A$1</f>
        <v>226</v>
      </c>
      <c r="J73" s="124" t="s">
        <v>0</v>
      </c>
      <c r="K73" s="125"/>
      <c r="M73" s="140" t="str">
        <f>$A$1</f>
        <v>226</v>
      </c>
      <c r="N73" s="124" t="s">
        <v>0</v>
      </c>
      <c r="O73" s="125"/>
    </row>
    <row r="74" spans="1:15">
      <c r="A74" s="126" t="s">
        <v>1</v>
      </c>
      <c r="B74" s="122" t="s">
        <v>2</v>
      </c>
      <c r="C74" s="127">
        <f>$C$2</f>
        <v>955985</v>
      </c>
      <c r="E74" s="126" t="s">
        <v>1</v>
      </c>
      <c r="F74" s="122" t="s">
        <v>2</v>
      </c>
      <c r="G74" s="127">
        <f>$C$2</f>
        <v>955985</v>
      </c>
      <c r="I74" s="126" t="s">
        <v>1</v>
      </c>
      <c r="J74" s="122" t="s">
        <v>2</v>
      </c>
      <c r="K74" s="127">
        <f>$C$2</f>
        <v>955985</v>
      </c>
      <c r="M74" s="126" t="s">
        <v>1</v>
      </c>
      <c r="N74" s="122" t="s">
        <v>2</v>
      </c>
      <c r="O74" s="127">
        <f>$C$2</f>
        <v>955985</v>
      </c>
    </row>
    <row r="75" spans="1:15">
      <c r="A75" s="135" t="s">
        <v>3</v>
      </c>
      <c r="B75" s="122" t="s">
        <v>2</v>
      </c>
      <c r="C75" s="136" t="str">
        <f>$C$3</f>
        <v>DIN CONNECTOR FITTING</v>
      </c>
      <c r="E75" s="135" t="s">
        <v>3</v>
      </c>
      <c r="F75" s="122" t="s">
        <v>2</v>
      </c>
      <c r="G75" s="136" t="str">
        <f>$C$3</f>
        <v>DIN CONNECTOR FITTING</v>
      </c>
      <c r="I75" s="135" t="s">
        <v>3</v>
      </c>
      <c r="J75" s="122" t="s">
        <v>2</v>
      </c>
      <c r="K75" s="136" t="str">
        <f>$C$3</f>
        <v>DIN CONNECTOR FITTING</v>
      </c>
      <c r="M75" s="135" t="s">
        <v>3</v>
      </c>
      <c r="N75" s="122" t="s">
        <v>2</v>
      </c>
      <c r="O75" s="136" t="str">
        <f>$C$3</f>
        <v>DIN CONNECTOR FITTING</v>
      </c>
    </row>
    <row r="76" spans="1:15">
      <c r="A76" s="135" t="s">
        <v>4</v>
      </c>
      <c r="B76" s="122" t="s">
        <v>2</v>
      </c>
      <c r="C76" s="137">
        <f>$C$4</f>
        <v>200</v>
      </c>
      <c r="E76" s="135" t="s">
        <v>4</v>
      </c>
      <c r="F76" s="122" t="s">
        <v>2</v>
      </c>
      <c r="G76" s="137">
        <f>$C$4</f>
        <v>200</v>
      </c>
      <c r="I76" s="135" t="s">
        <v>4</v>
      </c>
      <c r="J76" s="122" t="s">
        <v>2</v>
      </c>
      <c r="K76" s="137">
        <f>$C$4</f>
        <v>200</v>
      </c>
      <c r="M76" s="135" t="s">
        <v>4</v>
      </c>
      <c r="N76" s="122" t="s">
        <v>2</v>
      </c>
      <c r="O76" s="137">
        <f>$C$4</f>
        <v>200</v>
      </c>
    </row>
    <row r="77" spans="1:15">
      <c r="A77" s="135" t="s">
        <v>5</v>
      </c>
      <c r="B77" s="122" t="s">
        <v>2</v>
      </c>
      <c r="C77" s="130" t="s">
        <v>6</v>
      </c>
      <c r="E77" s="135" t="s">
        <v>5</v>
      </c>
      <c r="F77" s="122" t="s">
        <v>2</v>
      </c>
      <c r="G77" s="130" t="s">
        <v>6</v>
      </c>
      <c r="I77" s="135" t="s">
        <v>5</v>
      </c>
      <c r="J77" s="122" t="s">
        <v>2</v>
      </c>
      <c r="K77" s="130" t="s">
        <v>6</v>
      </c>
      <c r="M77" s="135" t="s">
        <v>5</v>
      </c>
      <c r="N77" s="122" t="s">
        <v>2</v>
      </c>
      <c r="O77" s="130" t="s">
        <v>6</v>
      </c>
    </row>
    <row r="78" spans="1:15">
      <c r="A78" s="126" t="s">
        <v>7</v>
      </c>
      <c r="B78" s="122" t="s">
        <v>2</v>
      </c>
      <c r="C78" s="138">
        <f>$C$6</f>
        <v>0</v>
      </c>
      <c r="E78" s="126" t="s">
        <v>7</v>
      </c>
      <c r="F78" s="122" t="s">
        <v>2</v>
      </c>
      <c r="G78" s="138">
        <f>$C$6</f>
        <v>0</v>
      </c>
      <c r="I78" s="126" t="s">
        <v>7</v>
      </c>
      <c r="J78" s="122" t="s">
        <v>2</v>
      </c>
      <c r="K78" s="138">
        <f>$C$6</f>
        <v>0</v>
      </c>
      <c r="M78" s="126" t="s">
        <v>7</v>
      </c>
      <c r="N78" s="122" t="s">
        <v>2</v>
      </c>
      <c r="O78" s="138">
        <f>$C$6</f>
        <v>0</v>
      </c>
    </row>
    <row r="79" spans="1:15">
      <c r="A79" s="139" t="s">
        <v>8</v>
      </c>
      <c r="B79" s="133" t="s">
        <v>2</v>
      </c>
      <c r="C79" s="134" t="str">
        <f>C71</f>
        <v>BY 02 05</v>
      </c>
      <c r="E79" s="139" t="s">
        <v>8</v>
      </c>
      <c r="F79" s="133" t="s">
        <v>2</v>
      </c>
      <c r="G79" s="134" t="str">
        <f>C79</f>
        <v>BY 02 05</v>
      </c>
      <c r="I79" s="139" t="s">
        <v>8</v>
      </c>
      <c r="J79" s="133" t="s">
        <v>2</v>
      </c>
      <c r="K79" s="134" t="str">
        <f>G79</f>
        <v>BY 02 05</v>
      </c>
      <c r="M79" s="139" t="s">
        <v>8</v>
      </c>
      <c r="N79" s="133" t="s">
        <v>2</v>
      </c>
      <c r="O79" s="134" t="str">
        <f>K79</f>
        <v>BY 02 05</v>
      </c>
    </row>
    <row r="80" ht="12.95" customHeight="1"/>
    <row r="81" s="120" customFormat="1" ht="30" spans="1:15">
      <c r="A81" s="140" t="str">
        <f>$A$1</f>
        <v>226</v>
      </c>
      <c r="B81" s="124" t="s">
        <v>0</v>
      </c>
      <c r="C81" s="125"/>
      <c r="E81" s="140" t="str">
        <f>$A$1</f>
        <v>226</v>
      </c>
      <c r="F81" s="124" t="s">
        <v>0</v>
      </c>
      <c r="G81" s="125"/>
      <c r="I81" s="140" t="str">
        <f>$A$1</f>
        <v>226</v>
      </c>
      <c r="J81" s="124" t="s">
        <v>0</v>
      </c>
      <c r="K81" s="125"/>
      <c r="M81" s="140" t="str">
        <f>$A$1</f>
        <v>226</v>
      </c>
      <c r="N81" s="124" t="s">
        <v>0</v>
      </c>
      <c r="O81" s="125"/>
    </row>
    <row r="82" spans="1:15">
      <c r="A82" s="126" t="s">
        <v>1</v>
      </c>
      <c r="B82" s="122" t="s">
        <v>2</v>
      </c>
      <c r="C82" s="127">
        <f>$C$2</f>
        <v>955985</v>
      </c>
      <c r="E82" s="126" t="s">
        <v>1</v>
      </c>
      <c r="F82" s="122" t="s">
        <v>2</v>
      </c>
      <c r="G82" s="127">
        <f>$C$2</f>
        <v>955985</v>
      </c>
      <c r="I82" s="126" t="s">
        <v>1</v>
      </c>
      <c r="J82" s="122" t="s">
        <v>2</v>
      </c>
      <c r="K82" s="127">
        <f>$C$2</f>
        <v>955985</v>
      </c>
      <c r="M82" s="126" t="s">
        <v>1</v>
      </c>
      <c r="N82" s="122" t="s">
        <v>2</v>
      </c>
      <c r="O82" s="127">
        <f>$C$2</f>
        <v>955985</v>
      </c>
    </row>
    <row r="83" spans="1:15">
      <c r="A83" s="135" t="s">
        <v>3</v>
      </c>
      <c r="B83" s="122" t="s">
        <v>2</v>
      </c>
      <c r="C83" s="136" t="str">
        <f>$C$3</f>
        <v>DIN CONNECTOR FITTING</v>
      </c>
      <c r="E83" s="135" t="s">
        <v>3</v>
      </c>
      <c r="F83" s="122" t="s">
        <v>2</v>
      </c>
      <c r="G83" s="136" t="str">
        <f>$C$3</f>
        <v>DIN CONNECTOR FITTING</v>
      </c>
      <c r="I83" s="135" t="s">
        <v>3</v>
      </c>
      <c r="J83" s="122" t="s">
        <v>2</v>
      </c>
      <c r="K83" s="136" t="str">
        <f>$C$3</f>
        <v>DIN CONNECTOR FITTING</v>
      </c>
      <c r="M83" s="135" t="s">
        <v>3</v>
      </c>
      <c r="N83" s="122" t="s">
        <v>2</v>
      </c>
      <c r="O83" s="136" t="str">
        <f>$C$3</f>
        <v>DIN CONNECTOR FITTING</v>
      </c>
    </row>
    <row r="84" spans="1:15">
      <c r="A84" s="135" t="s">
        <v>4</v>
      </c>
      <c r="B84" s="122" t="s">
        <v>2</v>
      </c>
      <c r="C84" s="137">
        <f>$C$4</f>
        <v>200</v>
      </c>
      <c r="E84" s="135" t="s">
        <v>4</v>
      </c>
      <c r="F84" s="122" t="s">
        <v>2</v>
      </c>
      <c r="G84" s="137">
        <f>$C$4</f>
        <v>200</v>
      </c>
      <c r="I84" s="135" t="s">
        <v>4</v>
      </c>
      <c r="J84" s="122" t="s">
        <v>2</v>
      </c>
      <c r="K84" s="137">
        <f>$C$4</f>
        <v>200</v>
      </c>
      <c r="M84" s="135" t="s">
        <v>4</v>
      </c>
      <c r="N84" s="122" t="s">
        <v>2</v>
      </c>
      <c r="O84" s="137">
        <f>$C$4</f>
        <v>200</v>
      </c>
    </row>
    <row r="85" spans="1:15">
      <c r="A85" s="135" t="s">
        <v>5</v>
      </c>
      <c r="B85" s="122" t="s">
        <v>2</v>
      </c>
      <c r="C85" s="130" t="s">
        <v>6</v>
      </c>
      <c r="E85" s="135" t="s">
        <v>5</v>
      </c>
      <c r="F85" s="122" t="s">
        <v>2</v>
      </c>
      <c r="G85" s="130" t="s">
        <v>6</v>
      </c>
      <c r="I85" s="135" t="s">
        <v>5</v>
      </c>
      <c r="J85" s="122" t="s">
        <v>2</v>
      </c>
      <c r="K85" s="130" t="s">
        <v>6</v>
      </c>
      <c r="M85" s="135" t="s">
        <v>5</v>
      </c>
      <c r="N85" s="122" t="s">
        <v>2</v>
      </c>
      <c r="O85" s="130" t="s">
        <v>6</v>
      </c>
    </row>
    <row r="86" spans="1:15">
      <c r="A86" s="126" t="s">
        <v>7</v>
      </c>
      <c r="B86" s="122" t="s">
        <v>2</v>
      </c>
      <c r="C86" s="138">
        <f>$C$6</f>
        <v>0</v>
      </c>
      <c r="E86" s="126" t="s">
        <v>7</v>
      </c>
      <c r="F86" s="122" t="s">
        <v>2</v>
      </c>
      <c r="G86" s="138">
        <f>$C$6</f>
        <v>0</v>
      </c>
      <c r="I86" s="126" t="s">
        <v>7</v>
      </c>
      <c r="J86" s="122" t="s">
        <v>2</v>
      </c>
      <c r="K86" s="138">
        <f>$C$6</f>
        <v>0</v>
      </c>
      <c r="M86" s="126" t="s">
        <v>7</v>
      </c>
      <c r="N86" s="122" t="s">
        <v>2</v>
      </c>
      <c r="O86" s="138">
        <f>$C$6</f>
        <v>0</v>
      </c>
    </row>
    <row r="87" spans="1:15">
      <c r="A87" s="139" t="s">
        <v>8</v>
      </c>
      <c r="B87" s="133" t="s">
        <v>2</v>
      </c>
      <c r="C87" s="134" t="str">
        <f>C79</f>
        <v>BY 02 05</v>
      </c>
      <c r="E87" s="139" t="s">
        <v>8</v>
      </c>
      <c r="F87" s="133" t="s">
        <v>2</v>
      </c>
      <c r="G87" s="134" t="str">
        <f>C87</f>
        <v>BY 02 05</v>
      </c>
      <c r="I87" s="139" t="s">
        <v>8</v>
      </c>
      <c r="J87" s="133" t="s">
        <v>2</v>
      </c>
      <c r="K87" s="134" t="str">
        <f>G87</f>
        <v>BY 02 05</v>
      </c>
      <c r="M87" s="139" t="s">
        <v>8</v>
      </c>
      <c r="N87" s="133" t="s">
        <v>2</v>
      </c>
      <c r="O87" s="134" t="str">
        <f>K87</f>
        <v>BY 02 05</v>
      </c>
    </row>
    <row r="88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65:C65"/>
    <mergeCell ref="F65:G65"/>
    <mergeCell ref="J65:K65"/>
    <mergeCell ref="N65:O65"/>
    <mergeCell ref="B73:C73"/>
    <mergeCell ref="F73:G73"/>
    <mergeCell ref="J73:K73"/>
    <mergeCell ref="N73:O73"/>
    <mergeCell ref="B81:C81"/>
    <mergeCell ref="F81:G81"/>
    <mergeCell ref="J81:K81"/>
    <mergeCell ref="N81:O81"/>
  </mergeCells>
  <printOptions horizontalCentered="1" verticalCentered="1"/>
  <pageMargins left="0" right="0" top="0" bottom="0" header="0" footer="0"/>
  <pageSetup paperSize="9" scale="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88"/>
  <sheetViews>
    <sheetView workbookViewId="0">
      <selection activeCell="G4" sqref="G4"/>
    </sheetView>
  </sheetViews>
  <sheetFormatPr defaultColWidth="9" defaultRowHeight="15"/>
  <cols>
    <col min="1" max="1" width="9.42666666666667" style="121" customWidth="1"/>
    <col min="2" max="2" width="1.28666666666667" style="122" customWidth="1"/>
    <col min="3" max="3" width="32.7133333333333" style="122" customWidth="1"/>
    <col min="4" max="4" width="2.71333333333333" style="122" customWidth="1"/>
    <col min="5" max="5" width="9.42666666666667" style="122" customWidth="1"/>
    <col min="6" max="6" width="1.28666666666667" style="122" customWidth="1"/>
    <col min="7" max="7" width="32.7133333333333" style="122" customWidth="1"/>
    <col min="8" max="8" width="2.71333333333333" style="122" customWidth="1"/>
    <col min="9" max="9" width="9.42666666666667" style="122" customWidth="1"/>
    <col min="10" max="10" width="1.28666666666667" style="122" customWidth="1"/>
    <col min="11" max="11" width="32.7133333333333" style="122" customWidth="1"/>
    <col min="12" max="12" width="2.71333333333333" style="122" customWidth="1"/>
    <col min="13" max="13" width="9.42666666666667" style="122" customWidth="1"/>
    <col min="14" max="14" width="1.28666666666667" style="122" customWidth="1"/>
    <col min="15" max="15" width="32.7133333333333" style="122" customWidth="1"/>
    <col min="16" max="257" width="8.71333333333333" style="122"/>
    <col min="258" max="258" width="1.42666666666667" style="122" customWidth="1"/>
    <col min="259" max="259" width="14.8533333333333" style="122" customWidth="1"/>
    <col min="260" max="260" width="1.85333333333333" style="122" customWidth="1"/>
    <col min="261" max="261" width="8.71333333333333" style="122"/>
    <col min="262" max="262" width="1.57333333333333" style="122" customWidth="1"/>
    <col min="263" max="263" width="14.8533333333333" style="122" customWidth="1"/>
    <col min="264" max="264" width="2.42666666666667" style="122" customWidth="1"/>
    <col min="265" max="265" width="9.85333333333333" style="122" customWidth="1"/>
    <col min="266" max="266" width="2" style="122" customWidth="1"/>
    <col min="267" max="267" width="14.8533333333333" style="122" customWidth="1"/>
    <col min="268" max="268" width="2.42666666666667" style="122" customWidth="1"/>
    <col min="269" max="269" width="9.85333333333333" style="122" customWidth="1"/>
    <col min="270" max="270" width="2" style="122" customWidth="1"/>
    <col min="271" max="271" width="14.8533333333333" style="122" customWidth="1"/>
    <col min="272" max="513" width="8.71333333333333" style="122"/>
    <col min="514" max="514" width="1.42666666666667" style="122" customWidth="1"/>
    <col min="515" max="515" width="14.8533333333333" style="122" customWidth="1"/>
    <col min="516" max="516" width="1.85333333333333" style="122" customWidth="1"/>
    <col min="517" max="517" width="8.71333333333333" style="122"/>
    <col min="518" max="518" width="1.57333333333333" style="122" customWidth="1"/>
    <col min="519" max="519" width="14.8533333333333" style="122" customWidth="1"/>
    <col min="520" max="520" width="2.42666666666667" style="122" customWidth="1"/>
    <col min="521" max="521" width="9.85333333333333" style="122" customWidth="1"/>
    <col min="522" max="522" width="2" style="122" customWidth="1"/>
    <col min="523" max="523" width="14.8533333333333" style="122" customWidth="1"/>
    <col min="524" max="524" width="2.42666666666667" style="122" customWidth="1"/>
    <col min="525" max="525" width="9.85333333333333" style="122" customWidth="1"/>
    <col min="526" max="526" width="2" style="122" customWidth="1"/>
    <col min="527" max="527" width="14.8533333333333" style="122" customWidth="1"/>
    <col min="528" max="769" width="8.71333333333333" style="122"/>
    <col min="770" max="770" width="1.42666666666667" style="122" customWidth="1"/>
    <col min="771" max="771" width="14.8533333333333" style="122" customWidth="1"/>
    <col min="772" max="772" width="1.85333333333333" style="122" customWidth="1"/>
    <col min="773" max="773" width="8.71333333333333" style="122"/>
    <col min="774" max="774" width="1.57333333333333" style="122" customWidth="1"/>
    <col min="775" max="775" width="14.8533333333333" style="122" customWidth="1"/>
    <col min="776" max="776" width="2.42666666666667" style="122" customWidth="1"/>
    <col min="777" max="777" width="9.85333333333333" style="122" customWidth="1"/>
    <col min="778" max="778" width="2" style="122" customWidth="1"/>
    <col min="779" max="779" width="14.8533333333333" style="122" customWidth="1"/>
    <col min="780" max="780" width="2.42666666666667" style="122" customWidth="1"/>
    <col min="781" max="781" width="9.85333333333333" style="122" customWidth="1"/>
    <col min="782" max="782" width="2" style="122" customWidth="1"/>
    <col min="783" max="783" width="14.8533333333333" style="122" customWidth="1"/>
    <col min="784" max="1025" width="8.71333333333333" style="122"/>
    <col min="1026" max="1026" width="1.42666666666667" style="122" customWidth="1"/>
    <col min="1027" max="1027" width="14.8533333333333" style="122" customWidth="1"/>
    <col min="1028" max="1028" width="1.85333333333333" style="122" customWidth="1"/>
    <col min="1029" max="1029" width="8.71333333333333" style="122"/>
    <col min="1030" max="1030" width="1.57333333333333" style="122" customWidth="1"/>
    <col min="1031" max="1031" width="14.8533333333333" style="122" customWidth="1"/>
    <col min="1032" max="1032" width="2.42666666666667" style="122" customWidth="1"/>
    <col min="1033" max="1033" width="9.85333333333333" style="122" customWidth="1"/>
    <col min="1034" max="1034" width="2" style="122" customWidth="1"/>
    <col min="1035" max="1035" width="14.8533333333333" style="122" customWidth="1"/>
    <col min="1036" max="1036" width="2.42666666666667" style="122" customWidth="1"/>
    <col min="1037" max="1037" width="9.85333333333333" style="122" customWidth="1"/>
    <col min="1038" max="1038" width="2" style="122" customWidth="1"/>
    <col min="1039" max="1039" width="14.8533333333333" style="122" customWidth="1"/>
    <col min="1040" max="1281" width="8.71333333333333" style="122"/>
    <col min="1282" max="1282" width="1.42666666666667" style="122" customWidth="1"/>
    <col min="1283" max="1283" width="14.8533333333333" style="122" customWidth="1"/>
    <col min="1284" max="1284" width="1.85333333333333" style="122" customWidth="1"/>
    <col min="1285" max="1285" width="8.71333333333333" style="122"/>
    <col min="1286" max="1286" width="1.57333333333333" style="122" customWidth="1"/>
    <col min="1287" max="1287" width="14.8533333333333" style="122" customWidth="1"/>
    <col min="1288" max="1288" width="2.42666666666667" style="122" customWidth="1"/>
    <col min="1289" max="1289" width="9.85333333333333" style="122" customWidth="1"/>
    <col min="1290" max="1290" width="2" style="122" customWidth="1"/>
    <col min="1291" max="1291" width="14.8533333333333" style="122" customWidth="1"/>
    <col min="1292" max="1292" width="2.42666666666667" style="122" customWidth="1"/>
    <col min="1293" max="1293" width="9.85333333333333" style="122" customWidth="1"/>
    <col min="1294" max="1294" width="2" style="122" customWidth="1"/>
    <col min="1295" max="1295" width="14.8533333333333" style="122" customWidth="1"/>
    <col min="1296" max="1537" width="8.71333333333333" style="122"/>
    <col min="1538" max="1538" width="1.42666666666667" style="122" customWidth="1"/>
    <col min="1539" max="1539" width="14.8533333333333" style="122" customWidth="1"/>
    <col min="1540" max="1540" width="1.85333333333333" style="122" customWidth="1"/>
    <col min="1541" max="1541" width="8.71333333333333" style="122"/>
    <col min="1542" max="1542" width="1.57333333333333" style="122" customWidth="1"/>
    <col min="1543" max="1543" width="14.8533333333333" style="122" customWidth="1"/>
    <col min="1544" max="1544" width="2.42666666666667" style="122" customWidth="1"/>
    <col min="1545" max="1545" width="9.85333333333333" style="122" customWidth="1"/>
    <col min="1546" max="1546" width="2" style="122" customWidth="1"/>
    <col min="1547" max="1547" width="14.8533333333333" style="122" customWidth="1"/>
    <col min="1548" max="1548" width="2.42666666666667" style="122" customWidth="1"/>
    <col min="1549" max="1549" width="9.85333333333333" style="122" customWidth="1"/>
    <col min="1550" max="1550" width="2" style="122" customWidth="1"/>
    <col min="1551" max="1551" width="14.8533333333333" style="122" customWidth="1"/>
    <col min="1552" max="1793" width="8.71333333333333" style="122"/>
    <col min="1794" max="1794" width="1.42666666666667" style="122" customWidth="1"/>
    <col min="1795" max="1795" width="14.8533333333333" style="122" customWidth="1"/>
    <col min="1796" max="1796" width="1.85333333333333" style="122" customWidth="1"/>
    <col min="1797" max="1797" width="8.71333333333333" style="122"/>
    <col min="1798" max="1798" width="1.57333333333333" style="122" customWidth="1"/>
    <col min="1799" max="1799" width="14.8533333333333" style="122" customWidth="1"/>
    <col min="1800" max="1800" width="2.42666666666667" style="122" customWidth="1"/>
    <col min="1801" max="1801" width="9.85333333333333" style="122" customWidth="1"/>
    <col min="1802" max="1802" width="2" style="122" customWidth="1"/>
    <col min="1803" max="1803" width="14.8533333333333" style="122" customWidth="1"/>
    <col min="1804" max="1804" width="2.42666666666667" style="122" customWidth="1"/>
    <col min="1805" max="1805" width="9.85333333333333" style="122" customWidth="1"/>
    <col min="1806" max="1806" width="2" style="122" customWidth="1"/>
    <col min="1807" max="1807" width="14.8533333333333" style="122" customWidth="1"/>
    <col min="1808" max="2049" width="8.71333333333333" style="122"/>
    <col min="2050" max="2050" width="1.42666666666667" style="122" customWidth="1"/>
    <col min="2051" max="2051" width="14.8533333333333" style="122" customWidth="1"/>
    <col min="2052" max="2052" width="1.85333333333333" style="122" customWidth="1"/>
    <col min="2053" max="2053" width="8.71333333333333" style="122"/>
    <col min="2054" max="2054" width="1.57333333333333" style="122" customWidth="1"/>
    <col min="2055" max="2055" width="14.8533333333333" style="122" customWidth="1"/>
    <col min="2056" max="2056" width="2.42666666666667" style="122" customWidth="1"/>
    <col min="2057" max="2057" width="9.85333333333333" style="122" customWidth="1"/>
    <col min="2058" max="2058" width="2" style="122" customWidth="1"/>
    <col min="2059" max="2059" width="14.8533333333333" style="122" customWidth="1"/>
    <col min="2060" max="2060" width="2.42666666666667" style="122" customWidth="1"/>
    <col min="2061" max="2061" width="9.85333333333333" style="122" customWidth="1"/>
    <col min="2062" max="2062" width="2" style="122" customWidth="1"/>
    <col min="2063" max="2063" width="14.8533333333333" style="122" customWidth="1"/>
    <col min="2064" max="2305" width="8.71333333333333" style="122"/>
    <col min="2306" max="2306" width="1.42666666666667" style="122" customWidth="1"/>
    <col min="2307" max="2307" width="14.8533333333333" style="122" customWidth="1"/>
    <col min="2308" max="2308" width="1.85333333333333" style="122" customWidth="1"/>
    <col min="2309" max="2309" width="8.71333333333333" style="122"/>
    <col min="2310" max="2310" width="1.57333333333333" style="122" customWidth="1"/>
    <col min="2311" max="2311" width="14.8533333333333" style="122" customWidth="1"/>
    <col min="2312" max="2312" width="2.42666666666667" style="122" customWidth="1"/>
    <col min="2313" max="2313" width="9.85333333333333" style="122" customWidth="1"/>
    <col min="2314" max="2314" width="2" style="122" customWidth="1"/>
    <col min="2315" max="2315" width="14.8533333333333" style="122" customWidth="1"/>
    <col min="2316" max="2316" width="2.42666666666667" style="122" customWidth="1"/>
    <col min="2317" max="2317" width="9.85333333333333" style="122" customWidth="1"/>
    <col min="2318" max="2318" width="2" style="122" customWidth="1"/>
    <col min="2319" max="2319" width="14.8533333333333" style="122" customWidth="1"/>
    <col min="2320" max="2561" width="8.71333333333333" style="122"/>
    <col min="2562" max="2562" width="1.42666666666667" style="122" customWidth="1"/>
    <col min="2563" max="2563" width="14.8533333333333" style="122" customWidth="1"/>
    <col min="2564" max="2564" width="1.85333333333333" style="122" customWidth="1"/>
    <col min="2565" max="2565" width="8.71333333333333" style="122"/>
    <col min="2566" max="2566" width="1.57333333333333" style="122" customWidth="1"/>
    <col min="2567" max="2567" width="14.8533333333333" style="122" customWidth="1"/>
    <col min="2568" max="2568" width="2.42666666666667" style="122" customWidth="1"/>
    <col min="2569" max="2569" width="9.85333333333333" style="122" customWidth="1"/>
    <col min="2570" max="2570" width="2" style="122" customWidth="1"/>
    <col min="2571" max="2571" width="14.8533333333333" style="122" customWidth="1"/>
    <col min="2572" max="2572" width="2.42666666666667" style="122" customWidth="1"/>
    <col min="2573" max="2573" width="9.85333333333333" style="122" customWidth="1"/>
    <col min="2574" max="2574" width="2" style="122" customWidth="1"/>
    <col min="2575" max="2575" width="14.8533333333333" style="122" customWidth="1"/>
    <col min="2576" max="2817" width="8.71333333333333" style="122"/>
    <col min="2818" max="2818" width="1.42666666666667" style="122" customWidth="1"/>
    <col min="2819" max="2819" width="14.8533333333333" style="122" customWidth="1"/>
    <col min="2820" max="2820" width="1.85333333333333" style="122" customWidth="1"/>
    <col min="2821" max="2821" width="8.71333333333333" style="122"/>
    <col min="2822" max="2822" width="1.57333333333333" style="122" customWidth="1"/>
    <col min="2823" max="2823" width="14.8533333333333" style="122" customWidth="1"/>
    <col min="2824" max="2824" width="2.42666666666667" style="122" customWidth="1"/>
    <col min="2825" max="2825" width="9.85333333333333" style="122" customWidth="1"/>
    <col min="2826" max="2826" width="2" style="122" customWidth="1"/>
    <col min="2827" max="2827" width="14.8533333333333" style="122" customWidth="1"/>
    <col min="2828" max="2828" width="2.42666666666667" style="122" customWidth="1"/>
    <col min="2829" max="2829" width="9.85333333333333" style="122" customWidth="1"/>
    <col min="2830" max="2830" width="2" style="122" customWidth="1"/>
    <col min="2831" max="2831" width="14.8533333333333" style="122" customWidth="1"/>
    <col min="2832" max="3073" width="8.71333333333333" style="122"/>
    <col min="3074" max="3074" width="1.42666666666667" style="122" customWidth="1"/>
    <col min="3075" max="3075" width="14.8533333333333" style="122" customWidth="1"/>
    <col min="3076" max="3076" width="1.85333333333333" style="122" customWidth="1"/>
    <col min="3077" max="3077" width="8.71333333333333" style="122"/>
    <col min="3078" max="3078" width="1.57333333333333" style="122" customWidth="1"/>
    <col min="3079" max="3079" width="14.8533333333333" style="122" customWidth="1"/>
    <col min="3080" max="3080" width="2.42666666666667" style="122" customWidth="1"/>
    <col min="3081" max="3081" width="9.85333333333333" style="122" customWidth="1"/>
    <col min="3082" max="3082" width="2" style="122" customWidth="1"/>
    <col min="3083" max="3083" width="14.8533333333333" style="122" customWidth="1"/>
    <col min="3084" max="3084" width="2.42666666666667" style="122" customWidth="1"/>
    <col min="3085" max="3085" width="9.85333333333333" style="122" customWidth="1"/>
    <col min="3086" max="3086" width="2" style="122" customWidth="1"/>
    <col min="3087" max="3087" width="14.8533333333333" style="122" customWidth="1"/>
    <col min="3088" max="3329" width="8.71333333333333" style="122"/>
    <col min="3330" max="3330" width="1.42666666666667" style="122" customWidth="1"/>
    <col min="3331" max="3331" width="14.8533333333333" style="122" customWidth="1"/>
    <col min="3332" max="3332" width="1.85333333333333" style="122" customWidth="1"/>
    <col min="3333" max="3333" width="8.71333333333333" style="122"/>
    <col min="3334" max="3334" width="1.57333333333333" style="122" customWidth="1"/>
    <col min="3335" max="3335" width="14.8533333333333" style="122" customWidth="1"/>
    <col min="3336" max="3336" width="2.42666666666667" style="122" customWidth="1"/>
    <col min="3337" max="3337" width="9.85333333333333" style="122" customWidth="1"/>
    <col min="3338" max="3338" width="2" style="122" customWidth="1"/>
    <col min="3339" max="3339" width="14.8533333333333" style="122" customWidth="1"/>
    <col min="3340" max="3340" width="2.42666666666667" style="122" customWidth="1"/>
    <col min="3341" max="3341" width="9.85333333333333" style="122" customWidth="1"/>
    <col min="3342" max="3342" width="2" style="122" customWidth="1"/>
    <col min="3343" max="3343" width="14.8533333333333" style="122" customWidth="1"/>
    <col min="3344" max="3585" width="8.71333333333333" style="122"/>
    <col min="3586" max="3586" width="1.42666666666667" style="122" customWidth="1"/>
    <col min="3587" max="3587" width="14.8533333333333" style="122" customWidth="1"/>
    <col min="3588" max="3588" width="1.85333333333333" style="122" customWidth="1"/>
    <col min="3589" max="3589" width="8.71333333333333" style="122"/>
    <col min="3590" max="3590" width="1.57333333333333" style="122" customWidth="1"/>
    <col min="3591" max="3591" width="14.8533333333333" style="122" customWidth="1"/>
    <col min="3592" max="3592" width="2.42666666666667" style="122" customWidth="1"/>
    <col min="3593" max="3593" width="9.85333333333333" style="122" customWidth="1"/>
    <col min="3594" max="3594" width="2" style="122" customWidth="1"/>
    <col min="3595" max="3595" width="14.8533333333333" style="122" customWidth="1"/>
    <col min="3596" max="3596" width="2.42666666666667" style="122" customWidth="1"/>
    <col min="3597" max="3597" width="9.85333333333333" style="122" customWidth="1"/>
    <col min="3598" max="3598" width="2" style="122" customWidth="1"/>
    <col min="3599" max="3599" width="14.8533333333333" style="122" customWidth="1"/>
    <col min="3600" max="3841" width="8.71333333333333" style="122"/>
    <col min="3842" max="3842" width="1.42666666666667" style="122" customWidth="1"/>
    <col min="3843" max="3843" width="14.8533333333333" style="122" customWidth="1"/>
    <col min="3844" max="3844" width="1.85333333333333" style="122" customWidth="1"/>
    <col min="3845" max="3845" width="8.71333333333333" style="122"/>
    <col min="3846" max="3846" width="1.57333333333333" style="122" customWidth="1"/>
    <col min="3847" max="3847" width="14.8533333333333" style="122" customWidth="1"/>
    <col min="3848" max="3848" width="2.42666666666667" style="122" customWidth="1"/>
    <col min="3849" max="3849" width="9.85333333333333" style="122" customWidth="1"/>
    <col min="3850" max="3850" width="2" style="122" customWidth="1"/>
    <col min="3851" max="3851" width="14.8533333333333" style="122" customWidth="1"/>
    <col min="3852" max="3852" width="2.42666666666667" style="122" customWidth="1"/>
    <col min="3853" max="3853" width="9.85333333333333" style="122" customWidth="1"/>
    <col min="3854" max="3854" width="2" style="122" customWidth="1"/>
    <col min="3855" max="3855" width="14.8533333333333" style="122" customWidth="1"/>
    <col min="3856" max="4097" width="8.71333333333333" style="122"/>
    <col min="4098" max="4098" width="1.42666666666667" style="122" customWidth="1"/>
    <col min="4099" max="4099" width="14.8533333333333" style="122" customWidth="1"/>
    <col min="4100" max="4100" width="1.85333333333333" style="122" customWidth="1"/>
    <col min="4101" max="4101" width="8.71333333333333" style="122"/>
    <col min="4102" max="4102" width="1.57333333333333" style="122" customWidth="1"/>
    <col min="4103" max="4103" width="14.8533333333333" style="122" customWidth="1"/>
    <col min="4104" max="4104" width="2.42666666666667" style="122" customWidth="1"/>
    <col min="4105" max="4105" width="9.85333333333333" style="122" customWidth="1"/>
    <col min="4106" max="4106" width="2" style="122" customWidth="1"/>
    <col min="4107" max="4107" width="14.8533333333333" style="122" customWidth="1"/>
    <col min="4108" max="4108" width="2.42666666666667" style="122" customWidth="1"/>
    <col min="4109" max="4109" width="9.85333333333333" style="122" customWidth="1"/>
    <col min="4110" max="4110" width="2" style="122" customWidth="1"/>
    <col min="4111" max="4111" width="14.8533333333333" style="122" customWidth="1"/>
    <col min="4112" max="4353" width="8.71333333333333" style="122"/>
    <col min="4354" max="4354" width="1.42666666666667" style="122" customWidth="1"/>
    <col min="4355" max="4355" width="14.8533333333333" style="122" customWidth="1"/>
    <col min="4356" max="4356" width="1.85333333333333" style="122" customWidth="1"/>
    <col min="4357" max="4357" width="8.71333333333333" style="122"/>
    <col min="4358" max="4358" width="1.57333333333333" style="122" customWidth="1"/>
    <col min="4359" max="4359" width="14.8533333333333" style="122" customWidth="1"/>
    <col min="4360" max="4360" width="2.42666666666667" style="122" customWidth="1"/>
    <col min="4361" max="4361" width="9.85333333333333" style="122" customWidth="1"/>
    <col min="4362" max="4362" width="2" style="122" customWidth="1"/>
    <col min="4363" max="4363" width="14.8533333333333" style="122" customWidth="1"/>
    <col min="4364" max="4364" width="2.42666666666667" style="122" customWidth="1"/>
    <col min="4365" max="4365" width="9.85333333333333" style="122" customWidth="1"/>
    <col min="4366" max="4366" width="2" style="122" customWidth="1"/>
    <col min="4367" max="4367" width="14.8533333333333" style="122" customWidth="1"/>
    <col min="4368" max="4609" width="8.71333333333333" style="122"/>
    <col min="4610" max="4610" width="1.42666666666667" style="122" customWidth="1"/>
    <col min="4611" max="4611" width="14.8533333333333" style="122" customWidth="1"/>
    <col min="4612" max="4612" width="1.85333333333333" style="122" customWidth="1"/>
    <col min="4613" max="4613" width="8.71333333333333" style="122"/>
    <col min="4614" max="4614" width="1.57333333333333" style="122" customWidth="1"/>
    <col min="4615" max="4615" width="14.8533333333333" style="122" customWidth="1"/>
    <col min="4616" max="4616" width="2.42666666666667" style="122" customWidth="1"/>
    <col min="4617" max="4617" width="9.85333333333333" style="122" customWidth="1"/>
    <col min="4618" max="4618" width="2" style="122" customWidth="1"/>
    <col min="4619" max="4619" width="14.8533333333333" style="122" customWidth="1"/>
    <col min="4620" max="4620" width="2.42666666666667" style="122" customWidth="1"/>
    <col min="4621" max="4621" width="9.85333333333333" style="122" customWidth="1"/>
    <col min="4622" max="4622" width="2" style="122" customWidth="1"/>
    <col min="4623" max="4623" width="14.8533333333333" style="122" customWidth="1"/>
    <col min="4624" max="4865" width="8.71333333333333" style="122"/>
    <col min="4866" max="4866" width="1.42666666666667" style="122" customWidth="1"/>
    <col min="4867" max="4867" width="14.8533333333333" style="122" customWidth="1"/>
    <col min="4868" max="4868" width="1.85333333333333" style="122" customWidth="1"/>
    <col min="4869" max="4869" width="8.71333333333333" style="122"/>
    <col min="4870" max="4870" width="1.57333333333333" style="122" customWidth="1"/>
    <col min="4871" max="4871" width="14.8533333333333" style="122" customWidth="1"/>
    <col min="4872" max="4872" width="2.42666666666667" style="122" customWidth="1"/>
    <col min="4873" max="4873" width="9.85333333333333" style="122" customWidth="1"/>
    <col min="4874" max="4874" width="2" style="122" customWidth="1"/>
    <col min="4875" max="4875" width="14.8533333333333" style="122" customWidth="1"/>
    <col min="4876" max="4876" width="2.42666666666667" style="122" customWidth="1"/>
    <col min="4877" max="4877" width="9.85333333333333" style="122" customWidth="1"/>
    <col min="4878" max="4878" width="2" style="122" customWidth="1"/>
    <col min="4879" max="4879" width="14.8533333333333" style="122" customWidth="1"/>
    <col min="4880" max="5121" width="8.71333333333333" style="122"/>
    <col min="5122" max="5122" width="1.42666666666667" style="122" customWidth="1"/>
    <col min="5123" max="5123" width="14.8533333333333" style="122" customWidth="1"/>
    <col min="5124" max="5124" width="1.85333333333333" style="122" customWidth="1"/>
    <col min="5125" max="5125" width="8.71333333333333" style="122"/>
    <col min="5126" max="5126" width="1.57333333333333" style="122" customWidth="1"/>
    <col min="5127" max="5127" width="14.8533333333333" style="122" customWidth="1"/>
    <col min="5128" max="5128" width="2.42666666666667" style="122" customWidth="1"/>
    <col min="5129" max="5129" width="9.85333333333333" style="122" customWidth="1"/>
    <col min="5130" max="5130" width="2" style="122" customWidth="1"/>
    <col min="5131" max="5131" width="14.8533333333333" style="122" customWidth="1"/>
    <col min="5132" max="5132" width="2.42666666666667" style="122" customWidth="1"/>
    <col min="5133" max="5133" width="9.85333333333333" style="122" customWidth="1"/>
    <col min="5134" max="5134" width="2" style="122" customWidth="1"/>
    <col min="5135" max="5135" width="14.8533333333333" style="122" customWidth="1"/>
    <col min="5136" max="5377" width="8.71333333333333" style="122"/>
    <col min="5378" max="5378" width="1.42666666666667" style="122" customWidth="1"/>
    <col min="5379" max="5379" width="14.8533333333333" style="122" customWidth="1"/>
    <col min="5380" max="5380" width="1.85333333333333" style="122" customWidth="1"/>
    <col min="5381" max="5381" width="8.71333333333333" style="122"/>
    <col min="5382" max="5382" width="1.57333333333333" style="122" customWidth="1"/>
    <col min="5383" max="5383" width="14.8533333333333" style="122" customWidth="1"/>
    <col min="5384" max="5384" width="2.42666666666667" style="122" customWidth="1"/>
    <col min="5385" max="5385" width="9.85333333333333" style="122" customWidth="1"/>
    <col min="5386" max="5386" width="2" style="122" customWidth="1"/>
    <col min="5387" max="5387" width="14.8533333333333" style="122" customWidth="1"/>
    <col min="5388" max="5388" width="2.42666666666667" style="122" customWidth="1"/>
    <col min="5389" max="5389" width="9.85333333333333" style="122" customWidth="1"/>
    <col min="5390" max="5390" width="2" style="122" customWidth="1"/>
    <col min="5391" max="5391" width="14.8533333333333" style="122" customWidth="1"/>
    <col min="5392" max="5633" width="8.71333333333333" style="122"/>
    <col min="5634" max="5634" width="1.42666666666667" style="122" customWidth="1"/>
    <col min="5635" max="5635" width="14.8533333333333" style="122" customWidth="1"/>
    <col min="5636" max="5636" width="1.85333333333333" style="122" customWidth="1"/>
    <col min="5637" max="5637" width="8.71333333333333" style="122"/>
    <col min="5638" max="5638" width="1.57333333333333" style="122" customWidth="1"/>
    <col min="5639" max="5639" width="14.8533333333333" style="122" customWidth="1"/>
    <col min="5640" max="5640" width="2.42666666666667" style="122" customWidth="1"/>
    <col min="5641" max="5641" width="9.85333333333333" style="122" customWidth="1"/>
    <col min="5642" max="5642" width="2" style="122" customWidth="1"/>
    <col min="5643" max="5643" width="14.8533333333333" style="122" customWidth="1"/>
    <col min="5644" max="5644" width="2.42666666666667" style="122" customWidth="1"/>
    <col min="5645" max="5645" width="9.85333333333333" style="122" customWidth="1"/>
    <col min="5646" max="5646" width="2" style="122" customWidth="1"/>
    <col min="5647" max="5647" width="14.8533333333333" style="122" customWidth="1"/>
    <col min="5648" max="5889" width="8.71333333333333" style="122"/>
    <col min="5890" max="5890" width="1.42666666666667" style="122" customWidth="1"/>
    <col min="5891" max="5891" width="14.8533333333333" style="122" customWidth="1"/>
    <col min="5892" max="5892" width="1.85333333333333" style="122" customWidth="1"/>
    <col min="5893" max="5893" width="8.71333333333333" style="122"/>
    <col min="5894" max="5894" width="1.57333333333333" style="122" customWidth="1"/>
    <col min="5895" max="5895" width="14.8533333333333" style="122" customWidth="1"/>
    <col min="5896" max="5896" width="2.42666666666667" style="122" customWidth="1"/>
    <col min="5897" max="5897" width="9.85333333333333" style="122" customWidth="1"/>
    <col min="5898" max="5898" width="2" style="122" customWidth="1"/>
    <col min="5899" max="5899" width="14.8533333333333" style="122" customWidth="1"/>
    <col min="5900" max="5900" width="2.42666666666667" style="122" customWidth="1"/>
    <col min="5901" max="5901" width="9.85333333333333" style="122" customWidth="1"/>
    <col min="5902" max="5902" width="2" style="122" customWidth="1"/>
    <col min="5903" max="5903" width="14.8533333333333" style="122" customWidth="1"/>
    <col min="5904" max="6145" width="8.71333333333333" style="122"/>
    <col min="6146" max="6146" width="1.42666666666667" style="122" customWidth="1"/>
    <col min="6147" max="6147" width="14.8533333333333" style="122" customWidth="1"/>
    <col min="6148" max="6148" width="1.85333333333333" style="122" customWidth="1"/>
    <col min="6149" max="6149" width="8.71333333333333" style="122"/>
    <col min="6150" max="6150" width="1.57333333333333" style="122" customWidth="1"/>
    <col min="6151" max="6151" width="14.8533333333333" style="122" customWidth="1"/>
    <col min="6152" max="6152" width="2.42666666666667" style="122" customWidth="1"/>
    <col min="6153" max="6153" width="9.85333333333333" style="122" customWidth="1"/>
    <col min="6154" max="6154" width="2" style="122" customWidth="1"/>
    <col min="6155" max="6155" width="14.8533333333333" style="122" customWidth="1"/>
    <col min="6156" max="6156" width="2.42666666666667" style="122" customWidth="1"/>
    <col min="6157" max="6157" width="9.85333333333333" style="122" customWidth="1"/>
    <col min="6158" max="6158" width="2" style="122" customWidth="1"/>
    <col min="6159" max="6159" width="14.8533333333333" style="122" customWidth="1"/>
    <col min="6160" max="6401" width="8.71333333333333" style="122"/>
    <col min="6402" max="6402" width="1.42666666666667" style="122" customWidth="1"/>
    <col min="6403" max="6403" width="14.8533333333333" style="122" customWidth="1"/>
    <col min="6404" max="6404" width="1.85333333333333" style="122" customWidth="1"/>
    <col min="6405" max="6405" width="8.71333333333333" style="122"/>
    <col min="6406" max="6406" width="1.57333333333333" style="122" customWidth="1"/>
    <col min="6407" max="6407" width="14.8533333333333" style="122" customWidth="1"/>
    <col min="6408" max="6408" width="2.42666666666667" style="122" customWidth="1"/>
    <col min="6409" max="6409" width="9.85333333333333" style="122" customWidth="1"/>
    <col min="6410" max="6410" width="2" style="122" customWidth="1"/>
    <col min="6411" max="6411" width="14.8533333333333" style="122" customWidth="1"/>
    <col min="6412" max="6412" width="2.42666666666667" style="122" customWidth="1"/>
    <col min="6413" max="6413" width="9.85333333333333" style="122" customWidth="1"/>
    <col min="6414" max="6414" width="2" style="122" customWidth="1"/>
    <col min="6415" max="6415" width="14.8533333333333" style="122" customWidth="1"/>
    <col min="6416" max="6657" width="8.71333333333333" style="122"/>
    <col min="6658" max="6658" width="1.42666666666667" style="122" customWidth="1"/>
    <col min="6659" max="6659" width="14.8533333333333" style="122" customWidth="1"/>
    <col min="6660" max="6660" width="1.85333333333333" style="122" customWidth="1"/>
    <col min="6661" max="6661" width="8.71333333333333" style="122"/>
    <col min="6662" max="6662" width="1.57333333333333" style="122" customWidth="1"/>
    <col min="6663" max="6663" width="14.8533333333333" style="122" customWidth="1"/>
    <col min="6664" max="6664" width="2.42666666666667" style="122" customWidth="1"/>
    <col min="6665" max="6665" width="9.85333333333333" style="122" customWidth="1"/>
    <col min="6666" max="6666" width="2" style="122" customWidth="1"/>
    <col min="6667" max="6667" width="14.8533333333333" style="122" customWidth="1"/>
    <col min="6668" max="6668" width="2.42666666666667" style="122" customWidth="1"/>
    <col min="6669" max="6669" width="9.85333333333333" style="122" customWidth="1"/>
    <col min="6670" max="6670" width="2" style="122" customWidth="1"/>
    <col min="6671" max="6671" width="14.8533333333333" style="122" customWidth="1"/>
    <col min="6672" max="6913" width="8.71333333333333" style="122"/>
    <col min="6914" max="6914" width="1.42666666666667" style="122" customWidth="1"/>
    <col min="6915" max="6915" width="14.8533333333333" style="122" customWidth="1"/>
    <col min="6916" max="6916" width="1.85333333333333" style="122" customWidth="1"/>
    <col min="6917" max="6917" width="8.71333333333333" style="122"/>
    <col min="6918" max="6918" width="1.57333333333333" style="122" customWidth="1"/>
    <col min="6919" max="6919" width="14.8533333333333" style="122" customWidth="1"/>
    <col min="6920" max="6920" width="2.42666666666667" style="122" customWidth="1"/>
    <col min="6921" max="6921" width="9.85333333333333" style="122" customWidth="1"/>
    <col min="6922" max="6922" width="2" style="122" customWidth="1"/>
    <col min="6923" max="6923" width="14.8533333333333" style="122" customWidth="1"/>
    <col min="6924" max="6924" width="2.42666666666667" style="122" customWidth="1"/>
    <col min="6925" max="6925" width="9.85333333333333" style="122" customWidth="1"/>
    <col min="6926" max="6926" width="2" style="122" customWidth="1"/>
    <col min="6927" max="6927" width="14.8533333333333" style="122" customWidth="1"/>
    <col min="6928" max="7169" width="8.71333333333333" style="122"/>
    <col min="7170" max="7170" width="1.42666666666667" style="122" customWidth="1"/>
    <col min="7171" max="7171" width="14.8533333333333" style="122" customWidth="1"/>
    <col min="7172" max="7172" width="1.85333333333333" style="122" customWidth="1"/>
    <col min="7173" max="7173" width="8.71333333333333" style="122"/>
    <col min="7174" max="7174" width="1.57333333333333" style="122" customWidth="1"/>
    <col min="7175" max="7175" width="14.8533333333333" style="122" customWidth="1"/>
    <col min="7176" max="7176" width="2.42666666666667" style="122" customWidth="1"/>
    <col min="7177" max="7177" width="9.85333333333333" style="122" customWidth="1"/>
    <col min="7178" max="7178" width="2" style="122" customWidth="1"/>
    <col min="7179" max="7179" width="14.8533333333333" style="122" customWidth="1"/>
    <col min="7180" max="7180" width="2.42666666666667" style="122" customWidth="1"/>
    <col min="7181" max="7181" width="9.85333333333333" style="122" customWidth="1"/>
    <col min="7182" max="7182" width="2" style="122" customWidth="1"/>
    <col min="7183" max="7183" width="14.8533333333333" style="122" customWidth="1"/>
    <col min="7184" max="7425" width="8.71333333333333" style="122"/>
    <col min="7426" max="7426" width="1.42666666666667" style="122" customWidth="1"/>
    <col min="7427" max="7427" width="14.8533333333333" style="122" customWidth="1"/>
    <col min="7428" max="7428" width="1.85333333333333" style="122" customWidth="1"/>
    <col min="7429" max="7429" width="8.71333333333333" style="122"/>
    <col min="7430" max="7430" width="1.57333333333333" style="122" customWidth="1"/>
    <col min="7431" max="7431" width="14.8533333333333" style="122" customWidth="1"/>
    <col min="7432" max="7432" width="2.42666666666667" style="122" customWidth="1"/>
    <col min="7433" max="7433" width="9.85333333333333" style="122" customWidth="1"/>
    <col min="7434" max="7434" width="2" style="122" customWidth="1"/>
    <col min="7435" max="7435" width="14.8533333333333" style="122" customWidth="1"/>
    <col min="7436" max="7436" width="2.42666666666667" style="122" customWidth="1"/>
    <col min="7437" max="7437" width="9.85333333333333" style="122" customWidth="1"/>
    <col min="7438" max="7438" width="2" style="122" customWidth="1"/>
    <col min="7439" max="7439" width="14.8533333333333" style="122" customWidth="1"/>
    <col min="7440" max="7681" width="8.71333333333333" style="122"/>
    <col min="7682" max="7682" width="1.42666666666667" style="122" customWidth="1"/>
    <col min="7683" max="7683" width="14.8533333333333" style="122" customWidth="1"/>
    <col min="7684" max="7684" width="1.85333333333333" style="122" customWidth="1"/>
    <col min="7685" max="7685" width="8.71333333333333" style="122"/>
    <col min="7686" max="7686" width="1.57333333333333" style="122" customWidth="1"/>
    <col min="7687" max="7687" width="14.8533333333333" style="122" customWidth="1"/>
    <col min="7688" max="7688" width="2.42666666666667" style="122" customWidth="1"/>
    <col min="7689" max="7689" width="9.85333333333333" style="122" customWidth="1"/>
    <col min="7690" max="7690" width="2" style="122" customWidth="1"/>
    <col min="7691" max="7691" width="14.8533333333333" style="122" customWidth="1"/>
    <col min="7692" max="7692" width="2.42666666666667" style="122" customWidth="1"/>
    <col min="7693" max="7693" width="9.85333333333333" style="122" customWidth="1"/>
    <col min="7694" max="7694" width="2" style="122" customWidth="1"/>
    <col min="7695" max="7695" width="14.8533333333333" style="122" customWidth="1"/>
    <col min="7696" max="7937" width="8.71333333333333" style="122"/>
    <col min="7938" max="7938" width="1.42666666666667" style="122" customWidth="1"/>
    <col min="7939" max="7939" width="14.8533333333333" style="122" customWidth="1"/>
    <col min="7940" max="7940" width="1.85333333333333" style="122" customWidth="1"/>
    <col min="7941" max="7941" width="8.71333333333333" style="122"/>
    <col min="7942" max="7942" width="1.57333333333333" style="122" customWidth="1"/>
    <col min="7943" max="7943" width="14.8533333333333" style="122" customWidth="1"/>
    <col min="7944" max="7944" width="2.42666666666667" style="122" customWidth="1"/>
    <col min="7945" max="7945" width="9.85333333333333" style="122" customWidth="1"/>
    <col min="7946" max="7946" width="2" style="122" customWidth="1"/>
    <col min="7947" max="7947" width="14.8533333333333" style="122" customWidth="1"/>
    <col min="7948" max="7948" width="2.42666666666667" style="122" customWidth="1"/>
    <col min="7949" max="7949" width="9.85333333333333" style="122" customWidth="1"/>
    <col min="7950" max="7950" width="2" style="122" customWidth="1"/>
    <col min="7951" max="7951" width="14.8533333333333" style="122" customWidth="1"/>
    <col min="7952" max="8193" width="8.71333333333333" style="122"/>
    <col min="8194" max="8194" width="1.42666666666667" style="122" customWidth="1"/>
    <col min="8195" max="8195" width="14.8533333333333" style="122" customWidth="1"/>
    <col min="8196" max="8196" width="1.85333333333333" style="122" customWidth="1"/>
    <col min="8197" max="8197" width="8.71333333333333" style="122"/>
    <col min="8198" max="8198" width="1.57333333333333" style="122" customWidth="1"/>
    <col min="8199" max="8199" width="14.8533333333333" style="122" customWidth="1"/>
    <col min="8200" max="8200" width="2.42666666666667" style="122" customWidth="1"/>
    <col min="8201" max="8201" width="9.85333333333333" style="122" customWidth="1"/>
    <col min="8202" max="8202" width="2" style="122" customWidth="1"/>
    <col min="8203" max="8203" width="14.8533333333333" style="122" customWidth="1"/>
    <col min="8204" max="8204" width="2.42666666666667" style="122" customWidth="1"/>
    <col min="8205" max="8205" width="9.85333333333333" style="122" customWidth="1"/>
    <col min="8206" max="8206" width="2" style="122" customWidth="1"/>
    <col min="8207" max="8207" width="14.8533333333333" style="122" customWidth="1"/>
    <col min="8208" max="8449" width="8.71333333333333" style="122"/>
    <col min="8450" max="8450" width="1.42666666666667" style="122" customWidth="1"/>
    <col min="8451" max="8451" width="14.8533333333333" style="122" customWidth="1"/>
    <col min="8452" max="8452" width="1.85333333333333" style="122" customWidth="1"/>
    <col min="8453" max="8453" width="8.71333333333333" style="122"/>
    <col min="8454" max="8454" width="1.57333333333333" style="122" customWidth="1"/>
    <col min="8455" max="8455" width="14.8533333333333" style="122" customWidth="1"/>
    <col min="8456" max="8456" width="2.42666666666667" style="122" customWidth="1"/>
    <col min="8457" max="8457" width="9.85333333333333" style="122" customWidth="1"/>
    <col min="8458" max="8458" width="2" style="122" customWidth="1"/>
    <col min="8459" max="8459" width="14.8533333333333" style="122" customWidth="1"/>
    <col min="8460" max="8460" width="2.42666666666667" style="122" customWidth="1"/>
    <col min="8461" max="8461" width="9.85333333333333" style="122" customWidth="1"/>
    <col min="8462" max="8462" width="2" style="122" customWidth="1"/>
    <col min="8463" max="8463" width="14.8533333333333" style="122" customWidth="1"/>
    <col min="8464" max="8705" width="8.71333333333333" style="122"/>
    <col min="8706" max="8706" width="1.42666666666667" style="122" customWidth="1"/>
    <col min="8707" max="8707" width="14.8533333333333" style="122" customWidth="1"/>
    <col min="8708" max="8708" width="1.85333333333333" style="122" customWidth="1"/>
    <col min="8709" max="8709" width="8.71333333333333" style="122"/>
    <col min="8710" max="8710" width="1.57333333333333" style="122" customWidth="1"/>
    <col min="8711" max="8711" width="14.8533333333333" style="122" customWidth="1"/>
    <col min="8712" max="8712" width="2.42666666666667" style="122" customWidth="1"/>
    <col min="8713" max="8713" width="9.85333333333333" style="122" customWidth="1"/>
    <col min="8714" max="8714" width="2" style="122" customWidth="1"/>
    <col min="8715" max="8715" width="14.8533333333333" style="122" customWidth="1"/>
    <col min="8716" max="8716" width="2.42666666666667" style="122" customWidth="1"/>
    <col min="8717" max="8717" width="9.85333333333333" style="122" customWidth="1"/>
    <col min="8718" max="8718" width="2" style="122" customWidth="1"/>
    <col min="8719" max="8719" width="14.8533333333333" style="122" customWidth="1"/>
    <col min="8720" max="8961" width="8.71333333333333" style="122"/>
    <col min="8962" max="8962" width="1.42666666666667" style="122" customWidth="1"/>
    <col min="8963" max="8963" width="14.8533333333333" style="122" customWidth="1"/>
    <col min="8964" max="8964" width="1.85333333333333" style="122" customWidth="1"/>
    <col min="8965" max="8965" width="8.71333333333333" style="122"/>
    <col min="8966" max="8966" width="1.57333333333333" style="122" customWidth="1"/>
    <col min="8967" max="8967" width="14.8533333333333" style="122" customWidth="1"/>
    <col min="8968" max="8968" width="2.42666666666667" style="122" customWidth="1"/>
    <col min="8969" max="8969" width="9.85333333333333" style="122" customWidth="1"/>
    <col min="8970" max="8970" width="2" style="122" customWidth="1"/>
    <col min="8971" max="8971" width="14.8533333333333" style="122" customWidth="1"/>
    <col min="8972" max="8972" width="2.42666666666667" style="122" customWidth="1"/>
    <col min="8973" max="8973" width="9.85333333333333" style="122" customWidth="1"/>
    <col min="8974" max="8974" width="2" style="122" customWidth="1"/>
    <col min="8975" max="8975" width="14.8533333333333" style="122" customWidth="1"/>
    <col min="8976" max="9217" width="8.71333333333333" style="122"/>
    <col min="9218" max="9218" width="1.42666666666667" style="122" customWidth="1"/>
    <col min="9219" max="9219" width="14.8533333333333" style="122" customWidth="1"/>
    <col min="9220" max="9220" width="1.85333333333333" style="122" customWidth="1"/>
    <col min="9221" max="9221" width="8.71333333333333" style="122"/>
    <col min="9222" max="9222" width="1.57333333333333" style="122" customWidth="1"/>
    <col min="9223" max="9223" width="14.8533333333333" style="122" customWidth="1"/>
    <col min="9224" max="9224" width="2.42666666666667" style="122" customWidth="1"/>
    <col min="9225" max="9225" width="9.85333333333333" style="122" customWidth="1"/>
    <col min="9226" max="9226" width="2" style="122" customWidth="1"/>
    <col min="9227" max="9227" width="14.8533333333333" style="122" customWidth="1"/>
    <col min="9228" max="9228" width="2.42666666666667" style="122" customWidth="1"/>
    <col min="9229" max="9229" width="9.85333333333333" style="122" customWidth="1"/>
    <col min="9230" max="9230" width="2" style="122" customWidth="1"/>
    <col min="9231" max="9231" width="14.8533333333333" style="122" customWidth="1"/>
    <col min="9232" max="9473" width="8.71333333333333" style="122"/>
    <col min="9474" max="9474" width="1.42666666666667" style="122" customWidth="1"/>
    <col min="9475" max="9475" width="14.8533333333333" style="122" customWidth="1"/>
    <col min="9476" max="9476" width="1.85333333333333" style="122" customWidth="1"/>
    <col min="9477" max="9477" width="8.71333333333333" style="122"/>
    <col min="9478" max="9478" width="1.57333333333333" style="122" customWidth="1"/>
    <col min="9479" max="9479" width="14.8533333333333" style="122" customWidth="1"/>
    <col min="9480" max="9480" width="2.42666666666667" style="122" customWidth="1"/>
    <col min="9481" max="9481" width="9.85333333333333" style="122" customWidth="1"/>
    <col min="9482" max="9482" width="2" style="122" customWidth="1"/>
    <col min="9483" max="9483" width="14.8533333333333" style="122" customWidth="1"/>
    <col min="9484" max="9484" width="2.42666666666667" style="122" customWidth="1"/>
    <col min="9485" max="9485" width="9.85333333333333" style="122" customWidth="1"/>
    <col min="9486" max="9486" width="2" style="122" customWidth="1"/>
    <col min="9487" max="9487" width="14.8533333333333" style="122" customWidth="1"/>
    <col min="9488" max="9729" width="8.71333333333333" style="122"/>
    <col min="9730" max="9730" width="1.42666666666667" style="122" customWidth="1"/>
    <col min="9731" max="9731" width="14.8533333333333" style="122" customWidth="1"/>
    <col min="9732" max="9732" width="1.85333333333333" style="122" customWidth="1"/>
    <col min="9733" max="9733" width="8.71333333333333" style="122"/>
    <col min="9734" max="9734" width="1.57333333333333" style="122" customWidth="1"/>
    <col min="9735" max="9735" width="14.8533333333333" style="122" customWidth="1"/>
    <col min="9736" max="9736" width="2.42666666666667" style="122" customWidth="1"/>
    <col min="9737" max="9737" width="9.85333333333333" style="122" customWidth="1"/>
    <col min="9738" max="9738" width="2" style="122" customWidth="1"/>
    <col min="9739" max="9739" width="14.8533333333333" style="122" customWidth="1"/>
    <col min="9740" max="9740" width="2.42666666666667" style="122" customWidth="1"/>
    <col min="9741" max="9741" width="9.85333333333333" style="122" customWidth="1"/>
    <col min="9742" max="9742" width="2" style="122" customWidth="1"/>
    <col min="9743" max="9743" width="14.8533333333333" style="122" customWidth="1"/>
    <col min="9744" max="9985" width="8.71333333333333" style="122"/>
    <col min="9986" max="9986" width="1.42666666666667" style="122" customWidth="1"/>
    <col min="9987" max="9987" width="14.8533333333333" style="122" customWidth="1"/>
    <col min="9988" max="9988" width="1.85333333333333" style="122" customWidth="1"/>
    <col min="9989" max="9989" width="8.71333333333333" style="122"/>
    <col min="9990" max="9990" width="1.57333333333333" style="122" customWidth="1"/>
    <col min="9991" max="9991" width="14.8533333333333" style="122" customWidth="1"/>
    <col min="9992" max="9992" width="2.42666666666667" style="122" customWidth="1"/>
    <col min="9993" max="9993" width="9.85333333333333" style="122" customWidth="1"/>
    <col min="9994" max="9994" width="2" style="122" customWidth="1"/>
    <col min="9995" max="9995" width="14.8533333333333" style="122" customWidth="1"/>
    <col min="9996" max="9996" width="2.42666666666667" style="122" customWidth="1"/>
    <col min="9997" max="9997" width="9.85333333333333" style="122" customWidth="1"/>
    <col min="9998" max="9998" width="2" style="122" customWidth="1"/>
    <col min="9999" max="9999" width="14.8533333333333" style="122" customWidth="1"/>
    <col min="10000" max="10241" width="8.71333333333333" style="122"/>
    <col min="10242" max="10242" width="1.42666666666667" style="122" customWidth="1"/>
    <col min="10243" max="10243" width="14.8533333333333" style="122" customWidth="1"/>
    <col min="10244" max="10244" width="1.85333333333333" style="122" customWidth="1"/>
    <col min="10245" max="10245" width="8.71333333333333" style="122"/>
    <col min="10246" max="10246" width="1.57333333333333" style="122" customWidth="1"/>
    <col min="10247" max="10247" width="14.8533333333333" style="122" customWidth="1"/>
    <col min="10248" max="10248" width="2.42666666666667" style="122" customWidth="1"/>
    <col min="10249" max="10249" width="9.85333333333333" style="122" customWidth="1"/>
    <col min="10250" max="10250" width="2" style="122" customWidth="1"/>
    <col min="10251" max="10251" width="14.8533333333333" style="122" customWidth="1"/>
    <col min="10252" max="10252" width="2.42666666666667" style="122" customWidth="1"/>
    <col min="10253" max="10253" width="9.85333333333333" style="122" customWidth="1"/>
    <col min="10254" max="10254" width="2" style="122" customWidth="1"/>
    <col min="10255" max="10255" width="14.8533333333333" style="122" customWidth="1"/>
    <col min="10256" max="10497" width="8.71333333333333" style="122"/>
    <col min="10498" max="10498" width="1.42666666666667" style="122" customWidth="1"/>
    <col min="10499" max="10499" width="14.8533333333333" style="122" customWidth="1"/>
    <col min="10500" max="10500" width="1.85333333333333" style="122" customWidth="1"/>
    <col min="10501" max="10501" width="8.71333333333333" style="122"/>
    <col min="10502" max="10502" width="1.57333333333333" style="122" customWidth="1"/>
    <col min="10503" max="10503" width="14.8533333333333" style="122" customWidth="1"/>
    <col min="10504" max="10504" width="2.42666666666667" style="122" customWidth="1"/>
    <col min="10505" max="10505" width="9.85333333333333" style="122" customWidth="1"/>
    <col min="10506" max="10506" width="2" style="122" customWidth="1"/>
    <col min="10507" max="10507" width="14.8533333333333" style="122" customWidth="1"/>
    <col min="10508" max="10508" width="2.42666666666667" style="122" customWidth="1"/>
    <col min="10509" max="10509" width="9.85333333333333" style="122" customWidth="1"/>
    <col min="10510" max="10510" width="2" style="122" customWidth="1"/>
    <col min="10511" max="10511" width="14.8533333333333" style="122" customWidth="1"/>
    <col min="10512" max="10753" width="8.71333333333333" style="122"/>
    <col min="10754" max="10754" width="1.42666666666667" style="122" customWidth="1"/>
    <col min="10755" max="10755" width="14.8533333333333" style="122" customWidth="1"/>
    <col min="10756" max="10756" width="1.85333333333333" style="122" customWidth="1"/>
    <col min="10757" max="10757" width="8.71333333333333" style="122"/>
    <col min="10758" max="10758" width="1.57333333333333" style="122" customWidth="1"/>
    <col min="10759" max="10759" width="14.8533333333333" style="122" customWidth="1"/>
    <col min="10760" max="10760" width="2.42666666666667" style="122" customWidth="1"/>
    <col min="10761" max="10761" width="9.85333333333333" style="122" customWidth="1"/>
    <col min="10762" max="10762" width="2" style="122" customWidth="1"/>
    <col min="10763" max="10763" width="14.8533333333333" style="122" customWidth="1"/>
    <col min="10764" max="10764" width="2.42666666666667" style="122" customWidth="1"/>
    <col min="10765" max="10765" width="9.85333333333333" style="122" customWidth="1"/>
    <col min="10766" max="10766" width="2" style="122" customWidth="1"/>
    <col min="10767" max="10767" width="14.8533333333333" style="122" customWidth="1"/>
    <col min="10768" max="11009" width="8.71333333333333" style="122"/>
    <col min="11010" max="11010" width="1.42666666666667" style="122" customWidth="1"/>
    <col min="11011" max="11011" width="14.8533333333333" style="122" customWidth="1"/>
    <col min="11012" max="11012" width="1.85333333333333" style="122" customWidth="1"/>
    <col min="11013" max="11013" width="8.71333333333333" style="122"/>
    <col min="11014" max="11014" width="1.57333333333333" style="122" customWidth="1"/>
    <col min="11015" max="11015" width="14.8533333333333" style="122" customWidth="1"/>
    <col min="11016" max="11016" width="2.42666666666667" style="122" customWidth="1"/>
    <col min="11017" max="11017" width="9.85333333333333" style="122" customWidth="1"/>
    <col min="11018" max="11018" width="2" style="122" customWidth="1"/>
    <col min="11019" max="11019" width="14.8533333333333" style="122" customWidth="1"/>
    <col min="11020" max="11020" width="2.42666666666667" style="122" customWidth="1"/>
    <col min="11021" max="11021" width="9.85333333333333" style="122" customWidth="1"/>
    <col min="11022" max="11022" width="2" style="122" customWidth="1"/>
    <col min="11023" max="11023" width="14.8533333333333" style="122" customWidth="1"/>
    <col min="11024" max="11265" width="8.71333333333333" style="122"/>
    <col min="11266" max="11266" width="1.42666666666667" style="122" customWidth="1"/>
    <col min="11267" max="11267" width="14.8533333333333" style="122" customWidth="1"/>
    <col min="11268" max="11268" width="1.85333333333333" style="122" customWidth="1"/>
    <col min="11269" max="11269" width="8.71333333333333" style="122"/>
    <col min="11270" max="11270" width="1.57333333333333" style="122" customWidth="1"/>
    <col min="11271" max="11271" width="14.8533333333333" style="122" customWidth="1"/>
    <col min="11272" max="11272" width="2.42666666666667" style="122" customWidth="1"/>
    <col min="11273" max="11273" width="9.85333333333333" style="122" customWidth="1"/>
    <col min="11274" max="11274" width="2" style="122" customWidth="1"/>
    <col min="11275" max="11275" width="14.8533333333333" style="122" customWidth="1"/>
    <col min="11276" max="11276" width="2.42666666666667" style="122" customWidth="1"/>
    <col min="11277" max="11277" width="9.85333333333333" style="122" customWidth="1"/>
    <col min="11278" max="11278" width="2" style="122" customWidth="1"/>
    <col min="11279" max="11279" width="14.8533333333333" style="122" customWidth="1"/>
    <col min="11280" max="11521" width="8.71333333333333" style="122"/>
    <col min="11522" max="11522" width="1.42666666666667" style="122" customWidth="1"/>
    <col min="11523" max="11523" width="14.8533333333333" style="122" customWidth="1"/>
    <col min="11524" max="11524" width="1.85333333333333" style="122" customWidth="1"/>
    <col min="11525" max="11525" width="8.71333333333333" style="122"/>
    <col min="11526" max="11526" width="1.57333333333333" style="122" customWidth="1"/>
    <col min="11527" max="11527" width="14.8533333333333" style="122" customWidth="1"/>
    <col min="11528" max="11528" width="2.42666666666667" style="122" customWidth="1"/>
    <col min="11529" max="11529" width="9.85333333333333" style="122" customWidth="1"/>
    <col min="11530" max="11530" width="2" style="122" customWidth="1"/>
    <col min="11531" max="11531" width="14.8533333333333" style="122" customWidth="1"/>
    <col min="11532" max="11532" width="2.42666666666667" style="122" customWidth="1"/>
    <col min="11533" max="11533" width="9.85333333333333" style="122" customWidth="1"/>
    <col min="11534" max="11534" width="2" style="122" customWidth="1"/>
    <col min="11535" max="11535" width="14.8533333333333" style="122" customWidth="1"/>
    <col min="11536" max="11777" width="8.71333333333333" style="122"/>
    <col min="11778" max="11778" width="1.42666666666667" style="122" customWidth="1"/>
    <col min="11779" max="11779" width="14.8533333333333" style="122" customWidth="1"/>
    <col min="11780" max="11780" width="1.85333333333333" style="122" customWidth="1"/>
    <col min="11781" max="11781" width="8.71333333333333" style="122"/>
    <col min="11782" max="11782" width="1.57333333333333" style="122" customWidth="1"/>
    <col min="11783" max="11783" width="14.8533333333333" style="122" customWidth="1"/>
    <col min="11784" max="11784" width="2.42666666666667" style="122" customWidth="1"/>
    <col min="11785" max="11785" width="9.85333333333333" style="122" customWidth="1"/>
    <col min="11786" max="11786" width="2" style="122" customWidth="1"/>
    <col min="11787" max="11787" width="14.8533333333333" style="122" customWidth="1"/>
    <col min="11788" max="11788" width="2.42666666666667" style="122" customWidth="1"/>
    <col min="11789" max="11789" width="9.85333333333333" style="122" customWidth="1"/>
    <col min="11790" max="11790" width="2" style="122" customWidth="1"/>
    <col min="11791" max="11791" width="14.8533333333333" style="122" customWidth="1"/>
    <col min="11792" max="12033" width="8.71333333333333" style="122"/>
    <col min="12034" max="12034" width="1.42666666666667" style="122" customWidth="1"/>
    <col min="12035" max="12035" width="14.8533333333333" style="122" customWidth="1"/>
    <col min="12036" max="12036" width="1.85333333333333" style="122" customWidth="1"/>
    <col min="12037" max="12037" width="8.71333333333333" style="122"/>
    <col min="12038" max="12038" width="1.57333333333333" style="122" customWidth="1"/>
    <col min="12039" max="12039" width="14.8533333333333" style="122" customWidth="1"/>
    <col min="12040" max="12040" width="2.42666666666667" style="122" customWidth="1"/>
    <col min="12041" max="12041" width="9.85333333333333" style="122" customWidth="1"/>
    <col min="12042" max="12042" width="2" style="122" customWidth="1"/>
    <col min="12043" max="12043" width="14.8533333333333" style="122" customWidth="1"/>
    <col min="12044" max="12044" width="2.42666666666667" style="122" customWidth="1"/>
    <col min="12045" max="12045" width="9.85333333333333" style="122" customWidth="1"/>
    <col min="12046" max="12046" width="2" style="122" customWidth="1"/>
    <col min="12047" max="12047" width="14.8533333333333" style="122" customWidth="1"/>
    <col min="12048" max="12289" width="8.71333333333333" style="122"/>
    <col min="12290" max="12290" width="1.42666666666667" style="122" customWidth="1"/>
    <col min="12291" max="12291" width="14.8533333333333" style="122" customWidth="1"/>
    <col min="12292" max="12292" width="1.85333333333333" style="122" customWidth="1"/>
    <col min="12293" max="12293" width="8.71333333333333" style="122"/>
    <col min="12294" max="12294" width="1.57333333333333" style="122" customWidth="1"/>
    <col min="12295" max="12295" width="14.8533333333333" style="122" customWidth="1"/>
    <col min="12296" max="12296" width="2.42666666666667" style="122" customWidth="1"/>
    <col min="12297" max="12297" width="9.85333333333333" style="122" customWidth="1"/>
    <col min="12298" max="12298" width="2" style="122" customWidth="1"/>
    <col min="12299" max="12299" width="14.8533333333333" style="122" customWidth="1"/>
    <col min="12300" max="12300" width="2.42666666666667" style="122" customWidth="1"/>
    <col min="12301" max="12301" width="9.85333333333333" style="122" customWidth="1"/>
    <col min="12302" max="12302" width="2" style="122" customWidth="1"/>
    <col min="12303" max="12303" width="14.8533333333333" style="122" customWidth="1"/>
    <col min="12304" max="12545" width="8.71333333333333" style="122"/>
    <col min="12546" max="12546" width="1.42666666666667" style="122" customWidth="1"/>
    <col min="12547" max="12547" width="14.8533333333333" style="122" customWidth="1"/>
    <col min="12548" max="12548" width="1.85333333333333" style="122" customWidth="1"/>
    <col min="12549" max="12549" width="8.71333333333333" style="122"/>
    <col min="12550" max="12550" width="1.57333333333333" style="122" customWidth="1"/>
    <col min="12551" max="12551" width="14.8533333333333" style="122" customWidth="1"/>
    <col min="12552" max="12552" width="2.42666666666667" style="122" customWidth="1"/>
    <col min="12553" max="12553" width="9.85333333333333" style="122" customWidth="1"/>
    <col min="12554" max="12554" width="2" style="122" customWidth="1"/>
    <col min="12555" max="12555" width="14.8533333333333" style="122" customWidth="1"/>
    <col min="12556" max="12556" width="2.42666666666667" style="122" customWidth="1"/>
    <col min="12557" max="12557" width="9.85333333333333" style="122" customWidth="1"/>
    <col min="12558" max="12558" width="2" style="122" customWidth="1"/>
    <col min="12559" max="12559" width="14.8533333333333" style="122" customWidth="1"/>
    <col min="12560" max="12801" width="8.71333333333333" style="122"/>
    <col min="12802" max="12802" width="1.42666666666667" style="122" customWidth="1"/>
    <col min="12803" max="12803" width="14.8533333333333" style="122" customWidth="1"/>
    <col min="12804" max="12804" width="1.85333333333333" style="122" customWidth="1"/>
    <col min="12805" max="12805" width="8.71333333333333" style="122"/>
    <col min="12806" max="12806" width="1.57333333333333" style="122" customWidth="1"/>
    <col min="12807" max="12807" width="14.8533333333333" style="122" customWidth="1"/>
    <col min="12808" max="12808" width="2.42666666666667" style="122" customWidth="1"/>
    <col min="12809" max="12809" width="9.85333333333333" style="122" customWidth="1"/>
    <col min="12810" max="12810" width="2" style="122" customWidth="1"/>
    <col min="12811" max="12811" width="14.8533333333333" style="122" customWidth="1"/>
    <col min="12812" max="12812" width="2.42666666666667" style="122" customWidth="1"/>
    <col min="12813" max="12813" width="9.85333333333333" style="122" customWidth="1"/>
    <col min="12814" max="12814" width="2" style="122" customWidth="1"/>
    <col min="12815" max="12815" width="14.8533333333333" style="122" customWidth="1"/>
    <col min="12816" max="13057" width="8.71333333333333" style="122"/>
    <col min="13058" max="13058" width="1.42666666666667" style="122" customWidth="1"/>
    <col min="13059" max="13059" width="14.8533333333333" style="122" customWidth="1"/>
    <col min="13060" max="13060" width="1.85333333333333" style="122" customWidth="1"/>
    <col min="13061" max="13061" width="8.71333333333333" style="122"/>
    <col min="13062" max="13062" width="1.57333333333333" style="122" customWidth="1"/>
    <col min="13063" max="13063" width="14.8533333333333" style="122" customWidth="1"/>
    <col min="13064" max="13064" width="2.42666666666667" style="122" customWidth="1"/>
    <col min="13065" max="13065" width="9.85333333333333" style="122" customWidth="1"/>
    <col min="13066" max="13066" width="2" style="122" customWidth="1"/>
    <col min="13067" max="13067" width="14.8533333333333" style="122" customWidth="1"/>
    <col min="13068" max="13068" width="2.42666666666667" style="122" customWidth="1"/>
    <col min="13069" max="13069" width="9.85333333333333" style="122" customWidth="1"/>
    <col min="13070" max="13070" width="2" style="122" customWidth="1"/>
    <col min="13071" max="13071" width="14.8533333333333" style="122" customWidth="1"/>
    <col min="13072" max="13313" width="8.71333333333333" style="122"/>
    <col min="13314" max="13314" width="1.42666666666667" style="122" customWidth="1"/>
    <col min="13315" max="13315" width="14.8533333333333" style="122" customWidth="1"/>
    <col min="13316" max="13316" width="1.85333333333333" style="122" customWidth="1"/>
    <col min="13317" max="13317" width="8.71333333333333" style="122"/>
    <col min="13318" max="13318" width="1.57333333333333" style="122" customWidth="1"/>
    <col min="13319" max="13319" width="14.8533333333333" style="122" customWidth="1"/>
    <col min="13320" max="13320" width="2.42666666666667" style="122" customWidth="1"/>
    <col min="13321" max="13321" width="9.85333333333333" style="122" customWidth="1"/>
    <col min="13322" max="13322" width="2" style="122" customWidth="1"/>
    <col min="13323" max="13323" width="14.8533333333333" style="122" customWidth="1"/>
    <col min="13324" max="13324" width="2.42666666666667" style="122" customWidth="1"/>
    <col min="13325" max="13325" width="9.85333333333333" style="122" customWidth="1"/>
    <col min="13326" max="13326" width="2" style="122" customWidth="1"/>
    <col min="13327" max="13327" width="14.8533333333333" style="122" customWidth="1"/>
    <col min="13328" max="13569" width="8.71333333333333" style="122"/>
    <col min="13570" max="13570" width="1.42666666666667" style="122" customWidth="1"/>
    <col min="13571" max="13571" width="14.8533333333333" style="122" customWidth="1"/>
    <col min="13572" max="13572" width="1.85333333333333" style="122" customWidth="1"/>
    <col min="13573" max="13573" width="8.71333333333333" style="122"/>
    <col min="13574" max="13574" width="1.57333333333333" style="122" customWidth="1"/>
    <col min="13575" max="13575" width="14.8533333333333" style="122" customWidth="1"/>
    <col min="13576" max="13576" width="2.42666666666667" style="122" customWidth="1"/>
    <col min="13577" max="13577" width="9.85333333333333" style="122" customWidth="1"/>
    <col min="13578" max="13578" width="2" style="122" customWidth="1"/>
    <col min="13579" max="13579" width="14.8533333333333" style="122" customWidth="1"/>
    <col min="13580" max="13580" width="2.42666666666667" style="122" customWidth="1"/>
    <col min="13581" max="13581" width="9.85333333333333" style="122" customWidth="1"/>
    <col min="13582" max="13582" width="2" style="122" customWidth="1"/>
    <col min="13583" max="13583" width="14.8533333333333" style="122" customWidth="1"/>
    <col min="13584" max="13825" width="8.71333333333333" style="122"/>
    <col min="13826" max="13826" width="1.42666666666667" style="122" customWidth="1"/>
    <col min="13827" max="13827" width="14.8533333333333" style="122" customWidth="1"/>
    <col min="13828" max="13828" width="1.85333333333333" style="122" customWidth="1"/>
    <col min="13829" max="13829" width="8.71333333333333" style="122"/>
    <col min="13830" max="13830" width="1.57333333333333" style="122" customWidth="1"/>
    <col min="13831" max="13831" width="14.8533333333333" style="122" customWidth="1"/>
    <col min="13832" max="13832" width="2.42666666666667" style="122" customWidth="1"/>
    <col min="13833" max="13833" width="9.85333333333333" style="122" customWidth="1"/>
    <col min="13834" max="13834" width="2" style="122" customWidth="1"/>
    <col min="13835" max="13835" width="14.8533333333333" style="122" customWidth="1"/>
    <col min="13836" max="13836" width="2.42666666666667" style="122" customWidth="1"/>
    <col min="13837" max="13837" width="9.85333333333333" style="122" customWidth="1"/>
    <col min="13838" max="13838" width="2" style="122" customWidth="1"/>
    <col min="13839" max="13839" width="14.8533333333333" style="122" customWidth="1"/>
    <col min="13840" max="14081" width="8.71333333333333" style="122"/>
    <col min="14082" max="14082" width="1.42666666666667" style="122" customWidth="1"/>
    <col min="14083" max="14083" width="14.8533333333333" style="122" customWidth="1"/>
    <col min="14084" max="14084" width="1.85333333333333" style="122" customWidth="1"/>
    <col min="14085" max="14085" width="8.71333333333333" style="122"/>
    <col min="14086" max="14086" width="1.57333333333333" style="122" customWidth="1"/>
    <col min="14087" max="14087" width="14.8533333333333" style="122" customWidth="1"/>
    <col min="14088" max="14088" width="2.42666666666667" style="122" customWidth="1"/>
    <col min="14089" max="14089" width="9.85333333333333" style="122" customWidth="1"/>
    <col min="14090" max="14090" width="2" style="122" customWidth="1"/>
    <col min="14091" max="14091" width="14.8533333333333" style="122" customWidth="1"/>
    <col min="14092" max="14092" width="2.42666666666667" style="122" customWidth="1"/>
    <col min="14093" max="14093" width="9.85333333333333" style="122" customWidth="1"/>
    <col min="14094" max="14094" width="2" style="122" customWidth="1"/>
    <col min="14095" max="14095" width="14.8533333333333" style="122" customWidth="1"/>
    <col min="14096" max="14337" width="8.71333333333333" style="122"/>
    <col min="14338" max="14338" width="1.42666666666667" style="122" customWidth="1"/>
    <col min="14339" max="14339" width="14.8533333333333" style="122" customWidth="1"/>
    <col min="14340" max="14340" width="1.85333333333333" style="122" customWidth="1"/>
    <col min="14341" max="14341" width="8.71333333333333" style="122"/>
    <col min="14342" max="14342" width="1.57333333333333" style="122" customWidth="1"/>
    <col min="14343" max="14343" width="14.8533333333333" style="122" customWidth="1"/>
    <col min="14344" max="14344" width="2.42666666666667" style="122" customWidth="1"/>
    <col min="14345" max="14345" width="9.85333333333333" style="122" customWidth="1"/>
    <col min="14346" max="14346" width="2" style="122" customWidth="1"/>
    <col min="14347" max="14347" width="14.8533333333333" style="122" customWidth="1"/>
    <col min="14348" max="14348" width="2.42666666666667" style="122" customWidth="1"/>
    <col min="14349" max="14349" width="9.85333333333333" style="122" customWidth="1"/>
    <col min="14350" max="14350" width="2" style="122" customWidth="1"/>
    <col min="14351" max="14351" width="14.8533333333333" style="122" customWidth="1"/>
    <col min="14352" max="14593" width="8.71333333333333" style="122"/>
    <col min="14594" max="14594" width="1.42666666666667" style="122" customWidth="1"/>
    <col min="14595" max="14595" width="14.8533333333333" style="122" customWidth="1"/>
    <col min="14596" max="14596" width="1.85333333333333" style="122" customWidth="1"/>
    <col min="14597" max="14597" width="8.71333333333333" style="122"/>
    <col min="14598" max="14598" width="1.57333333333333" style="122" customWidth="1"/>
    <col min="14599" max="14599" width="14.8533333333333" style="122" customWidth="1"/>
    <col min="14600" max="14600" width="2.42666666666667" style="122" customWidth="1"/>
    <col min="14601" max="14601" width="9.85333333333333" style="122" customWidth="1"/>
    <col min="14602" max="14602" width="2" style="122" customWidth="1"/>
    <col min="14603" max="14603" width="14.8533333333333" style="122" customWidth="1"/>
    <col min="14604" max="14604" width="2.42666666666667" style="122" customWidth="1"/>
    <col min="14605" max="14605" width="9.85333333333333" style="122" customWidth="1"/>
    <col min="14606" max="14606" width="2" style="122" customWidth="1"/>
    <col min="14607" max="14607" width="14.8533333333333" style="122" customWidth="1"/>
    <col min="14608" max="14849" width="8.71333333333333" style="122"/>
    <col min="14850" max="14850" width="1.42666666666667" style="122" customWidth="1"/>
    <col min="14851" max="14851" width="14.8533333333333" style="122" customWidth="1"/>
    <col min="14852" max="14852" width="1.85333333333333" style="122" customWidth="1"/>
    <col min="14853" max="14853" width="8.71333333333333" style="122"/>
    <col min="14854" max="14854" width="1.57333333333333" style="122" customWidth="1"/>
    <col min="14855" max="14855" width="14.8533333333333" style="122" customWidth="1"/>
    <col min="14856" max="14856" width="2.42666666666667" style="122" customWidth="1"/>
    <col min="14857" max="14857" width="9.85333333333333" style="122" customWidth="1"/>
    <col min="14858" max="14858" width="2" style="122" customWidth="1"/>
    <col min="14859" max="14859" width="14.8533333333333" style="122" customWidth="1"/>
    <col min="14860" max="14860" width="2.42666666666667" style="122" customWidth="1"/>
    <col min="14861" max="14861" width="9.85333333333333" style="122" customWidth="1"/>
    <col min="14862" max="14862" width="2" style="122" customWidth="1"/>
    <col min="14863" max="14863" width="14.8533333333333" style="122" customWidth="1"/>
    <col min="14864" max="15105" width="8.71333333333333" style="122"/>
    <col min="15106" max="15106" width="1.42666666666667" style="122" customWidth="1"/>
    <col min="15107" max="15107" width="14.8533333333333" style="122" customWidth="1"/>
    <col min="15108" max="15108" width="1.85333333333333" style="122" customWidth="1"/>
    <col min="15109" max="15109" width="8.71333333333333" style="122"/>
    <col min="15110" max="15110" width="1.57333333333333" style="122" customWidth="1"/>
    <col min="15111" max="15111" width="14.8533333333333" style="122" customWidth="1"/>
    <col min="15112" max="15112" width="2.42666666666667" style="122" customWidth="1"/>
    <col min="15113" max="15113" width="9.85333333333333" style="122" customWidth="1"/>
    <col min="15114" max="15114" width="2" style="122" customWidth="1"/>
    <col min="15115" max="15115" width="14.8533333333333" style="122" customWidth="1"/>
    <col min="15116" max="15116" width="2.42666666666667" style="122" customWidth="1"/>
    <col min="15117" max="15117" width="9.85333333333333" style="122" customWidth="1"/>
    <col min="15118" max="15118" width="2" style="122" customWidth="1"/>
    <col min="15119" max="15119" width="14.8533333333333" style="122" customWidth="1"/>
    <col min="15120" max="15361" width="8.71333333333333" style="122"/>
    <col min="15362" max="15362" width="1.42666666666667" style="122" customWidth="1"/>
    <col min="15363" max="15363" width="14.8533333333333" style="122" customWidth="1"/>
    <col min="15364" max="15364" width="1.85333333333333" style="122" customWidth="1"/>
    <col min="15365" max="15365" width="8.71333333333333" style="122"/>
    <col min="15366" max="15366" width="1.57333333333333" style="122" customWidth="1"/>
    <col min="15367" max="15367" width="14.8533333333333" style="122" customWidth="1"/>
    <col min="15368" max="15368" width="2.42666666666667" style="122" customWidth="1"/>
    <col min="15369" max="15369" width="9.85333333333333" style="122" customWidth="1"/>
    <col min="15370" max="15370" width="2" style="122" customWidth="1"/>
    <col min="15371" max="15371" width="14.8533333333333" style="122" customWidth="1"/>
    <col min="15372" max="15372" width="2.42666666666667" style="122" customWidth="1"/>
    <col min="15373" max="15373" width="9.85333333333333" style="122" customWidth="1"/>
    <col min="15374" max="15374" width="2" style="122" customWidth="1"/>
    <col min="15375" max="15375" width="14.8533333333333" style="122" customWidth="1"/>
    <col min="15376" max="15617" width="8.71333333333333" style="122"/>
    <col min="15618" max="15618" width="1.42666666666667" style="122" customWidth="1"/>
    <col min="15619" max="15619" width="14.8533333333333" style="122" customWidth="1"/>
    <col min="15620" max="15620" width="1.85333333333333" style="122" customWidth="1"/>
    <col min="15621" max="15621" width="8.71333333333333" style="122"/>
    <col min="15622" max="15622" width="1.57333333333333" style="122" customWidth="1"/>
    <col min="15623" max="15623" width="14.8533333333333" style="122" customWidth="1"/>
    <col min="15624" max="15624" width="2.42666666666667" style="122" customWidth="1"/>
    <col min="15625" max="15625" width="9.85333333333333" style="122" customWidth="1"/>
    <col min="15626" max="15626" width="2" style="122" customWidth="1"/>
    <col min="15627" max="15627" width="14.8533333333333" style="122" customWidth="1"/>
    <col min="15628" max="15628" width="2.42666666666667" style="122" customWidth="1"/>
    <col min="15629" max="15629" width="9.85333333333333" style="122" customWidth="1"/>
    <col min="15630" max="15630" width="2" style="122" customWidth="1"/>
    <col min="15631" max="15631" width="14.8533333333333" style="122" customWidth="1"/>
    <col min="15632" max="15873" width="8.71333333333333" style="122"/>
    <col min="15874" max="15874" width="1.42666666666667" style="122" customWidth="1"/>
    <col min="15875" max="15875" width="14.8533333333333" style="122" customWidth="1"/>
    <col min="15876" max="15876" width="1.85333333333333" style="122" customWidth="1"/>
    <col min="15877" max="15877" width="8.71333333333333" style="122"/>
    <col min="15878" max="15878" width="1.57333333333333" style="122" customWidth="1"/>
    <col min="15879" max="15879" width="14.8533333333333" style="122" customWidth="1"/>
    <col min="15880" max="15880" width="2.42666666666667" style="122" customWidth="1"/>
    <col min="15881" max="15881" width="9.85333333333333" style="122" customWidth="1"/>
    <col min="15882" max="15882" width="2" style="122" customWidth="1"/>
    <col min="15883" max="15883" width="14.8533333333333" style="122" customWidth="1"/>
    <col min="15884" max="15884" width="2.42666666666667" style="122" customWidth="1"/>
    <col min="15885" max="15885" width="9.85333333333333" style="122" customWidth="1"/>
    <col min="15886" max="15886" width="2" style="122" customWidth="1"/>
    <col min="15887" max="15887" width="14.8533333333333" style="122" customWidth="1"/>
    <col min="15888" max="16129" width="8.71333333333333" style="122"/>
    <col min="16130" max="16130" width="1.42666666666667" style="122" customWidth="1"/>
    <col min="16131" max="16131" width="14.8533333333333" style="122" customWidth="1"/>
    <col min="16132" max="16132" width="1.85333333333333" style="122" customWidth="1"/>
    <col min="16133" max="16133" width="8.71333333333333" style="122"/>
    <col min="16134" max="16134" width="1.57333333333333" style="122" customWidth="1"/>
    <col min="16135" max="16135" width="14.8533333333333" style="122" customWidth="1"/>
    <col min="16136" max="16136" width="2.42666666666667" style="122" customWidth="1"/>
    <col min="16137" max="16137" width="9.85333333333333" style="122" customWidth="1"/>
    <col min="16138" max="16138" width="2" style="122" customWidth="1"/>
    <col min="16139" max="16139" width="14.8533333333333" style="122" customWidth="1"/>
    <col min="16140" max="16140" width="2.42666666666667" style="122" customWidth="1"/>
    <col min="16141" max="16141" width="9.85333333333333" style="122" customWidth="1"/>
    <col min="16142" max="16142" width="2" style="122" customWidth="1"/>
    <col min="16143" max="16143" width="14.8533333333333" style="122" customWidth="1"/>
    <col min="16144" max="16384" width="8.71333333333333" style="122"/>
  </cols>
  <sheetData>
    <row r="1" s="120" customFormat="1" ht="30" spans="1:15">
      <c r="A1" s="140" t="str">
        <f t="array" ref="A1">'Label FG'!F3:F3</f>
        <v>226</v>
      </c>
      <c r="B1" s="124" t="s">
        <v>0</v>
      </c>
      <c r="C1" s="125"/>
      <c r="E1" s="140" t="str">
        <f>$A$1</f>
        <v>226</v>
      </c>
      <c r="F1" s="124" t="s">
        <v>0</v>
      </c>
      <c r="G1" s="125"/>
      <c r="I1" s="140" t="str">
        <f>$A$1</f>
        <v>226</v>
      </c>
      <c r="J1" s="124" t="s">
        <v>0</v>
      </c>
      <c r="K1" s="125"/>
      <c r="M1" s="140" t="str">
        <f>$A$1</f>
        <v>226</v>
      </c>
      <c r="N1" s="124" t="s">
        <v>0</v>
      </c>
      <c r="O1" s="125"/>
    </row>
    <row r="2" spans="1:15">
      <c r="A2" s="126" t="s">
        <v>1</v>
      </c>
      <c r="B2" s="122" t="s">
        <v>2</v>
      </c>
      <c r="C2" s="127">
        <f>VLOOKUP(A1,'List Part'!$A$5:$C$374,2,0)</f>
        <v>955985</v>
      </c>
      <c r="E2" s="126" t="s">
        <v>1</v>
      </c>
      <c r="F2" s="122" t="s">
        <v>2</v>
      </c>
      <c r="G2" s="127">
        <f>$C$2</f>
        <v>955985</v>
      </c>
      <c r="I2" s="126" t="s">
        <v>1</v>
      </c>
      <c r="J2" s="122" t="s">
        <v>2</v>
      </c>
      <c r="K2" s="127">
        <f>$C$2</f>
        <v>955985</v>
      </c>
      <c r="M2" s="126" t="s">
        <v>1</v>
      </c>
      <c r="N2" s="122" t="s">
        <v>2</v>
      </c>
      <c r="O2" s="127">
        <f>$C$2</f>
        <v>955985</v>
      </c>
    </row>
    <row r="3" spans="1:15">
      <c r="A3" s="126" t="s">
        <v>3</v>
      </c>
      <c r="B3" s="122" t="s">
        <v>2</v>
      </c>
      <c r="C3" s="128" t="str">
        <f>VLOOKUP(A1,'List Part'!$A$5:$C$374,3,0)</f>
        <v>DIN CONNECTOR FITTING</v>
      </c>
      <c r="E3" s="135" t="s">
        <v>3</v>
      </c>
      <c r="F3" s="122" t="s">
        <v>2</v>
      </c>
      <c r="G3" s="136" t="str">
        <f>$C$3</f>
        <v>DIN CONNECTOR FITTING</v>
      </c>
      <c r="I3" s="135" t="s">
        <v>3</v>
      </c>
      <c r="J3" s="122" t="s">
        <v>2</v>
      </c>
      <c r="K3" s="136" t="str">
        <f>$C$3</f>
        <v>DIN CONNECTOR FITTING</v>
      </c>
      <c r="M3" s="135" t="s">
        <v>3</v>
      </c>
      <c r="N3" s="122" t="s">
        <v>2</v>
      </c>
      <c r="O3" s="136" t="str">
        <f>$C$3</f>
        <v>DIN CONNECTOR FITTING</v>
      </c>
    </row>
    <row r="4" spans="1:15">
      <c r="A4" s="126" t="s">
        <v>4</v>
      </c>
      <c r="B4" s="122" t="s">
        <v>2</v>
      </c>
      <c r="C4" s="129">
        <f>VLOOKUP(A1,'List Part'!$A$5:$P$374,15,0)</f>
        <v>200</v>
      </c>
      <c r="E4" s="135" t="s">
        <v>4</v>
      </c>
      <c r="F4" s="122" t="s">
        <v>2</v>
      </c>
      <c r="G4" s="137">
        <f>$C$4</f>
        <v>200</v>
      </c>
      <c r="I4" s="135" t="s">
        <v>4</v>
      </c>
      <c r="J4" s="122" t="s">
        <v>2</v>
      </c>
      <c r="K4" s="137">
        <f>$C$4</f>
        <v>200</v>
      </c>
      <c r="M4" s="135" t="s">
        <v>4</v>
      </c>
      <c r="N4" s="122" t="s">
        <v>2</v>
      </c>
      <c r="O4" s="137">
        <f>$C$4</f>
        <v>200</v>
      </c>
    </row>
    <row r="5" spans="1:15">
      <c r="A5" s="126" t="s">
        <v>5</v>
      </c>
      <c r="B5" s="122" t="s">
        <v>2</v>
      </c>
      <c r="C5" s="130" t="s">
        <v>6</v>
      </c>
      <c r="E5" s="135" t="s">
        <v>5</v>
      </c>
      <c r="F5" s="122" t="s">
        <v>2</v>
      </c>
      <c r="G5" s="130" t="s">
        <v>6</v>
      </c>
      <c r="I5" s="135" t="s">
        <v>5</v>
      </c>
      <c r="J5" s="122" t="s">
        <v>2</v>
      </c>
      <c r="K5" s="130" t="s">
        <v>6</v>
      </c>
      <c r="M5" s="135" t="s">
        <v>5</v>
      </c>
      <c r="N5" s="122" t="s">
        <v>2</v>
      </c>
      <c r="O5" s="130" t="s">
        <v>6</v>
      </c>
    </row>
    <row r="6" spans="1:15">
      <c r="A6" s="126" t="s">
        <v>7</v>
      </c>
      <c r="B6" s="122" t="s">
        <v>2</v>
      </c>
      <c r="C6" s="131">
        <f>VLOOKUP(A1,'List Part'!$A$5:$P$374,6,0)</f>
        <v>0</v>
      </c>
      <c r="E6" s="126" t="s">
        <v>7</v>
      </c>
      <c r="F6" s="122" t="s">
        <v>2</v>
      </c>
      <c r="G6" s="138">
        <f>$C$6</f>
        <v>0</v>
      </c>
      <c r="I6" s="126" t="s">
        <v>7</v>
      </c>
      <c r="J6" s="122" t="s">
        <v>2</v>
      </c>
      <c r="K6" s="138">
        <f>$C$6</f>
        <v>0</v>
      </c>
      <c r="M6" s="126" t="s">
        <v>7</v>
      </c>
      <c r="N6" s="122" t="s">
        <v>2</v>
      </c>
      <c r="O6" s="138">
        <f>$C$6</f>
        <v>0</v>
      </c>
    </row>
    <row r="7" spans="1:15">
      <c r="A7" s="132" t="s">
        <v>8</v>
      </c>
      <c r="B7" s="133" t="s">
        <v>2</v>
      </c>
      <c r="C7" s="134" t="s">
        <v>12</v>
      </c>
      <c r="E7" s="139" t="s">
        <v>8</v>
      </c>
      <c r="F7" s="133" t="s">
        <v>2</v>
      </c>
      <c r="G7" s="134" t="str">
        <f>C7</f>
        <v>A</v>
      </c>
      <c r="I7" s="139" t="s">
        <v>8</v>
      </c>
      <c r="J7" s="133" t="s">
        <v>2</v>
      </c>
      <c r="K7" s="134" t="str">
        <f>G7</f>
        <v>A</v>
      </c>
      <c r="M7" s="139" t="s">
        <v>8</v>
      </c>
      <c r="N7" s="133" t="s">
        <v>2</v>
      </c>
      <c r="O7" s="134" t="str">
        <f>K7</f>
        <v>A</v>
      </c>
    </row>
    <row r="8" ht="12.95" customHeight="1" spans="3:3">
      <c r="C8" s="121"/>
    </row>
    <row r="9" s="120" customFormat="1" ht="30" spans="1:15">
      <c r="A9" s="140" t="str">
        <f>$A$1</f>
        <v>226</v>
      </c>
      <c r="B9" s="124" t="s">
        <v>0</v>
      </c>
      <c r="C9" s="125"/>
      <c r="E9" s="140" t="str">
        <f>$A$1</f>
        <v>226</v>
      </c>
      <c r="F9" s="124" t="s">
        <v>0</v>
      </c>
      <c r="G9" s="125"/>
      <c r="I9" s="140" t="str">
        <f>$A$1</f>
        <v>226</v>
      </c>
      <c r="J9" s="124" t="s">
        <v>0</v>
      </c>
      <c r="K9" s="125"/>
      <c r="M9" s="140" t="str">
        <f>$A$1</f>
        <v>226</v>
      </c>
      <c r="N9" s="124" t="s">
        <v>0</v>
      </c>
      <c r="O9" s="125"/>
    </row>
    <row r="10" spans="1:15">
      <c r="A10" s="126" t="s">
        <v>1</v>
      </c>
      <c r="B10" s="122" t="s">
        <v>2</v>
      </c>
      <c r="C10" s="127">
        <f>$C$2</f>
        <v>955985</v>
      </c>
      <c r="E10" s="126" t="s">
        <v>1</v>
      </c>
      <c r="F10" s="122" t="s">
        <v>2</v>
      </c>
      <c r="G10" s="127">
        <f>$C$2</f>
        <v>955985</v>
      </c>
      <c r="I10" s="126" t="s">
        <v>1</v>
      </c>
      <c r="J10" s="122" t="s">
        <v>2</v>
      </c>
      <c r="K10" s="127">
        <f>$C$2</f>
        <v>955985</v>
      </c>
      <c r="M10" s="126" t="s">
        <v>1</v>
      </c>
      <c r="N10" s="122" t="s">
        <v>2</v>
      </c>
      <c r="O10" s="127">
        <f>$C$2</f>
        <v>955985</v>
      </c>
    </row>
    <row r="11" spans="1:15">
      <c r="A11" s="135" t="s">
        <v>3</v>
      </c>
      <c r="B11" s="122" t="s">
        <v>2</v>
      </c>
      <c r="C11" s="136" t="str">
        <f>$C$3</f>
        <v>DIN CONNECTOR FITTING</v>
      </c>
      <c r="E11" s="135" t="s">
        <v>3</v>
      </c>
      <c r="F11" s="122" t="s">
        <v>2</v>
      </c>
      <c r="G11" s="136" t="str">
        <f>$C$3</f>
        <v>DIN CONNECTOR FITTING</v>
      </c>
      <c r="I11" s="135" t="s">
        <v>3</v>
      </c>
      <c r="J11" s="122" t="s">
        <v>2</v>
      </c>
      <c r="K11" s="136" t="str">
        <f>$C$3</f>
        <v>DIN CONNECTOR FITTING</v>
      </c>
      <c r="M11" s="135" t="s">
        <v>3</v>
      </c>
      <c r="N11" s="122" t="s">
        <v>2</v>
      </c>
      <c r="O11" s="136" t="str">
        <f>$C$3</f>
        <v>DIN CONNECTOR FITTING</v>
      </c>
    </row>
    <row r="12" spans="1:15">
      <c r="A12" s="135" t="s">
        <v>4</v>
      </c>
      <c r="B12" s="122" t="s">
        <v>2</v>
      </c>
      <c r="C12" s="137">
        <f>$C$4</f>
        <v>200</v>
      </c>
      <c r="E12" s="135" t="s">
        <v>4</v>
      </c>
      <c r="F12" s="122" t="s">
        <v>2</v>
      </c>
      <c r="G12" s="137">
        <f>$C$4</f>
        <v>200</v>
      </c>
      <c r="I12" s="135" t="s">
        <v>4</v>
      </c>
      <c r="J12" s="122" t="s">
        <v>2</v>
      </c>
      <c r="K12" s="137">
        <f>$C$4</f>
        <v>200</v>
      </c>
      <c r="M12" s="135" t="s">
        <v>4</v>
      </c>
      <c r="N12" s="122" t="s">
        <v>2</v>
      </c>
      <c r="O12" s="137">
        <f>$C$4</f>
        <v>200</v>
      </c>
    </row>
    <row r="13" spans="1:15">
      <c r="A13" s="135" t="s">
        <v>5</v>
      </c>
      <c r="B13" s="122" t="s">
        <v>2</v>
      </c>
      <c r="C13" s="130" t="s">
        <v>6</v>
      </c>
      <c r="E13" s="135" t="s">
        <v>5</v>
      </c>
      <c r="F13" s="122" t="s">
        <v>2</v>
      </c>
      <c r="G13" s="130" t="s">
        <v>6</v>
      </c>
      <c r="I13" s="135" t="s">
        <v>5</v>
      </c>
      <c r="J13" s="122" t="s">
        <v>2</v>
      </c>
      <c r="K13" s="130" t="s">
        <v>6</v>
      </c>
      <c r="M13" s="135" t="s">
        <v>5</v>
      </c>
      <c r="N13" s="122" t="s">
        <v>2</v>
      </c>
      <c r="O13" s="130" t="s">
        <v>6</v>
      </c>
    </row>
    <row r="14" spans="1:15">
      <c r="A14" s="126" t="s">
        <v>7</v>
      </c>
      <c r="B14" s="122" t="s">
        <v>2</v>
      </c>
      <c r="C14" s="138">
        <f>$C$6</f>
        <v>0</v>
      </c>
      <c r="E14" s="126" t="s">
        <v>7</v>
      </c>
      <c r="F14" s="122" t="s">
        <v>2</v>
      </c>
      <c r="G14" s="138">
        <f>$C$6</f>
        <v>0</v>
      </c>
      <c r="I14" s="126" t="s">
        <v>7</v>
      </c>
      <c r="J14" s="122" t="s">
        <v>2</v>
      </c>
      <c r="K14" s="138">
        <f>$C$6</f>
        <v>0</v>
      </c>
      <c r="M14" s="126" t="s">
        <v>7</v>
      </c>
      <c r="N14" s="122" t="s">
        <v>2</v>
      </c>
      <c r="O14" s="138">
        <f>$C$6</f>
        <v>0</v>
      </c>
    </row>
    <row r="15" spans="1:15">
      <c r="A15" s="139" t="s">
        <v>8</v>
      </c>
      <c r="B15" s="133" t="s">
        <v>2</v>
      </c>
      <c r="C15" s="134" t="str">
        <f>C7</f>
        <v>A</v>
      </c>
      <c r="E15" s="139" t="s">
        <v>8</v>
      </c>
      <c r="F15" s="133" t="s">
        <v>2</v>
      </c>
      <c r="G15" s="134" t="str">
        <f>C15</f>
        <v>A</v>
      </c>
      <c r="I15" s="139" t="s">
        <v>8</v>
      </c>
      <c r="J15" s="133" t="s">
        <v>2</v>
      </c>
      <c r="K15" s="134" t="str">
        <f>G15</f>
        <v>A</v>
      </c>
      <c r="M15" s="139" t="s">
        <v>8</v>
      </c>
      <c r="N15" s="133" t="s">
        <v>2</v>
      </c>
      <c r="O15" s="134" t="str">
        <f>K15</f>
        <v>A</v>
      </c>
    </row>
    <row r="16" ht="12.95" customHeight="1"/>
    <row r="17" s="120" customFormat="1" ht="30" spans="1:15">
      <c r="A17" s="140" t="str">
        <f>$A$1</f>
        <v>226</v>
      </c>
      <c r="B17" s="124" t="s">
        <v>0</v>
      </c>
      <c r="C17" s="125"/>
      <c r="E17" s="140" t="str">
        <f>$A$1</f>
        <v>226</v>
      </c>
      <c r="F17" s="124" t="s">
        <v>0</v>
      </c>
      <c r="G17" s="125"/>
      <c r="I17" s="140" t="str">
        <f>$A$1</f>
        <v>226</v>
      </c>
      <c r="J17" s="124" t="s">
        <v>0</v>
      </c>
      <c r="K17" s="125"/>
      <c r="M17" s="140" t="str">
        <f>$A$1</f>
        <v>226</v>
      </c>
      <c r="N17" s="124" t="s">
        <v>0</v>
      </c>
      <c r="O17" s="125"/>
    </row>
    <row r="18" spans="1:15">
      <c r="A18" s="126" t="s">
        <v>1</v>
      </c>
      <c r="B18" s="122" t="s">
        <v>2</v>
      </c>
      <c r="C18" s="127">
        <f>$C$2</f>
        <v>955985</v>
      </c>
      <c r="E18" s="126" t="s">
        <v>1</v>
      </c>
      <c r="F18" s="122" t="s">
        <v>2</v>
      </c>
      <c r="G18" s="127">
        <f>$C$2</f>
        <v>955985</v>
      </c>
      <c r="I18" s="126" t="s">
        <v>1</v>
      </c>
      <c r="J18" s="122" t="s">
        <v>2</v>
      </c>
      <c r="K18" s="127">
        <f>$C$2</f>
        <v>955985</v>
      </c>
      <c r="M18" s="126" t="s">
        <v>1</v>
      </c>
      <c r="N18" s="122" t="s">
        <v>2</v>
      </c>
      <c r="O18" s="127">
        <f>$C$2</f>
        <v>955985</v>
      </c>
    </row>
    <row r="19" spans="1:15">
      <c r="A19" s="135" t="s">
        <v>3</v>
      </c>
      <c r="B19" s="122" t="s">
        <v>2</v>
      </c>
      <c r="C19" s="136" t="str">
        <f>$C$3</f>
        <v>DIN CONNECTOR FITTING</v>
      </c>
      <c r="E19" s="135" t="s">
        <v>3</v>
      </c>
      <c r="F19" s="122" t="s">
        <v>2</v>
      </c>
      <c r="G19" s="136" t="str">
        <f>$C$3</f>
        <v>DIN CONNECTOR FITTING</v>
      </c>
      <c r="I19" s="135" t="s">
        <v>3</v>
      </c>
      <c r="J19" s="122" t="s">
        <v>2</v>
      </c>
      <c r="K19" s="136" t="str">
        <f>$C$3</f>
        <v>DIN CONNECTOR FITTING</v>
      </c>
      <c r="M19" s="135" t="s">
        <v>3</v>
      </c>
      <c r="N19" s="122" t="s">
        <v>2</v>
      </c>
      <c r="O19" s="136" t="str">
        <f>$C$3</f>
        <v>DIN CONNECTOR FITTING</v>
      </c>
    </row>
    <row r="20" spans="1:15">
      <c r="A20" s="135" t="s">
        <v>4</v>
      </c>
      <c r="B20" s="122" t="s">
        <v>2</v>
      </c>
      <c r="C20" s="137">
        <f>$C$4</f>
        <v>200</v>
      </c>
      <c r="E20" s="135" t="s">
        <v>4</v>
      </c>
      <c r="F20" s="122" t="s">
        <v>2</v>
      </c>
      <c r="G20" s="137">
        <f>$C$4</f>
        <v>200</v>
      </c>
      <c r="I20" s="135" t="s">
        <v>4</v>
      </c>
      <c r="J20" s="122" t="s">
        <v>2</v>
      </c>
      <c r="K20" s="137">
        <f>$C$4</f>
        <v>200</v>
      </c>
      <c r="M20" s="135" t="s">
        <v>4</v>
      </c>
      <c r="N20" s="122" t="s">
        <v>2</v>
      </c>
      <c r="O20" s="137">
        <f>$C$4</f>
        <v>200</v>
      </c>
    </row>
    <row r="21" spans="1:15">
      <c r="A21" s="135" t="s">
        <v>5</v>
      </c>
      <c r="B21" s="122" t="s">
        <v>2</v>
      </c>
      <c r="C21" s="130" t="s">
        <v>6</v>
      </c>
      <c r="E21" s="135" t="s">
        <v>5</v>
      </c>
      <c r="F21" s="122" t="s">
        <v>2</v>
      </c>
      <c r="G21" s="130" t="s">
        <v>6</v>
      </c>
      <c r="I21" s="135" t="s">
        <v>5</v>
      </c>
      <c r="J21" s="122" t="s">
        <v>2</v>
      </c>
      <c r="K21" s="130" t="s">
        <v>6</v>
      </c>
      <c r="M21" s="135" t="s">
        <v>5</v>
      </c>
      <c r="N21" s="122" t="s">
        <v>2</v>
      </c>
      <c r="O21" s="130" t="s">
        <v>6</v>
      </c>
    </row>
    <row r="22" spans="1:15">
      <c r="A22" s="126" t="s">
        <v>7</v>
      </c>
      <c r="B22" s="122" t="s">
        <v>2</v>
      </c>
      <c r="C22" s="138">
        <f>$C$6</f>
        <v>0</v>
      </c>
      <c r="E22" s="126" t="s">
        <v>7</v>
      </c>
      <c r="F22" s="122" t="s">
        <v>2</v>
      </c>
      <c r="G22" s="138">
        <f>$C$6</f>
        <v>0</v>
      </c>
      <c r="I22" s="126" t="s">
        <v>7</v>
      </c>
      <c r="J22" s="122" t="s">
        <v>2</v>
      </c>
      <c r="K22" s="138">
        <f>$C$6</f>
        <v>0</v>
      </c>
      <c r="M22" s="126" t="s">
        <v>7</v>
      </c>
      <c r="N22" s="122" t="s">
        <v>2</v>
      </c>
      <c r="O22" s="138">
        <f>$C$6</f>
        <v>0</v>
      </c>
    </row>
    <row r="23" spans="1:15">
      <c r="A23" s="139" t="s">
        <v>8</v>
      </c>
      <c r="B23" s="133" t="s">
        <v>2</v>
      </c>
      <c r="C23" s="134" t="str">
        <f>C15</f>
        <v>A</v>
      </c>
      <c r="E23" s="139" t="s">
        <v>8</v>
      </c>
      <c r="F23" s="133" t="s">
        <v>2</v>
      </c>
      <c r="G23" s="134" t="str">
        <f>C23</f>
        <v>A</v>
      </c>
      <c r="I23" s="139" t="s">
        <v>8</v>
      </c>
      <c r="J23" s="133" t="s">
        <v>2</v>
      </c>
      <c r="K23" s="134" t="str">
        <f>G23</f>
        <v>A</v>
      </c>
      <c r="M23" s="139" t="s">
        <v>8</v>
      </c>
      <c r="N23" s="133" t="s">
        <v>2</v>
      </c>
      <c r="O23" s="134" t="str">
        <f>K23</f>
        <v>A</v>
      </c>
    </row>
    <row r="24" ht="12.95" customHeight="1"/>
    <row r="25" s="120" customFormat="1" ht="30" spans="1:15">
      <c r="A25" s="140" t="str">
        <f>$A$1</f>
        <v>226</v>
      </c>
      <c r="B25" s="124" t="s">
        <v>0</v>
      </c>
      <c r="C25" s="125"/>
      <c r="E25" s="140" t="str">
        <f>$A$1</f>
        <v>226</v>
      </c>
      <c r="F25" s="124" t="s">
        <v>0</v>
      </c>
      <c r="G25" s="125"/>
      <c r="I25" s="140" t="str">
        <f>$A$1</f>
        <v>226</v>
      </c>
      <c r="J25" s="124" t="s">
        <v>0</v>
      </c>
      <c r="K25" s="125"/>
      <c r="M25" s="140" t="str">
        <f>$A$1</f>
        <v>226</v>
      </c>
      <c r="N25" s="124" t="s">
        <v>0</v>
      </c>
      <c r="O25" s="125"/>
    </row>
    <row r="26" spans="1:15">
      <c r="A26" s="126" t="s">
        <v>1</v>
      </c>
      <c r="B26" s="122" t="s">
        <v>2</v>
      </c>
      <c r="C26" s="127">
        <f>$C$2</f>
        <v>955985</v>
      </c>
      <c r="E26" s="126" t="s">
        <v>1</v>
      </c>
      <c r="F26" s="122" t="s">
        <v>2</v>
      </c>
      <c r="G26" s="127">
        <f>$C$2</f>
        <v>955985</v>
      </c>
      <c r="I26" s="126" t="s">
        <v>1</v>
      </c>
      <c r="J26" s="122" t="s">
        <v>2</v>
      </c>
      <c r="K26" s="127">
        <f>$C$2</f>
        <v>955985</v>
      </c>
      <c r="M26" s="126" t="s">
        <v>1</v>
      </c>
      <c r="N26" s="122" t="s">
        <v>2</v>
      </c>
      <c r="O26" s="127">
        <f>$C$2</f>
        <v>955985</v>
      </c>
    </row>
    <row r="27" spans="1:15">
      <c r="A27" s="135" t="s">
        <v>3</v>
      </c>
      <c r="B27" s="122" t="s">
        <v>2</v>
      </c>
      <c r="C27" s="136" t="str">
        <f>$C$3</f>
        <v>DIN CONNECTOR FITTING</v>
      </c>
      <c r="E27" s="135" t="s">
        <v>3</v>
      </c>
      <c r="F27" s="122" t="s">
        <v>2</v>
      </c>
      <c r="G27" s="136" t="str">
        <f>$C$3</f>
        <v>DIN CONNECTOR FITTING</v>
      </c>
      <c r="I27" s="135" t="s">
        <v>3</v>
      </c>
      <c r="J27" s="122" t="s">
        <v>2</v>
      </c>
      <c r="K27" s="136" t="str">
        <f>$C$3</f>
        <v>DIN CONNECTOR FITTING</v>
      </c>
      <c r="M27" s="135" t="s">
        <v>3</v>
      </c>
      <c r="N27" s="122" t="s">
        <v>2</v>
      </c>
      <c r="O27" s="136" t="str">
        <f>$C$3</f>
        <v>DIN CONNECTOR FITTING</v>
      </c>
    </row>
    <row r="28" spans="1:15">
      <c r="A28" s="135" t="s">
        <v>4</v>
      </c>
      <c r="B28" s="122" t="s">
        <v>2</v>
      </c>
      <c r="C28" s="137">
        <f>$C$4</f>
        <v>200</v>
      </c>
      <c r="E28" s="135" t="s">
        <v>4</v>
      </c>
      <c r="F28" s="122" t="s">
        <v>2</v>
      </c>
      <c r="G28" s="137">
        <f>$C$4</f>
        <v>200</v>
      </c>
      <c r="I28" s="135" t="s">
        <v>4</v>
      </c>
      <c r="J28" s="122" t="s">
        <v>2</v>
      </c>
      <c r="K28" s="137">
        <f>$C$4</f>
        <v>200</v>
      </c>
      <c r="M28" s="135" t="s">
        <v>4</v>
      </c>
      <c r="N28" s="122" t="s">
        <v>2</v>
      </c>
      <c r="O28" s="137">
        <f>$C$4</f>
        <v>200</v>
      </c>
    </row>
    <row r="29" spans="1:15">
      <c r="A29" s="135" t="s">
        <v>5</v>
      </c>
      <c r="B29" s="122" t="s">
        <v>2</v>
      </c>
      <c r="C29" s="130" t="s">
        <v>6</v>
      </c>
      <c r="E29" s="135" t="s">
        <v>5</v>
      </c>
      <c r="F29" s="122" t="s">
        <v>2</v>
      </c>
      <c r="G29" s="130" t="s">
        <v>6</v>
      </c>
      <c r="I29" s="135" t="s">
        <v>5</v>
      </c>
      <c r="J29" s="122" t="s">
        <v>2</v>
      </c>
      <c r="K29" s="130" t="s">
        <v>6</v>
      </c>
      <c r="M29" s="135" t="s">
        <v>5</v>
      </c>
      <c r="N29" s="122" t="s">
        <v>2</v>
      </c>
      <c r="O29" s="130" t="s">
        <v>6</v>
      </c>
    </row>
    <row r="30" spans="1:15">
      <c r="A30" s="126" t="s">
        <v>7</v>
      </c>
      <c r="B30" s="122" t="s">
        <v>2</v>
      </c>
      <c r="C30" s="138">
        <f>$C$6</f>
        <v>0</v>
      </c>
      <c r="E30" s="126" t="s">
        <v>7</v>
      </c>
      <c r="F30" s="122" t="s">
        <v>2</v>
      </c>
      <c r="G30" s="138">
        <f>$C$6</f>
        <v>0</v>
      </c>
      <c r="I30" s="126" t="s">
        <v>7</v>
      </c>
      <c r="J30" s="122" t="s">
        <v>2</v>
      </c>
      <c r="K30" s="138">
        <f>$C$6</f>
        <v>0</v>
      </c>
      <c r="M30" s="126" t="s">
        <v>7</v>
      </c>
      <c r="N30" s="122" t="s">
        <v>2</v>
      </c>
      <c r="O30" s="138">
        <f>$C$6</f>
        <v>0</v>
      </c>
    </row>
    <row r="31" spans="1:15">
      <c r="A31" s="139" t="s">
        <v>8</v>
      </c>
      <c r="B31" s="133" t="s">
        <v>2</v>
      </c>
      <c r="C31" s="134" t="str">
        <f>C23</f>
        <v>A</v>
      </c>
      <c r="E31" s="139" t="s">
        <v>8</v>
      </c>
      <c r="F31" s="133" t="s">
        <v>2</v>
      </c>
      <c r="G31" s="134" t="str">
        <f>C31</f>
        <v>A</v>
      </c>
      <c r="I31" s="139" t="s">
        <v>8</v>
      </c>
      <c r="J31" s="133" t="s">
        <v>2</v>
      </c>
      <c r="K31" s="134" t="str">
        <f>G31</f>
        <v>A</v>
      </c>
      <c r="M31" s="139" t="s">
        <v>8</v>
      </c>
      <c r="N31" s="133" t="s">
        <v>2</v>
      </c>
      <c r="O31" s="134" t="str">
        <f>K31</f>
        <v>A</v>
      </c>
    </row>
    <row r="32" ht="12.95" customHeight="1"/>
    <row r="33" s="120" customFormat="1" ht="30" spans="1:15">
      <c r="A33" s="140" t="str">
        <f>$A$1</f>
        <v>226</v>
      </c>
      <c r="B33" s="124" t="s">
        <v>0</v>
      </c>
      <c r="C33" s="125"/>
      <c r="E33" s="140" t="str">
        <f>$A$1</f>
        <v>226</v>
      </c>
      <c r="F33" s="124" t="s">
        <v>0</v>
      </c>
      <c r="G33" s="125"/>
      <c r="I33" s="140" t="str">
        <f>$A$1</f>
        <v>226</v>
      </c>
      <c r="J33" s="124" t="s">
        <v>0</v>
      </c>
      <c r="K33" s="125"/>
      <c r="M33" s="140" t="str">
        <f>$A$1</f>
        <v>226</v>
      </c>
      <c r="N33" s="124" t="s">
        <v>0</v>
      </c>
      <c r="O33" s="125"/>
    </row>
    <row r="34" spans="1:15">
      <c r="A34" s="126" t="s">
        <v>1</v>
      </c>
      <c r="B34" s="122" t="s">
        <v>2</v>
      </c>
      <c r="C34" s="127">
        <f>$C$2</f>
        <v>955985</v>
      </c>
      <c r="E34" s="126" t="s">
        <v>1</v>
      </c>
      <c r="F34" s="122" t="s">
        <v>2</v>
      </c>
      <c r="G34" s="127">
        <f>$C$2</f>
        <v>955985</v>
      </c>
      <c r="I34" s="126" t="s">
        <v>1</v>
      </c>
      <c r="J34" s="122" t="s">
        <v>2</v>
      </c>
      <c r="K34" s="127">
        <f>$C$2</f>
        <v>955985</v>
      </c>
      <c r="M34" s="126" t="s">
        <v>1</v>
      </c>
      <c r="N34" s="122" t="s">
        <v>2</v>
      </c>
      <c r="O34" s="127">
        <f>$C$2</f>
        <v>955985</v>
      </c>
    </row>
    <row r="35" spans="1:15">
      <c r="A35" s="135" t="s">
        <v>3</v>
      </c>
      <c r="B35" s="122" t="s">
        <v>2</v>
      </c>
      <c r="C35" s="136" t="str">
        <f>$C$3</f>
        <v>DIN CONNECTOR FITTING</v>
      </c>
      <c r="E35" s="135" t="s">
        <v>3</v>
      </c>
      <c r="F35" s="122" t="s">
        <v>2</v>
      </c>
      <c r="G35" s="136" t="str">
        <f>$C$3</f>
        <v>DIN CONNECTOR FITTING</v>
      </c>
      <c r="I35" s="135" t="s">
        <v>3</v>
      </c>
      <c r="J35" s="122" t="s">
        <v>2</v>
      </c>
      <c r="K35" s="136" t="str">
        <f>$C$3</f>
        <v>DIN CONNECTOR FITTING</v>
      </c>
      <c r="M35" s="135" t="s">
        <v>3</v>
      </c>
      <c r="N35" s="122" t="s">
        <v>2</v>
      </c>
      <c r="O35" s="136" t="str">
        <f>$C$3</f>
        <v>DIN CONNECTOR FITTING</v>
      </c>
    </row>
    <row r="36" spans="1:15">
      <c r="A36" s="135" t="s">
        <v>4</v>
      </c>
      <c r="B36" s="122" t="s">
        <v>2</v>
      </c>
      <c r="C36" s="137">
        <f>$C$4</f>
        <v>200</v>
      </c>
      <c r="E36" s="135" t="s">
        <v>4</v>
      </c>
      <c r="F36" s="122" t="s">
        <v>2</v>
      </c>
      <c r="G36" s="137">
        <f>$C$4</f>
        <v>200</v>
      </c>
      <c r="I36" s="135" t="s">
        <v>4</v>
      </c>
      <c r="J36" s="122" t="s">
        <v>2</v>
      </c>
      <c r="K36" s="137">
        <f>$C$4</f>
        <v>200</v>
      </c>
      <c r="M36" s="135" t="s">
        <v>4</v>
      </c>
      <c r="N36" s="122" t="s">
        <v>2</v>
      </c>
      <c r="O36" s="137">
        <f>$C$4</f>
        <v>200</v>
      </c>
    </row>
    <row r="37" spans="1:15">
      <c r="A37" s="135" t="s">
        <v>5</v>
      </c>
      <c r="B37" s="122" t="s">
        <v>2</v>
      </c>
      <c r="C37" s="130" t="s">
        <v>6</v>
      </c>
      <c r="E37" s="135" t="s">
        <v>5</v>
      </c>
      <c r="F37" s="122" t="s">
        <v>2</v>
      </c>
      <c r="G37" s="130" t="s">
        <v>6</v>
      </c>
      <c r="I37" s="135" t="s">
        <v>5</v>
      </c>
      <c r="J37" s="122" t="s">
        <v>2</v>
      </c>
      <c r="K37" s="130" t="s">
        <v>6</v>
      </c>
      <c r="M37" s="135" t="s">
        <v>5</v>
      </c>
      <c r="N37" s="122" t="s">
        <v>2</v>
      </c>
      <c r="O37" s="130" t="s">
        <v>6</v>
      </c>
    </row>
    <row r="38" spans="1:15">
      <c r="A38" s="126" t="s">
        <v>7</v>
      </c>
      <c r="B38" s="122" t="s">
        <v>2</v>
      </c>
      <c r="C38" s="138">
        <f>$C$6</f>
        <v>0</v>
      </c>
      <c r="E38" s="126" t="s">
        <v>7</v>
      </c>
      <c r="F38" s="122" t="s">
        <v>2</v>
      </c>
      <c r="G38" s="138">
        <f>$C$6</f>
        <v>0</v>
      </c>
      <c r="I38" s="126" t="s">
        <v>7</v>
      </c>
      <c r="J38" s="122" t="s">
        <v>2</v>
      </c>
      <c r="K38" s="138">
        <f>$C$6</f>
        <v>0</v>
      </c>
      <c r="M38" s="126" t="s">
        <v>7</v>
      </c>
      <c r="N38" s="122" t="s">
        <v>2</v>
      </c>
      <c r="O38" s="138">
        <f>$C$6</f>
        <v>0</v>
      </c>
    </row>
    <row r="39" spans="1:15">
      <c r="A39" s="139" t="s">
        <v>8</v>
      </c>
      <c r="B39" s="133" t="s">
        <v>2</v>
      </c>
      <c r="C39" s="134" t="str">
        <f>C31</f>
        <v>A</v>
      </c>
      <c r="E39" s="139" t="s">
        <v>8</v>
      </c>
      <c r="F39" s="133" t="s">
        <v>2</v>
      </c>
      <c r="G39" s="134" t="str">
        <f>C39</f>
        <v>A</v>
      </c>
      <c r="I39" s="139" t="s">
        <v>8</v>
      </c>
      <c r="J39" s="133" t="s">
        <v>2</v>
      </c>
      <c r="K39" s="134" t="str">
        <f>G39</f>
        <v>A</v>
      </c>
      <c r="M39" s="139" t="s">
        <v>8</v>
      </c>
      <c r="N39" s="133" t="s">
        <v>2</v>
      </c>
      <c r="O39" s="134" t="str">
        <f>K39</f>
        <v>A</v>
      </c>
    </row>
    <row r="40" ht="12.95" customHeight="1"/>
    <row r="41" s="120" customFormat="1" ht="30" spans="1:15">
      <c r="A41" s="140" t="str">
        <f>$A$1</f>
        <v>226</v>
      </c>
      <c r="B41" s="124" t="s">
        <v>0</v>
      </c>
      <c r="C41" s="125"/>
      <c r="E41" s="140" t="str">
        <f>$A$1</f>
        <v>226</v>
      </c>
      <c r="F41" s="124" t="s">
        <v>0</v>
      </c>
      <c r="G41" s="125"/>
      <c r="I41" s="140" t="str">
        <f>$A$1</f>
        <v>226</v>
      </c>
      <c r="J41" s="124" t="s">
        <v>0</v>
      </c>
      <c r="K41" s="125"/>
      <c r="M41" s="140" t="str">
        <f>$A$1</f>
        <v>226</v>
      </c>
      <c r="N41" s="124" t="s">
        <v>0</v>
      </c>
      <c r="O41" s="125"/>
    </row>
    <row r="42" spans="1:15">
      <c r="A42" s="126" t="s">
        <v>1</v>
      </c>
      <c r="B42" s="122" t="s">
        <v>2</v>
      </c>
      <c r="C42" s="127">
        <f>$C$2</f>
        <v>955985</v>
      </c>
      <c r="E42" s="126" t="s">
        <v>1</v>
      </c>
      <c r="F42" s="122" t="s">
        <v>2</v>
      </c>
      <c r="G42" s="127">
        <f>$C$2</f>
        <v>955985</v>
      </c>
      <c r="I42" s="126" t="s">
        <v>1</v>
      </c>
      <c r="J42" s="122" t="s">
        <v>2</v>
      </c>
      <c r="K42" s="127">
        <f>$C$2</f>
        <v>955985</v>
      </c>
      <c r="M42" s="126" t="s">
        <v>1</v>
      </c>
      <c r="N42" s="122" t="s">
        <v>2</v>
      </c>
      <c r="O42" s="127">
        <f>$C$2</f>
        <v>955985</v>
      </c>
    </row>
    <row r="43" spans="1:15">
      <c r="A43" s="135" t="s">
        <v>3</v>
      </c>
      <c r="B43" s="122" t="s">
        <v>2</v>
      </c>
      <c r="C43" s="136" t="str">
        <f>$C$3</f>
        <v>DIN CONNECTOR FITTING</v>
      </c>
      <c r="E43" s="135" t="s">
        <v>3</v>
      </c>
      <c r="F43" s="122" t="s">
        <v>2</v>
      </c>
      <c r="G43" s="136" t="str">
        <f>$C$3</f>
        <v>DIN CONNECTOR FITTING</v>
      </c>
      <c r="I43" s="135" t="s">
        <v>3</v>
      </c>
      <c r="J43" s="122" t="s">
        <v>2</v>
      </c>
      <c r="K43" s="136" t="str">
        <f>$C$3</f>
        <v>DIN CONNECTOR FITTING</v>
      </c>
      <c r="M43" s="135" t="s">
        <v>3</v>
      </c>
      <c r="N43" s="122" t="s">
        <v>2</v>
      </c>
      <c r="O43" s="136" t="str">
        <f>$C$3</f>
        <v>DIN CONNECTOR FITTING</v>
      </c>
    </row>
    <row r="44" spans="1:15">
      <c r="A44" s="135" t="s">
        <v>4</v>
      </c>
      <c r="B44" s="122" t="s">
        <v>2</v>
      </c>
      <c r="C44" s="137">
        <f>$C$4</f>
        <v>200</v>
      </c>
      <c r="E44" s="135" t="s">
        <v>4</v>
      </c>
      <c r="F44" s="122" t="s">
        <v>2</v>
      </c>
      <c r="G44" s="137">
        <f>$C$4</f>
        <v>200</v>
      </c>
      <c r="I44" s="135" t="s">
        <v>4</v>
      </c>
      <c r="J44" s="122" t="s">
        <v>2</v>
      </c>
      <c r="K44" s="137">
        <f>$C$4</f>
        <v>200</v>
      </c>
      <c r="M44" s="135" t="s">
        <v>4</v>
      </c>
      <c r="N44" s="122" t="s">
        <v>2</v>
      </c>
      <c r="O44" s="137">
        <f>$C$4</f>
        <v>200</v>
      </c>
    </row>
    <row r="45" spans="1:15">
      <c r="A45" s="135" t="s">
        <v>5</v>
      </c>
      <c r="B45" s="122" t="s">
        <v>2</v>
      </c>
      <c r="C45" s="130" t="s">
        <v>6</v>
      </c>
      <c r="E45" s="135" t="s">
        <v>5</v>
      </c>
      <c r="F45" s="122" t="s">
        <v>2</v>
      </c>
      <c r="G45" s="130" t="s">
        <v>6</v>
      </c>
      <c r="I45" s="135" t="s">
        <v>5</v>
      </c>
      <c r="J45" s="122" t="s">
        <v>2</v>
      </c>
      <c r="K45" s="130" t="s">
        <v>6</v>
      </c>
      <c r="M45" s="135" t="s">
        <v>5</v>
      </c>
      <c r="N45" s="122" t="s">
        <v>2</v>
      </c>
      <c r="O45" s="130" t="s">
        <v>6</v>
      </c>
    </row>
    <row r="46" spans="1:15">
      <c r="A46" s="126" t="s">
        <v>7</v>
      </c>
      <c r="B46" s="122" t="s">
        <v>2</v>
      </c>
      <c r="C46" s="138">
        <f>$C$6</f>
        <v>0</v>
      </c>
      <c r="E46" s="126" t="s">
        <v>7</v>
      </c>
      <c r="F46" s="122" t="s">
        <v>2</v>
      </c>
      <c r="G46" s="138">
        <f>$C$6</f>
        <v>0</v>
      </c>
      <c r="I46" s="126" t="s">
        <v>7</v>
      </c>
      <c r="J46" s="122" t="s">
        <v>2</v>
      </c>
      <c r="K46" s="138">
        <f>$C$6</f>
        <v>0</v>
      </c>
      <c r="M46" s="126" t="s">
        <v>7</v>
      </c>
      <c r="N46" s="122" t="s">
        <v>2</v>
      </c>
      <c r="O46" s="138">
        <f>$C$6</f>
        <v>0</v>
      </c>
    </row>
    <row r="47" spans="1:15">
      <c r="A47" s="139" t="s">
        <v>8</v>
      </c>
      <c r="B47" s="133" t="s">
        <v>2</v>
      </c>
      <c r="C47" s="134" t="str">
        <f>C39</f>
        <v>A</v>
      </c>
      <c r="E47" s="139" t="s">
        <v>8</v>
      </c>
      <c r="F47" s="133" t="s">
        <v>2</v>
      </c>
      <c r="G47" s="134" t="str">
        <f>C47</f>
        <v>A</v>
      </c>
      <c r="I47" s="139" t="s">
        <v>8</v>
      </c>
      <c r="J47" s="133" t="s">
        <v>2</v>
      </c>
      <c r="K47" s="134" t="str">
        <f>G47</f>
        <v>A</v>
      </c>
      <c r="M47" s="139" t="s">
        <v>8</v>
      </c>
      <c r="N47" s="133" t="s">
        <v>2</v>
      </c>
      <c r="O47" s="134" t="str">
        <f>K47</f>
        <v>A</v>
      </c>
    </row>
    <row r="48" ht="12.95" customHeight="1"/>
    <row r="49" s="120" customFormat="1" ht="30" spans="1:15">
      <c r="A49" s="140" t="str">
        <f>$A$1</f>
        <v>226</v>
      </c>
      <c r="B49" s="124" t="s">
        <v>0</v>
      </c>
      <c r="C49" s="125"/>
      <c r="E49" s="140" t="str">
        <f>$A$1</f>
        <v>226</v>
      </c>
      <c r="F49" s="124" t="s">
        <v>0</v>
      </c>
      <c r="G49" s="125"/>
      <c r="I49" s="140" t="str">
        <f>$A$1</f>
        <v>226</v>
      </c>
      <c r="J49" s="124" t="s">
        <v>0</v>
      </c>
      <c r="K49" s="125"/>
      <c r="M49" s="140" t="str">
        <f>$A$1</f>
        <v>226</v>
      </c>
      <c r="N49" s="124" t="s">
        <v>0</v>
      </c>
      <c r="O49" s="125"/>
    </row>
    <row r="50" spans="1:15">
      <c r="A50" s="126" t="s">
        <v>1</v>
      </c>
      <c r="B50" s="122" t="s">
        <v>2</v>
      </c>
      <c r="C50" s="127">
        <f>$C$2</f>
        <v>955985</v>
      </c>
      <c r="E50" s="126" t="s">
        <v>1</v>
      </c>
      <c r="F50" s="122" t="s">
        <v>2</v>
      </c>
      <c r="G50" s="127">
        <f>$C$2</f>
        <v>955985</v>
      </c>
      <c r="I50" s="126" t="s">
        <v>1</v>
      </c>
      <c r="J50" s="122" t="s">
        <v>2</v>
      </c>
      <c r="K50" s="127">
        <f>$C$2</f>
        <v>955985</v>
      </c>
      <c r="M50" s="126" t="s">
        <v>1</v>
      </c>
      <c r="N50" s="122" t="s">
        <v>2</v>
      </c>
      <c r="O50" s="127">
        <f>$C$2</f>
        <v>955985</v>
      </c>
    </row>
    <row r="51" spans="1:15">
      <c r="A51" s="135" t="s">
        <v>3</v>
      </c>
      <c r="B51" s="122" t="s">
        <v>2</v>
      </c>
      <c r="C51" s="136" t="str">
        <f>$C$3</f>
        <v>DIN CONNECTOR FITTING</v>
      </c>
      <c r="E51" s="135" t="s">
        <v>3</v>
      </c>
      <c r="F51" s="122" t="s">
        <v>2</v>
      </c>
      <c r="G51" s="136" t="str">
        <f>$C$3</f>
        <v>DIN CONNECTOR FITTING</v>
      </c>
      <c r="I51" s="135" t="s">
        <v>3</v>
      </c>
      <c r="J51" s="122" t="s">
        <v>2</v>
      </c>
      <c r="K51" s="136" t="str">
        <f>$C$3</f>
        <v>DIN CONNECTOR FITTING</v>
      </c>
      <c r="M51" s="135" t="s">
        <v>3</v>
      </c>
      <c r="N51" s="122" t="s">
        <v>2</v>
      </c>
      <c r="O51" s="136" t="str">
        <f>$C$3</f>
        <v>DIN CONNECTOR FITTING</v>
      </c>
    </row>
    <row r="52" spans="1:15">
      <c r="A52" s="135" t="s">
        <v>4</v>
      </c>
      <c r="B52" s="122" t="s">
        <v>2</v>
      </c>
      <c r="C52" s="137">
        <f>$C$4</f>
        <v>200</v>
      </c>
      <c r="E52" s="135" t="s">
        <v>4</v>
      </c>
      <c r="F52" s="122" t="s">
        <v>2</v>
      </c>
      <c r="G52" s="137">
        <f>$C$4</f>
        <v>200</v>
      </c>
      <c r="I52" s="135" t="s">
        <v>4</v>
      </c>
      <c r="J52" s="122" t="s">
        <v>2</v>
      </c>
      <c r="K52" s="137">
        <f>$C$4</f>
        <v>200</v>
      </c>
      <c r="M52" s="135" t="s">
        <v>4</v>
      </c>
      <c r="N52" s="122" t="s">
        <v>2</v>
      </c>
      <c r="O52" s="137">
        <f>$C$4</f>
        <v>200</v>
      </c>
    </row>
    <row r="53" spans="1:15">
      <c r="A53" s="135" t="s">
        <v>5</v>
      </c>
      <c r="B53" s="122" t="s">
        <v>2</v>
      </c>
      <c r="C53" s="130" t="s">
        <v>6</v>
      </c>
      <c r="E53" s="135" t="s">
        <v>5</v>
      </c>
      <c r="F53" s="122" t="s">
        <v>2</v>
      </c>
      <c r="G53" s="130" t="s">
        <v>6</v>
      </c>
      <c r="I53" s="135" t="s">
        <v>5</v>
      </c>
      <c r="J53" s="122" t="s">
        <v>2</v>
      </c>
      <c r="K53" s="130" t="s">
        <v>6</v>
      </c>
      <c r="M53" s="135" t="s">
        <v>5</v>
      </c>
      <c r="N53" s="122" t="s">
        <v>2</v>
      </c>
      <c r="O53" s="130" t="s">
        <v>6</v>
      </c>
    </row>
    <row r="54" spans="1:15">
      <c r="A54" s="126" t="s">
        <v>7</v>
      </c>
      <c r="B54" s="122" t="s">
        <v>2</v>
      </c>
      <c r="C54" s="138">
        <f>$C$6</f>
        <v>0</v>
      </c>
      <c r="E54" s="126" t="s">
        <v>7</v>
      </c>
      <c r="F54" s="122" t="s">
        <v>2</v>
      </c>
      <c r="G54" s="138">
        <f>$C$6</f>
        <v>0</v>
      </c>
      <c r="I54" s="126" t="s">
        <v>7</v>
      </c>
      <c r="J54" s="122" t="s">
        <v>2</v>
      </c>
      <c r="K54" s="138">
        <f>$C$6</f>
        <v>0</v>
      </c>
      <c r="M54" s="126" t="s">
        <v>7</v>
      </c>
      <c r="N54" s="122" t="s">
        <v>2</v>
      </c>
      <c r="O54" s="138">
        <f>$C$6</f>
        <v>0</v>
      </c>
    </row>
    <row r="55" spans="1:15">
      <c r="A55" s="139" t="s">
        <v>8</v>
      </c>
      <c r="B55" s="133" t="s">
        <v>2</v>
      </c>
      <c r="C55" s="134" t="str">
        <f>C47</f>
        <v>A</v>
      </c>
      <c r="E55" s="139" t="s">
        <v>8</v>
      </c>
      <c r="F55" s="133" t="s">
        <v>2</v>
      </c>
      <c r="G55" s="134" t="str">
        <f>C55</f>
        <v>A</v>
      </c>
      <c r="I55" s="139" t="s">
        <v>8</v>
      </c>
      <c r="J55" s="133" t="s">
        <v>2</v>
      </c>
      <c r="K55" s="134" t="str">
        <f>G55</f>
        <v>A</v>
      </c>
      <c r="M55" s="139" t="s">
        <v>8</v>
      </c>
      <c r="N55" s="133" t="s">
        <v>2</v>
      </c>
      <c r="O55" s="134" t="str">
        <f>K55</f>
        <v>A</v>
      </c>
    </row>
    <row r="56" ht="12.95" customHeight="1"/>
    <row r="57" s="120" customFormat="1" ht="30" spans="1:15">
      <c r="A57" s="140" t="str">
        <f>$A$1</f>
        <v>226</v>
      </c>
      <c r="B57" s="124" t="s">
        <v>0</v>
      </c>
      <c r="C57" s="125"/>
      <c r="E57" s="140" t="str">
        <f>$A$1</f>
        <v>226</v>
      </c>
      <c r="F57" s="124" t="s">
        <v>0</v>
      </c>
      <c r="G57" s="125"/>
      <c r="I57" s="140" t="str">
        <f>$A$1</f>
        <v>226</v>
      </c>
      <c r="J57" s="124" t="s">
        <v>0</v>
      </c>
      <c r="K57" s="125"/>
      <c r="M57" s="140" t="str">
        <f>$A$1</f>
        <v>226</v>
      </c>
      <c r="N57" s="124" t="s">
        <v>0</v>
      </c>
      <c r="O57" s="125"/>
    </row>
    <row r="58" spans="1:15">
      <c r="A58" s="126" t="s">
        <v>1</v>
      </c>
      <c r="B58" s="122" t="s">
        <v>2</v>
      </c>
      <c r="C58" s="127">
        <f>$C$2</f>
        <v>955985</v>
      </c>
      <c r="E58" s="126" t="s">
        <v>1</v>
      </c>
      <c r="F58" s="122" t="s">
        <v>2</v>
      </c>
      <c r="G58" s="127">
        <f>$C$2</f>
        <v>955985</v>
      </c>
      <c r="I58" s="126" t="s">
        <v>1</v>
      </c>
      <c r="J58" s="122" t="s">
        <v>2</v>
      </c>
      <c r="K58" s="127">
        <f>$C$2</f>
        <v>955985</v>
      </c>
      <c r="M58" s="126" t="s">
        <v>1</v>
      </c>
      <c r="N58" s="122" t="s">
        <v>2</v>
      </c>
      <c r="O58" s="127">
        <f>$C$2</f>
        <v>955985</v>
      </c>
    </row>
    <row r="59" spans="1:15">
      <c r="A59" s="135" t="s">
        <v>3</v>
      </c>
      <c r="B59" s="122" t="s">
        <v>2</v>
      </c>
      <c r="C59" s="136" t="str">
        <f>$C$3</f>
        <v>DIN CONNECTOR FITTING</v>
      </c>
      <c r="E59" s="135" t="s">
        <v>3</v>
      </c>
      <c r="F59" s="122" t="s">
        <v>2</v>
      </c>
      <c r="G59" s="136" t="str">
        <f>$C$3</f>
        <v>DIN CONNECTOR FITTING</v>
      </c>
      <c r="I59" s="135" t="s">
        <v>3</v>
      </c>
      <c r="J59" s="122" t="s">
        <v>2</v>
      </c>
      <c r="K59" s="136" t="str">
        <f>$C$3</f>
        <v>DIN CONNECTOR FITTING</v>
      </c>
      <c r="M59" s="135" t="s">
        <v>3</v>
      </c>
      <c r="N59" s="122" t="s">
        <v>2</v>
      </c>
      <c r="O59" s="136" t="str">
        <f>$C$3</f>
        <v>DIN CONNECTOR FITTING</v>
      </c>
    </row>
    <row r="60" spans="1:15">
      <c r="A60" s="135" t="s">
        <v>4</v>
      </c>
      <c r="B60" s="122" t="s">
        <v>2</v>
      </c>
      <c r="C60" s="137">
        <f>$C$4</f>
        <v>200</v>
      </c>
      <c r="E60" s="135" t="s">
        <v>4</v>
      </c>
      <c r="F60" s="122" t="s">
        <v>2</v>
      </c>
      <c r="G60" s="137">
        <f>$C$4</f>
        <v>200</v>
      </c>
      <c r="I60" s="135" t="s">
        <v>4</v>
      </c>
      <c r="J60" s="122" t="s">
        <v>2</v>
      </c>
      <c r="K60" s="137">
        <f>$C$4</f>
        <v>200</v>
      </c>
      <c r="M60" s="135" t="s">
        <v>4</v>
      </c>
      <c r="N60" s="122" t="s">
        <v>2</v>
      </c>
      <c r="O60" s="137">
        <f>$C$4</f>
        <v>200</v>
      </c>
    </row>
    <row r="61" spans="1:15">
      <c r="A61" s="135" t="s">
        <v>5</v>
      </c>
      <c r="B61" s="122" t="s">
        <v>2</v>
      </c>
      <c r="C61" s="130" t="s">
        <v>6</v>
      </c>
      <c r="E61" s="135" t="s">
        <v>5</v>
      </c>
      <c r="F61" s="122" t="s">
        <v>2</v>
      </c>
      <c r="G61" s="130" t="s">
        <v>6</v>
      </c>
      <c r="I61" s="135" t="s">
        <v>5</v>
      </c>
      <c r="J61" s="122" t="s">
        <v>2</v>
      </c>
      <c r="K61" s="130" t="s">
        <v>6</v>
      </c>
      <c r="M61" s="135" t="s">
        <v>5</v>
      </c>
      <c r="N61" s="122" t="s">
        <v>2</v>
      </c>
      <c r="O61" s="130" t="s">
        <v>6</v>
      </c>
    </row>
    <row r="62" spans="1:15">
      <c r="A62" s="126" t="s">
        <v>7</v>
      </c>
      <c r="B62" s="122" t="s">
        <v>2</v>
      </c>
      <c r="C62" s="138">
        <f>$C$6</f>
        <v>0</v>
      </c>
      <c r="E62" s="126" t="s">
        <v>7</v>
      </c>
      <c r="F62" s="122" t="s">
        <v>2</v>
      </c>
      <c r="G62" s="138">
        <f>$C$6</f>
        <v>0</v>
      </c>
      <c r="I62" s="126" t="s">
        <v>7</v>
      </c>
      <c r="J62" s="122" t="s">
        <v>2</v>
      </c>
      <c r="K62" s="138">
        <f>$C$6</f>
        <v>0</v>
      </c>
      <c r="M62" s="126" t="s">
        <v>7</v>
      </c>
      <c r="N62" s="122" t="s">
        <v>2</v>
      </c>
      <c r="O62" s="138">
        <f>$C$6</f>
        <v>0</v>
      </c>
    </row>
    <row r="63" spans="1:15">
      <c r="A63" s="139" t="s">
        <v>8</v>
      </c>
      <c r="B63" s="133" t="s">
        <v>2</v>
      </c>
      <c r="C63" s="134" t="str">
        <f>C55</f>
        <v>A</v>
      </c>
      <c r="E63" s="139" t="s">
        <v>8</v>
      </c>
      <c r="F63" s="133" t="s">
        <v>2</v>
      </c>
      <c r="G63" s="134" t="str">
        <f>C63</f>
        <v>A</v>
      </c>
      <c r="I63" s="139" t="s">
        <v>8</v>
      </c>
      <c r="J63" s="133" t="s">
        <v>2</v>
      </c>
      <c r="K63" s="134" t="str">
        <f>G63</f>
        <v>A</v>
      </c>
      <c r="M63" s="139" t="s">
        <v>8</v>
      </c>
      <c r="N63" s="133" t="s">
        <v>2</v>
      </c>
      <c r="O63" s="134" t="str">
        <f>K63</f>
        <v>A</v>
      </c>
    </row>
    <row r="64" ht="12.95" customHeight="1"/>
    <row r="65" s="120" customFormat="1" ht="30" spans="1:15">
      <c r="A65" s="140" t="str">
        <f>$A$1</f>
        <v>226</v>
      </c>
      <c r="B65" s="124" t="s">
        <v>0</v>
      </c>
      <c r="C65" s="125"/>
      <c r="E65" s="140" t="str">
        <f>$A$1</f>
        <v>226</v>
      </c>
      <c r="F65" s="124" t="s">
        <v>0</v>
      </c>
      <c r="G65" s="125"/>
      <c r="I65" s="140" t="str">
        <f>$A$1</f>
        <v>226</v>
      </c>
      <c r="J65" s="124" t="s">
        <v>0</v>
      </c>
      <c r="K65" s="125"/>
      <c r="M65" s="140" t="str">
        <f>$A$1</f>
        <v>226</v>
      </c>
      <c r="N65" s="124" t="s">
        <v>0</v>
      </c>
      <c r="O65" s="125"/>
    </row>
    <row r="66" spans="1:15">
      <c r="A66" s="126" t="s">
        <v>1</v>
      </c>
      <c r="B66" s="122" t="s">
        <v>2</v>
      </c>
      <c r="C66" s="127">
        <f>$C$2</f>
        <v>955985</v>
      </c>
      <c r="E66" s="126" t="s">
        <v>1</v>
      </c>
      <c r="F66" s="122" t="s">
        <v>2</v>
      </c>
      <c r="G66" s="127">
        <f>$C$2</f>
        <v>955985</v>
      </c>
      <c r="I66" s="126" t="s">
        <v>1</v>
      </c>
      <c r="J66" s="122" t="s">
        <v>2</v>
      </c>
      <c r="K66" s="127">
        <f>$C$2</f>
        <v>955985</v>
      </c>
      <c r="M66" s="126" t="s">
        <v>1</v>
      </c>
      <c r="N66" s="122" t="s">
        <v>2</v>
      </c>
      <c r="O66" s="127">
        <f>$C$2</f>
        <v>955985</v>
      </c>
    </row>
    <row r="67" spans="1:15">
      <c r="A67" s="135" t="s">
        <v>3</v>
      </c>
      <c r="B67" s="122" t="s">
        <v>2</v>
      </c>
      <c r="C67" s="136" t="str">
        <f>$C$3</f>
        <v>DIN CONNECTOR FITTING</v>
      </c>
      <c r="E67" s="135" t="s">
        <v>3</v>
      </c>
      <c r="F67" s="122" t="s">
        <v>2</v>
      </c>
      <c r="G67" s="136" t="str">
        <f>$C$3</f>
        <v>DIN CONNECTOR FITTING</v>
      </c>
      <c r="I67" s="135" t="s">
        <v>3</v>
      </c>
      <c r="J67" s="122" t="s">
        <v>2</v>
      </c>
      <c r="K67" s="136" t="str">
        <f>$C$3</f>
        <v>DIN CONNECTOR FITTING</v>
      </c>
      <c r="M67" s="135" t="s">
        <v>3</v>
      </c>
      <c r="N67" s="122" t="s">
        <v>2</v>
      </c>
      <c r="O67" s="136" t="str">
        <f>$C$3</f>
        <v>DIN CONNECTOR FITTING</v>
      </c>
    </row>
    <row r="68" spans="1:15">
      <c r="A68" s="135" t="s">
        <v>4</v>
      </c>
      <c r="B68" s="122" t="s">
        <v>2</v>
      </c>
      <c r="C68" s="137">
        <f>$C$4</f>
        <v>200</v>
      </c>
      <c r="E68" s="135" t="s">
        <v>4</v>
      </c>
      <c r="F68" s="122" t="s">
        <v>2</v>
      </c>
      <c r="G68" s="137">
        <f>$C$4</f>
        <v>200</v>
      </c>
      <c r="I68" s="135" t="s">
        <v>4</v>
      </c>
      <c r="J68" s="122" t="s">
        <v>2</v>
      </c>
      <c r="K68" s="137">
        <f>$C$4</f>
        <v>200</v>
      </c>
      <c r="M68" s="135" t="s">
        <v>4</v>
      </c>
      <c r="N68" s="122" t="s">
        <v>2</v>
      </c>
      <c r="O68" s="137">
        <f>$C$4</f>
        <v>200</v>
      </c>
    </row>
    <row r="69" spans="1:15">
      <c r="A69" s="135" t="s">
        <v>5</v>
      </c>
      <c r="B69" s="122" t="s">
        <v>2</v>
      </c>
      <c r="C69" s="130" t="s">
        <v>6</v>
      </c>
      <c r="E69" s="135" t="s">
        <v>5</v>
      </c>
      <c r="F69" s="122" t="s">
        <v>2</v>
      </c>
      <c r="G69" s="130" t="s">
        <v>6</v>
      </c>
      <c r="I69" s="135" t="s">
        <v>5</v>
      </c>
      <c r="J69" s="122" t="s">
        <v>2</v>
      </c>
      <c r="K69" s="130" t="s">
        <v>6</v>
      </c>
      <c r="M69" s="135" t="s">
        <v>5</v>
      </c>
      <c r="N69" s="122" t="s">
        <v>2</v>
      </c>
      <c r="O69" s="130" t="s">
        <v>6</v>
      </c>
    </row>
    <row r="70" spans="1:15">
      <c r="A70" s="126" t="s">
        <v>7</v>
      </c>
      <c r="B70" s="122" t="s">
        <v>2</v>
      </c>
      <c r="C70" s="138">
        <f>$C$6</f>
        <v>0</v>
      </c>
      <c r="E70" s="126" t="s">
        <v>7</v>
      </c>
      <c r="F70" s="122" t="s">
        <v>2</v>
      </c>
      <c r="G70" s="138">
        <f>$C$6</f>
        <v>0</v>
      </c>
      <c r="I70" s="126" t="s">
        <v>7</v>
      </c>
      <c r="J70" s="122" t="s">
        <v>2</v>
      </c>
      <c r="K70" s="138">
        <f>$C$6</f>
        <v>0</v>
      </c>
      <c r="M70" s="126" t="s">
        <v>7</v>
      </c>
      <c r="N70" s="122" t="s">
        <v>2</v>
      </c>
      <c r="O70" s="138">
        <f>$C$6</f>
        <v>0</v>
      </c>
    </row>
    <row r="71" spans="1:15">
      <c r="A71" s="139" t="s">
        <v>8</v>
      </c>
      <c r="B71" s="133" t="s">
        <v>2</v>
      </c>
      <c r="C71" s="134" t="str">
        <f>C63</f>
        <v>A</v>
      </c>
      <c r="E71" s="139" t="s">
        <v>8</v>
      </c>
      <c r="F71" s="133" t="s">
        <v>2</v>
      </c>
      <c r="G71" s="134" t="str">
        <f>C71</f>
        <v>A</v>
      </c>
      <c r="I71" s="139" t="s">
        <v>8</v>
      </c>
      <c r="J71" s="133" t="s">
        <v>2</v>
      </c>
      <c r="K71" s="134" t="str">
        <f>G71</f>
        <v>A</v>
      </c>
      <c r="M71" s="139" t="s">
        <v>8</v>
      </c>
      <c r="N71" s="133" t="s">
        <v>2</v>
      </c>
      <c r="O71" s="134" t="str">
        <f>K71</f>
        <v>A</v>
      </c>
    </row>
    <row r="72" ht="12.95" customHeight="1"/>
    <row r="73" s="120" customFormat="1" ht="30" spans="1:15">
      <c r="A73" s="140" t="str">
        <f>$A$1</f>
        <v>226</v>
      </c>
      <c r="B73" s="124" t="s">
        <v>0</v>
      </c>
      <c r="C73" s="125"/>
      <c r="E73" s="140" t="str">
        <f>$A$1</f>
        <v>226</v>
      </c>
      <c r="F73" s="124" t="s">
        <v>0</v>
      </c>
      <c r="G73" s="125"/>
      <c r="I73" s="140" t="str">
        <f>$A$1</f>
        <v>226</v>
      </c>
      <c r="J73" s="124" t="s">
        <v>0</v>
      </c>
      <c r="K73" s="125"/>
      <c r="M73" s="140" t="str">
        <f>$A$1</f>
        <v>226</v>
      </c>
      <c r="N73" s="124" t="s">
        <v>0</v>
      </c>
      <c r="O73" s="125"/>
    </row>
    <row r="74" spans="1:15">
      <c r="A74" s="126" t="s">
        <v>1</v>
      </c>
      <c r="B74" s="122" t="s">
        <v>2</v>
      </c>
      <c r="C74" s="127">
        <f>$C$2</f>
        <v>955985</v>
      </c>
      <c r="E74" s="126" t="s">
        <v>1</v>
      </c>
      <c r="F74" s="122" t="s">
        <v>2</v>
      </c>
      <c r="G74" s="127">
        <f>$C$2</f>
        <v>955985</v>
      </c>
      <c r="I74" s="126" t="s">
        <v>1</v>
      </c>
      <c r="J74" s="122" t="s">
        <v>2</v>
      </c>
      <c r="K74" s="127">
        <f>$C$2</f>
        <v>955985</v>
      </c>
      <c r="M74" s="126" t="s">
        <v>1</v>
      </c>
      <c r="N74" s="122" t="s">
        <v>2</v>
      </c>
      <c r="O74" s="127">
        <f>$C$2</f>
        <v>955985</v>
      </c>
    </row>
    <row r="75" spans="1:15">
      <c r="A75" s="135" t="s">
        <v>3</v>
      </c>
      <c r="B75" s="122" t="s">
        <v>2</v>
      </c>
      <c r="C75" s="136" t="str">
        <f>$C$3</f>
        <v>DIN CONNECTOR FITTING</v>
      </c>
      <c r="E75" s="135" t="s">
        <v>3</v>
      </c>
      <c r="F75" s="122" t="s">
        <v>2</v>
      </c>
      <c r="G75" s="136" t="str">
        <f>$C$3</f>
        <v>DIN CONNECTOR FITTING</v>
      </c>
      <c r="I75" s="135" t="s">
        <v>3</v>
      </c>
      <c r="J75" s="122" t="s">
        <v>2</v>
      </c>
      <c r="K75" s="136" t="str">
        <f>$C$3</f>
        <v>DIN CONNECTOR FITTING</v>
      </c>
      <c r="M75" s="135" t="s">
        <v>3</v>
      </c>
      <c r="N75" s="122" t="s">
        <v>2</v>
      </c>
      <c r="O75" s="136" t="str">
        <f>$C$3</f>
        <v>DIN CONNECTOR FITTING</v>
      </c>
    </row>
    <row r="76" spans="1:15">
      <c r="A76" s="135" t="s">
        <v>4</v>
      </c>
      <c r="B76" s="122" t="s">
        <v>2</v>
      </c>
      <c r="C76" s="137">
        <f>$C$4</f>
        <v>200</v>
      </c>
      <c r="E76" s="135" t="s">
        <v>4</v>
      </c>
      <c r="F76" s="122" t="s">
        <v>2</v>
      </c>
      <c r="G76" s="137">
        <f>$C$4</f>
        <v>200</v>
      </c>
      <c r="I76" s="135" t="s">
        <v>4</v>
      </c>
      <c r="J76" s="122" t="s">
        <v>2</v>
      </c>
      <c r="K76" s="137">
        <f>$C$4</f>
        <v>200</v>
      </c>
      <c r="M76" s="135" t="s">
        <v>4</v>
      </c>
      <c r="N76" s="122" t="s">
        <v>2</v>
      </c>
      <c r="O76" s="137">
        <f>$C$4</f>
        <v>200</v>
      </c>
    </row>
    <row r="77" spans="1:15">
      <c r="A77" s="135" t="s">
        <v>5</v>
      </c>
      <c r="B77" s="122" t="s">
        <v>2</v>
      </c>
      <c r="C77" s="130" t="s">
        <v>6</v>
      </c>
      <c r="E77" s="135" t="s">
        <v>5</v>
      </c>
      <c r="F77" s="122" t="s">
        <v>2</v>
      </c>
      <c r="G77" s="130" t="s">
        <v>6</v>
      </c>
      <c r="I77" s="135" t="s">
        <v>5</v>
      </c>
      <c r="J77" s="122" t="s">
        <v>2</v>
      </c>
      <c r="K77" s="130" t="s">
        <v>6</v>
      </c>
      <c r="M77" s="135" t="s">
        <v>5</v>
      </c>
      <c r="N77" s="122" t="s">
        <v>2</v>
      </c>
      <c r="O77" s="130" t="s">
        <v>6</v>
      </c>
    </row>
    <row r="78" spans="1:15">
      <c r="A78" s="126" t="s">
        <v>7</v>
      </c>
      <c r="B78" s="122" t="s">
        <v>2</v>
      </c>
      <c r="C78" s="138">
        <f>$C$6</f>
        <v>0</v>
      </c>
      <c r="E78" s="126" t="s">
        <v>7</v>
      </c>
      <c r="F78" s="122" t="s">
        <v>2</v>
      </c>
      <c r="G78" s="138">
        <f>$C$6</f>
        <v>0</v>
      </c>
      <c r="I78" s="126" t="s">
        <v>7</v>
      </c>
      <c r="J78" s="122" t="s">
        <v>2</v>
      </c>
      <c r="K78" s="138">
        <f>$C$6</f>
        <v>0</v>
      </c>
      <c r="M78" s="126" t="s">
        <v>7</v>
      </c>
      <c r="N78" s="122" t="s">
        <v>2</v>
      </c>
      <c r="O78" s="138">
        <f>$C$6</f>
        <v>0</v>
      </c>
    </row>
    <row r="79" spans="1:15">
      <c r="A79" s="139" t="s">
        <v>8</v>
      </c>
      <c r="B79" s="133" t="s">
        <v>2</v>
      </c>
      <c r="C79" s="134" t="str">
        <f>C71</f>
        <v>A</v>
      </c>
      <c r="E79" s="139" t="s">
        <v>8</v>
      </c>
      <c r="F79" s="133" t="s">
        <v>2</v>
      </c>
      <c r="G79" s="134" t="str">
        <f>C79</f>
        <v>A</v>
      </c>
      <c r="I79" s="139" t="s">
        <v>8</v>
      </c>
      <c r="J79" s="133" t="s">
        <v>2</v>
      </c>
      <c r="K79" s="134" t="str">
        <f>G79</f>
        <v>A</v>
      </c>
      <c r="M79" s="139" t="s">
        <v>8</v>
      </c>
      <c r="N79" s="133" t="s">
        <v>2</v>
      </c>
      <c r="O79" s="134" t="str">
        <f>K79</f>
        <v>A</v>
      </c>
    </row>
    <row r="80" ht="12.95" customHeight="1"/>
    <row r="81" s="120" customFormat="1" ht="30" spans="1:15">
      <c r="A81" s="140" t="str">
        <f>$A$1</f>
        <v>226</v>
      </c>
      <c r="B81" s="124" t="s">
        <v>0</v>
      </c>
      <c r="C81" s="125"/>
      <c r="E81" s="140" t="str">
        <f>$A$1</f>
        <v>226</v>
      </c>
      <c r="F81" s="124" t="s">
        <v>0</v>
      </c>
      <c r="G81" s="125"/>
      <c r="I81" s="140" t="str">
        <f>$A$1</f>
        <v>226</v>
      </c>
      <c r="J81" s="124" t="s">
        <v>0</v>
      </c>
      <c r="K81" s="125"/>
      <c r="M81" s="140" t="str">
        <f>$A$1</f>
        <v>226</v>
      </c>
      <c r="N81" s="124" t="s">
        <v>0</v>
      </c>
      <c r="O81" s="125"/>
    </row>
    <row r="82" spans="1:15">
      <c r="A82" s="126" t="s">
        <v>1</v>
      </c>
      <c r="B82" s="122" t="s">
        <v>2</v>
      </c>
      <c r="C82" s="127">
        <f>$C$2</f>
        <v>955985</v>
      </c>
      <c r="E82" s="126" t="s">
        <v>1</v>
      </c>
      <c r="F82" s="122" t="s">
        <v>2</v>
      </c>
      <c r="G82" s="127">
        <f>$C$2</f>
        <v>955985</v>
      </c>
      <c r="I82" s="126" t="s">
        <v>1</v>
      </c>
      <c r="J82" s="122" t="s">
        <v>2</v>
      </c>
      <c r="K82" s="127">
        <f>$C$2</f>
        <v>955985</v>
      </c>
      <c r="M82" s="126" t="s">
        <v>1</v>
      </c>
      <c r="N82" s="122" t="s">
        <v>2</v>
      </c>
      <c r="O82" s="127">
        <f>$C$2</f>
        <v>955985</v>
      </c>
    </row>
    <row r="83" spans="1:15">
      <c r="A83" s="135" t="s">
        <v>3</v>
      </c>
      <c r="B83" s="122" t="s">
        <v>2</v>
      </c>
      <c r="C83" s="136" t="str">
        <f>$C$3</f>
        <v>DIN CONNECTOR FITTING</v>
      </c>
      <c r="E83" s="135" t="s">
        <v>3</v>
      </c>
      <c r="F83" s="122" t="s">
        <v>2</v>
      </c>
      <c r="G83" s="136" t="str">
        <f>$C$3</f>
        <v>DIN CONNECTOR FITTING</v>
      </c>
      <c r="I83" s="135" t="s">
        <v>3</v>
      </c>
      <c r="J83" s="122" t="s">
        <v>2</v>
      </c>
      <c r="K83" s="136" t="str">
        <f>$C$3</f>
        <v>DIN CONNECTOR FITTING</v>
      </c>
      <c r="M83" s="135" t="s">
        <v>3</v>
      </c>
      <c r="N83" s="122" t="s">
        <v>2</v>
      </c>
      <c r="O83" s="136" t="str">
        <f>$C$3</f>
        <v>DIN CONNECTOR FITTING</v>
      </c>
    </row>
    <row r="84" spans="1:15">
      <c r="A84" s="135" t="s">
        <v>4</v>
      </c>
      <c r="B84" s="122" t="s">
        <v>2</v>
      </c>
      <c r="C84" s="137">
        <f>$C$4</f>
        <v>200</v>
      </c>
      <c r="E84" s="135" t="s">
        <v>4</v>
      </c>
      <c r="F84" s="122" t="s">
        <v>2</v>
      </c>
      <c r="G84" s="137">
        <f>$C$4</f>
        <v>200</v>
      </c>
      <c r="I84" s="135" t="s">
        <v>4</v>
      </c>
      <c r="J84" s="122" t="s">
        <v>2</v>
      </c>
      <c r="K84" s="137">
        <f>$C$4</f>
        <v>200</v>
      </c>
      <c r="M84" s="135" t="s">
        <v>4</v>
      </c>
      <c r="N84" s="122" t="s">
        <v>2</v>
      </c>
      <c r="O84" s="137">
        <f>$C$4</f>
        <v>200</v>
      </c>
    </row>
    <row r="85" spans="1:15">
      <c r="A85" s="135" t="s">
        <v>5</v>
      </c>
      <c r="B85" s="122" t="s">
        <v>2</v>
      </c>
      <c r="C85" s="130" t="s">
        <v>6</v>
      </c>
      <c r="E85" s="135" t="s">
        <v>5</v>
      </c>
      <c r="F85" s="122" t="s">
        <v>2</v>
      </c>
      <c r="G85" s="130" t="s">
        <v>6</v>
      </c>
      <c r="I85" s="135" t="s">
        <v>5</v>
      </c>
      <c r="J85" s="122" t="s">
        <v>2</v>
      </c>
      <c r="K85" s="130" t="s">
        <v>6</v>
      </c>
      <c r="M85" s="135" t="s">
        <v>5</v>
      </c>
      <c r="N85" s="122" t="s">
        <v>2</v>
      </c>
      <c r="O85" s="130" t="s">
        <v>6</v>
      </c>
    </row>
    <row r="86" spans="1:15">
      <c r="A86" s="126" t="s">
        <v>7</v>
      </c>
      <c r="B86" s="122" t="s">
        <v>2</v>
      </c>
      <c r="C86" s="138">
        <f>$C$6</f>
        <v>0</v>
      </c>
      <c r="E86" s="126" t="s">
        <v>7</v>
      </c>
      <c r="F86" s="122" t="s">
        <v>2</v>
      </c>
      <c r="G86" s="138">
        <f>$C$6</f>
        <v>0</v>
      </c>
      <c r="I86" s="126" t="s">
        <v>7</v>
      </c>
      <c r="J86" s="122" t="s">
        <v>2</v>
      </c>
      <c r="K86" s="138">
        <f>$C$6</f>
        <v>0</v>
      </c>
      <c r="M86" s="126" t="s">
        <v>7</v>
      </c>
      <c r="N86" s="122" t="s">
        <v>2</v>
      </c>
      <c r="O86" s="138">
        <f>$C$6</f>
        <v>0</v>
      </c>
    </row>
    <row r="87" spans="1:15">
      <c r="A87" s="139" t="s">
        <v>8</v>
      </c>
      <c r="B87" s="133" t="s">
        <v>2</v>
      </c>
      <c r="C87" s="134" t="str">
        <f>C79</f>
        <v>A</v>
      </c>
      <c r="E87" s="139" t="s">
        <v>8</v>
      </c>
      <c r="F87" s="133" t="s">
        <v>2</v>
      </c>
      <c r="G87" s="134" t="str">
        <f>C87</f>
        <v>A</v>
      </c>
      <c r="I87" s="139" t="s">
        <v>8</v>
      </c>
      <c r="J87" s="133" t="s">
        <v>2</v>
      </c>
      <c r="K87" s="134" t="str">
        <f>G87</f>
        <v>A</v>
      </c>
      <c r="M87" s="139" t="s">
        <v>8</v>
      </c>
      <c r="N87" s="133" t="s">
        <v>2</v>
      </c>
      <c r="O87" s="134" t="str">
        <f>K87</f>
        <v>A</v>
      </c>
    </row>
    <row r="88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65:C65"/>
    <mergeCell ref="F65:G65"/>
    <mergeCell ref="J65:K65"/>
    <mergeCell ref="N65:O65"/>
    <mergeCell ref="B73:C73"/>
    <mergeCell ref="F73:G73"/>
    <mergeCell ref="J73:K73"/>
    <mergeCell ref="N73:O73"/>
    <mergeCell ref="B81:C81"/>
    <mergeCell ref="F81:G81"/>
    <mergeCell ref="J81:K81"/>
    <mergeCell ref="N81:O81"/>
  </mergeCells>
  <printOptions horizontalCentered="1" verticalCentered="1"/>
  <pageMargins left="0" right="0" top="0" bottom="0" header="0" footer="0"/>
  <pageSetup paperSize="9" scale="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showGridLines="0" workbookViewId="0">
      <selection activeCell="F6" sqref="F6"/>
    </sheetView>
  </sheetViews>
  <sheetFormatPr defaultColWidth="9" defaultRowHeight="18"/>
  <cols>
    <col min="1" max="1" width="16.7133333333333" style="77" customWidth="1"/>
    <col min="2" max="2" width="2.57333333333333" style="77" customWidth="1"/>
    <col min="3" max="5" width="11.5733333333333" style="77" customWidth="1"/>
    <col min="6" max="6" width="16.5733333333333" style="77" customWidth="1"/>
    <col min="7" max="7" width="4.42666666666667" style="77" customWidth="1"/>
    <col min="8" max="8" width="16.7133333333333" style="77" customWidth="1"/>
    <col min="9" max="9" width="2.57333333333333" style="77" customWidth="1"/>
    <col min="10" max="12" width="11.5733333333333" style="77" customWidth="1"/>
    <col min="13" max="13" width="16.5733333333333" style="77" customWidth="1"/>
    <col min="14" max="26" width="9.14" style="77"/>
    <col min="27" max="16384" width="9" style="77"/>
  </cols>
  <sheetData>
    <row r="1" ht="24.6" customHeight="1" spans="1:13">
      <c r="A1" s="78"/>
      <c r="B1" s="79" t="s">
        <v>13</v>
      </c>
      <c r="C1" s="80"/>
      <c r="D1" s="80"/>
      <c r="E1" s="80"/>
      <c r="F1" s="98"/>
      <c r="H1" s="78"/>
      <c r="I1" s="79" t="s">
        <v>13</v>
      </c>
      <c r="J1" s="80"/>
      <c r="K1" s="80"/>
      <c r="L1" s="80"/>
      <c r="M1" s="98"/>
    </row>
    <row r="2" ht="18.95" customHeight="1" spans="1:13">
      <c r="A2" s="81" t="s">
        <v>14</v>
      </c>
      <c r="B2" s="82" t="s">
        <v>2</v>
      </c>
      <c r="C2" s="83" t="str">
        <f>VLOOKUP(F3,'List Part'!$A$5:$D$426,4,0)</f>
        <v>PT. KAWAI INDONESIA</v>
      </c>
      <c r="D2" s="83"/>
      <c r="E2" s="99"/>
      <c r="F2" s="100" t="s">
        <v>15</v>
      </c>
      <c r="H2" s="81" t="s">
        <v>14</v>
      </c>
      <c r="I2" s="82" t="s">
        <v>2</v>
      </c>
      <c r="J2" s="83" t="str">
        <f>$C$2</f>
        <v>PT. KAWAI INDONESIA</v>
      </c>
      <c r="K2" s="83"/>
      <c r="L2" s="99"/>
      <c r="M2" s="100" t="s">
        <v>15</v>
      </c>
    </row>
    <row r="3" ht="21" customHeight="1" spans="1:13">
      <c r="A3" s="84" t="s">
        <v>16</v>
      </c>
      <c r="B3" s="82" t="s">
        <v>2</v>
      </c>
      <c r="C3" s="83">
        <f>VLOOKUP(F3,'List Part'!$A$5:$C$426,2,0)</f>
        <v>955985</v>
      </c>
      <c r="D3" s="83"/>
      <c r="E3" s="99"/>
      <c r="F3" s="141" t="s">
        <v>17</v>
      </c>
      <c r="H3" s="84" t="s">
        <v>16</v>
      </c>
      <c r="I3" s="82" t="s">
        <v>2</v>
      </c>
      <c r="J3" s="83">
        <f>$C$3</f>
        <v>955985</v>
      </c>
      <c r="K3" s="83"/>
      <c r="L3" s="99"/>
      <c r="M3" s="113" t="str">
        <f>$F$3</f>
        <v>226</v>
      </c>
    </row>
    <row r="4" ht="21" customHeight="1" spans="1:13">
      <c r="A4" s="84" t="s">
        <v>18</v>
      </c>
      <c r="B4" s="82" t="s">
        <v>2</v>
      </c>
      <c r="C4" s="85" t="str">
        <f>VLOOKUP(F3,'List Part'!$A$5:$C$426,3,0)</f>
        <v>DIN CONNECTOR FITTING</v>
      </c>
      <c r="D4" s="85"/>
      <c r="E4" s="102"/>
      <c r="F4" s="101"/>
      <c r="H4" s="84" t="s">
        <v>18</v>
      </c>
      <c r="I4" s="82" t="s">
        <v>2</v>
      </c>
      <c r="J4" s="85" t="str">
        <f>$C$4</f>
        <v>DIN CONNECTOR FITTING</v>
      </c>
      <c r="K4" s="85"/>
      <c r="L4" s="102"/>
      <c r="M4" s="113"/>
    </row>
    <row r="5" ht="18.95" customHeight="1" spans="1:13">
      <c r="A5" s="84" t="s">
        <v>19</v>
      </c>
      <c r="B5" s="82" t="s">
        <v>2</v>
      </c>
      <c r="C5" s="85" t="str">
        <f>VLOOKUP($F$3,'List Part'!$A$5:$H$426,8,0)</f>
        <v>F28235</v>
      </c>
      <c r="D5" s="85"/>
      <c r="E5" s="102"/>
      <c r="F5" s="103"/>
      <c r="H5" s="84" t="s">
        <v>19</v>
      </c>
      <c r="I5" s="82" t="s">
        <v>2</v>
      </c>
      <c r="J5" s="85" t="str">
        <f>$C$5</f>
        <v>F28235</v>
      </c>
      <c r="K5" s="85"/>
      <c r="L5" s="102"/>
      <c r="M5" s="114"/>
    </row>
    <row r="6" ht="18.95" customHeight="1" spans="1:13">
      <c r="A6" s="84" t="s">
        <v>20</v>
      </c>
      <c r="B6" s="82" t="s">
        <v>2</v>
      </c>
      <c r="C6" s="86"/>
      <c r="D6" s="86"/>
      <c r="E6" s="104"/>
      <c r="F6" s="100" t="s">
        <v>21</v>
      </c>
      <c r="H6" s="84" t="s">
        <v>20</v>
      </c>
      <c r="I6" s="82" t="s">
        <v>2</v>
      </c>
      <c r="J6" s="86"/>
      <c r="K6" s="86"/>
      <c r="L6" s="104"/>
      <c r="M6" s="100" t="s">
        <v>21</v>
      </c>
    </row>
    <row r="7" ht="18.95" customHeight="1" spans="1:13">
      <c r="A7" s="84" t="s">
        <v>22</v>
      </c>
      <c r="B7" s="82" t="s">
        <v>2</v>
      </c>
      <c r="C7" s="87"/>
      <c r="D7" s="88" t="s">
        <v>23</v>
      </c>
      <c r="E7" s="105"/>
      <c r="F7" s="106"/>
      <c r="H7" s="84" t="s">
        <v>22</v>
      </c>
      <c r="I7" s="82" t="s">
        <v>2</v>
      </c>
      <c r="J7" s="87"/>
      <c r="K7" s="88" t="s">
        <v>23</v>
      </c>
      <c r="L7" s="105"/>
      <c r="M7" s="115"/>
    </row>
    <row r="8" ht="18.95" customHeight="1" spans="1:13">
      <c r="A8" s="84" t="s">
        <v>24</v>
      </c>
      <c r="B8" s="82" t="s">
        <v>2</v>
      </c>
      <c r="C8" s="89">
        <f>VLOOKUP(F3,'List Part'!$A$5:$E$426,5,0)</f>
        <v>1000</v>
      </c>
      <c r="D8" s="86" t="s">
        <v>25</v>
      </c>
      <c r="E8" s="105"/>
      <c r="F8" s="107"/>
      <c r="H8" s="84" t="s">
        <v>24</v>
      </c>
      <c r="I8" s="82" t="s">
        <v>2</v>
      </c>
      <c r="J8" s="96">
        <f>$C$8</f>
        <v>1000</v>
      </c>
      <c r="K8" s="86" t="s">
        <v>25</v>
      </c>
      <c r="L8" s="105"/>
      <c r="M8" s="116"/>
    </row>
    <row r="9" ht="18.95" customHeight="1" spans="1:13">
      <c r="A9" s="84" t="s">
        <v>26</v>
      </c>
      <c r="B9" s="82" t="s">
        <v>2</v>
      </c>
      <c r="C9" s="85"/>
      <c r="D9" s="85"/>
      <c r="E9" s="105"/>
      <c r="F9" s="108"/>
      <c r="H9" s="84" t="s">
        <v>26</v>
      </c>
      <c r="I9" s="82" t="s">
        <v>2</v>
      </c>
      <c r="J9" s="85"/>
      <c r="K9" s="85"/>
      <c r="L9" s="105"/>
      <c r="M9" s="117"/>
    </row>
    <row r="10" ht="14.1" customHeight="1" spans="1:13">
      <c r="A10" s="90" t="s">
        <v>27</v>
      </c>
      <c r="B10" s="91"/>
      <c r="C10" s="90" t="s">
        <v>28</v>
      </c>
      <c r="D10" s="92"/>
      <c r="E10" s="109" t="s">
        <v>29</v>
      </c>
      <c r="F10" s="110" t="s">
        <v>30</v>
      </c>
      <c r="H10" s="90" t="s">
        <v>27</v>
      </c>
      <c r="I10" s="91"/>
      <c r="J10" s="90" t="s">
        <v>28</v>
      </c>
      <c r="K10" s="92"/>
      <c r="L10" s="109" t="s">
        <v>29</v>
      </c>
      <c r="M10" s="110" t="s">
        <v>30</v>
      </c>
    </row>
    <row r="11" ht="18.95" customHeight="1" spans="1:13">
      <c r="A11" s="93">
        <f>VLOOKUP(F3,'List Part'!$A$5:$G$426,6,0)</f>
        <v>0</v>
      </c>
      <c r="B11" s="94"/>
      <c r="C11" s="93">
        <f>VLOOKUP(F3,'List Part'!$A$5:$G$426,7,0)</f>
        <v>91</v>
      </c>
      <c r="D11" s="94"/>
      <c r="E11" s="111"/>
      <c r="F11" s="112"/>
      <c r="H11" s="93">
        <f>$A$11</f>
        <v>0</v>
      </c>
      <c r="I11" s="94"/>
      <c r="J11" s="93">
        <f>$C$11</f>
        <v>91</v>
      </c>
      <c r="K11" s="94"/>
      <c r="L11" s="111"/>
      <c r="M11" s="112"/>
    </row>
    <row r="12" spans="1:13">
      <c r="A12" s="95" t="s">
        <v>31</v>
      </c>
      <c r="B12" s="95"/>
      <c r="C12" s="95"/>
      <c r="D12" s="95"/>
      <c r="E12" s="95"/>
      <c r="F12" s="95"/>
      <c r="H12" s="95" t="s">
        <v>31</v>
      </c>
      <c r="I12" s="95"/>
      <c r="J12" s="95"/>
      <c r="K12" s="95"/>
      <c r="L12" s="95"/>
      <c r="M12" s="95"/>
    </row>
    <row r="13" ht="10.5" customHeight="1"/>
    <row r="14" ht="24.6" customHeight="1" spans="1:13">
      <c r="A14" s="78"/>
      <c r="B14" s="79" t="s">
        <v>13</v>
      </c>
      <c r="C14" s="80"/>
      <c r="D14" s="80"/>
      <c r="E14" s="80"/>
      <c r="F14" s="98"/>
      <c r="H14" s="78"/>
      <c r="I14" s="79" t="s">
        <v>13</v>
      </c>
      <c r="J14" s="80"/>
      <c r="K14" s="80"/>
      <c r="L14" s="80"/>
      <c r="M14" s="98"/>
    </row>
    <row r="15" ht="21" customHeight="1" spans="1:13">
      <c r="A15" s="81" t="s">
        <v>14</v>
      </c>
      <c r="B15" s="82" t="s">
        <v>2</v>
      </c>
      <c r="C15" s="83" t="str">
        <f>$C$2</f>
        <v>PT. KAWAI INDONESIA</v>
      </c>
      <c r="D15" s="83"/>
      <c r="E15" s="99"/>
      <c r="F15" s="100" t="s">
        <v>15</v>
      </c>
      <c r="H15" s="81" t="s">
        <v>14</v>
      </c>
      <c r="I15" s="82" t="s">
        <v>2</v>
      </c>
      <c r="J15" s="83" t="str">
        <f>$C$2</f>
        <v>PT. KAWAI INDONESIA</v>
      </c>
      <c r="K15" s="83"/>
      <c r="L15" s="99"/>
      <c r="M15" s="100" t="s">
        <v>15</v>
      </c>
    </row>
    <row r="16" ht="18.95" customHeight="1" spans="1:13">
      <c r="A16" s="84" t="s">
        <v>16</v>
      </c>
      <c r="B16" s="82" t="s">
        <v>2</v>
      </c>
      <c r="C16" s="83">
        <f>$C$3</f>
        <v>955985</v>
      </c>
      <c r="D16" s="83"/>
      <c r="E16" s="99"/>
      <c r="F16" s="113" t="str">
        <f>$F$3</f>
        <v>226</v>
      </c>
      <c r="H16" s="84" t="s">
        <v>16</v>
      </c>
      <c r="I16" s="82" t="s">
        <v>2</v>
      </c>
      <c r="J16" s="83">
        <f>$C$3</f>
        <v>955985</v>
      </c>
      <c r="K16" s="83"/>
      <c r="L16" s="99"/>
      <c r="M16" s="113" t="str">
        <f>$F$3</f>
        <v>226</v>
      </c>
    </row>
    <row r="17" ht="18.95" customHeight="1" spans="1:13">
      <c r="A17" s="84" t="s">
        <v>18</v>
      </c>
      <c r="B17" s="82" t="s">
        <v>2</v>
      </c>
      <c r="C17" s="85" t="str">
        <f>$C$4</f>
        <v>DIN CONNECTOR FITTING</v>
      </c>
      <c r="D17" s="85"/>
      <c r="E17" s="102"/>
      <c r="F17" s="113"/>
      <c r="H17" s="84" t="s">
        <v>18</v>
      </c>
      <c r="I17" s="82" t="s">
        <v>2</v>
      </c>
      <c r="J17" s="85" t="str">
        <f>$C$4</f>
        <v>DIN CONNECTOR FITTING</v>
      </c>
      <c r="K17" s="85"/>
      <c r="L17" s="102"/>
      <c r="M17" s="113"/>
    </row>
    <row r="18" ht="18.95" customHeight="1" spans="1:13">
      <c r="A18" s="84" t="s">
        <v>19</v>
      </c>
      <c r="B18" s="82" t="s">
        <v>2</v>
      </c>
      <c r="C18" s="85" t="str">
        <f>$C$5</f>
        <v>F28235</v>
      </c>
      <c r="D18" s="85"/>
      <c r="E18" s="102"/>
      <c r="F18" s="114"/>
      <c r="H18" s="84" t="s">
        <v>19</v>
      </c>
      <c r="I18" s="82" t="s">
        <v>2</v>
      </c>
      <c r="J18" s="85" t="str">
        <f>$C$5</f>
        <v>F28235</v>
      </c>
      <c r="K18" s="85"/>
      <c r="L18" s="102"/>
      <c r="M18" s="114"/>
    </row>
    <row r="19" ht="18.95" customHeight="1" spans="1:13">
      <c r="A19" s="84" t="s">
        <v>20</v>
      </c>
      <c r="B19" s="82" t="s">
        <v>2</v>
      </c>
      <c r="C19" s="86"/>
      <c r="D19" s="86"/>
      <c r="E19" s="104"/>
      <c r="F19" s="100" t="s">
        <v>21</v>
      </c>
      <c r="H19" s="84" t="s">
        <v>20</v>
      </c>
      <c r="I19" s="82" t="s">
        <v>2</v>
      </c>
      <c r="J19" s="86"/>
      <c r="K19" s="86"/>
      <c r="L19" s="104"/>
      <c r="M19" s="100" t="s">
        <v>21</v>
      </c>
    </row>
    <row r="20" ht="18.95" customHeight="1" spans="1:13">
      <c r="A20" s="84" t="s">
        <v>22</v>
      </c>
      <c r="B20" s="82" t="s">
        <v>2</v>
      </c>
      <c r="C20" s="87"/>
      <c r="D20" s="88" t="s">
        <v>23</v>
      </c>
      <c r="E20" s="105"/>
      <c r="F20" s="115"/>
      <c r="H20" s="84" t="s">
        <v>22</v>
      </c>
      <c r="I20" s="82" t="s">
        <v>2</v>
      </c>
      <c r="J20" s="87"/>
      <c r="K20" s="88" t="s">
        <v>23</v>
      </c>
      <c r="L20" s="105"/>
      <c r="M20" s="115"/>
    </row>
    <row r="21" ht="18.95" customHeight="1" spans="1:13">
      <c r="A21" s="84" t="s">
        <v>24</v>
      </c>
      <c r="B21" s="82" t="s">
        <v>2</v>
      </c>
      <c r="C21" s="96">
        <f>$C$8</f>
        <v>1000</v>
      </c>
      <c r="D21" s="86" t="s">
        <v>25</v>
      </c>
      <c r="E21" s="105"/>
      <c r="F21" s="116"/>
      <c r="H21" s="84" t="s">
        <v>24</v>
      </c>
      <c r="I21" s="82" t="s">
        <v>2</v>
      </c>
      <c r="J21" s="96">
        <f>$C$8</f>
        <v>1000</v>
      </c>
      <c r="K21" s="86" t="s">
        <v>25</v>
      </c>
      <c r="L21" s="105"/>
      <c r="M21" s="116"/>
    </row>
    <row r="22" ht="18.95" customHeight="1" spans="1:13">
      <c r="A22" s="84" t="s">
        <v>26</v>
      </c>
      <c r="B22" s="82" t="s">
        <v>2</v>
      </c>
      <c r="C22" s="85"/>
      <c r="D22" s="85"/>
      <c r="E22" s="105"/>
      <c r="F22" s="117"/>
      <c r="H22" s="84" t="s">
        <v>26</v>
      </c>
      <c r="I22" s="82" t="s">
        <v>2</v>
      </c>
      <c r="J22" s="85"/>
      <c r="K22" s="85"/>
      <c r="L22" s="105"/>
      <c r="M22" s="117"/>
    </row>
    <row r="23" ht="15" customHeight="1" spans="1:13">
      <c r="A23" s="90" t="s">
        <v>27</v>
      </c>
      <c r="B23" s="91"/>
      <c r="C23" s="90" t="s">
        <v>28</v>
      </c>
      <c r="D23" s="92"/>
      <c r="E23" s="109" t="s">
        <v>29</v>
      </c>
      <c r="F23" s="110" t="s">
        <v>30</v>
      </c>
      <c r="H23" s="90" t="s">
        <v>27</v>
      </c>
      <c r="I23" s="91"/>
      <c r="J23" s="90" t="s">
        <v>28</v>
      </c>
      <c r="K23" s="92"/>
      <c r="L23" s="109" t="s">
        <v>29</v>
      </c>
      <c r="M23" s="110" t="s">
        <v>30</v>
      </c>
    </row>
    <row r="24" ht="18.95" customHeight="1" spans="1:13">
      <c r="A24" s="93">
        <f>$A$11</f>
        <v>0</v>
      </c>
      <c r="B24" s="94"/>
      <c r="C24" s="93">
        <f>$C$11</f>
        <v>91</v>
      </c>
      <c r="D24" s="94"/>
      <c r="E24" s="111"/>
      <c r="F24" s="112"/>
      <c r="H24" s="93">
        <f>$A$11</f>
        <v>0</v>
      </c>
      <c r="I24" s="94"/>
      <c r="J24" s="93">
        <f>$C$11</f>
        <v>91</v>
      </c>
      <c r="K24" s="94"/>
      <c r="L24" s="111"/>
      <c r="M24" s="112"/>
    </row>
    <row r="25" spans="1:13">
      <c r="A25" s="95" t="s">
        <v>31</v>
      </c>
      <c r="B25" s="95"/>
      <c r="C25" s="95"/>
      <c r="D25" s="95"/>
      <c r="E25" s="95"/>
      <c r="F25" s="95"/>
      <c r="H25" s="95" t="s">
        <v>31</v>
      </c>
      <c r="I25" s="95"/>
      <c r="J25" s="95"/>
      <c r="K25" s="95"/>
      <c r="L25" s="95"/>
      <c r="M25" s="95"/>
    </row>
    <row r="26" ht="10.5" customHeight="1"/>
    <row r="27" ht="24.6" customHeight="1" spans="1:13">
      <c r="A27" s="78"/>
      <c r="B27" s="79" t="s">
        <v>13</v>
      </c>
      <c r="C27" s="80"/>
      <c r="D27" s="80"/>
      <c r="E27" s="80"/>
      <c r="F27" s="98"/>
      <c r="H27" s="78"/>
      <c r="I27" s="79" t="s">
        <v>13</v>
      </c>
      <c r="J27" s="80"/>
      <c r="K27" s="80"/>
      <c r="L27" s="80"/>
      <c r="M27" s="98"/>
    </row>
    <row r="28" ht="18.95" customHeight="1" spans="1:13">
      <c r="A28" s="81" t="s">
        <v>14</v>
      </c>
      <c r="B28" s="82" t="s">
        <v>2</v>
      </c>
      <c r="C28" s="83" t="str">
        <f>$C$2</f>
        <v>PT. KAWAI INDONESIA</v>
      </c>
      <c r="D28" s="83"/>
      <c r="E28" s="99"/>
      <c r="F28" s="100" t="s">
        <v>15</v>
      </c>
      <c r="H28" s="81" t="s">
        <v>14</v>
      </c>
      <c r="I28" s="82" t="s">
        <v>2</v>
      </c>
      <c r="J28" s="83" t="str">
        <f>$C$2</f>
        <v>PT. KAWAI INDONESIA</v>
      </c>
      <c r="K28" s="83"/>
      <c r="L28" s="99"/>
      <c r="M28" s="100" t="s">
        <v>15</v>
      </c>
    </row>
    <row r="29" ht="21" customHeight="1" spans="1:13">
      <c r="A29" s="84" t="s">
        <v>16</v>
      </c>
      <c r="B29" s="82" t="s">
        <v>2</v>
      </c>
      <c r="C29" s="83">
        <f>$C$3</f>
        <v>955985</v>
      </c>
      <c r="D29" s="83"/>
      <c r="E29" s="99"/>
      <c r="F29" s="113" t="str">
        <f>$F$3</f>
        <v>226</v>
      </c>
      <c r="H29" s="84" t="s">
        <v>16</v>
      </c>
      <c r="I29" s="82" t="s">
        <v>2</v>
      </c>
      <c r="J29" s="83">
        <f>$C$3</f>
        <v>955985</v>
      </c>
      <c r="K29" s="83"/>
      <c r="L29" s="99"/>
      <c r="M29" s="113" t="str">
        <f>$F$3</f>
        <v>226</v>
      </c>
    </row>
    <row r="30" ht="21" customHeight="1" spans="1:13">
      <c r="A30" s="84" t="s">
        <v>18</v>
      </c>
      <c r="B30" s="82" t="s">
        <v>2</v>
      </c>
      <c r="C30" s="85" t="str">
        <f>$C$4</f>
        <v>DIN CONNECTOR FITTING</v>
      </c>
      <c r="D30" s="85"/>
      <c r="E30" s="102"/>
      <c r="F30" s="113"/>
      <c r="H30" s="84" t="s">
        <v>18</v>
      </c>
      <c r="I30" s="82" t="s">
        <v>2</v>
      </c>
      <c r="J30" s="85" t="str">
        <f>$C$4</f>
        <v>DIN CONNECTOR FITTING</v>
      </c>
      <c r="K30" s="85"/>
      <c r="L30" s="102"/>
      <c r="M30" s="113"/>
    </row>
    <row r="31" ht="18.95" customHeight="1" spans="1:13">
      <c r="A31" s="84" t="s">
        <v>19</v>
      </c>
      <c r="B31" s="82" t="s">
        <v>2</v>
      </c>
      <c r="C31" s="85" t="str">
        <f>$C$5</f>
        <v>F28235</v>
      </c>
      <c r="D31" s="85"/>
      <c r="E31" s="102"/>
      <c r="F31" s="114"/>
      <c r="H31" s="84" t="s">
        <v>19</v>
      </c>
      <c r="I31" s="82" t="s">
        <v>2</v>
      </c>
      <c r="J31" s="85" t="str">
        <f>$C$5</f>
        <v>F28235</v>
      </c>
      <c r="K31" s="85"/>
      <c r="L31" s="102"/>
      <c r="M31" s="114"/>
    </row>
    <row r="32" ht="18.95" customHeight="1" spans="1:13">
      <c r="A32" s="84" t="s">
        <v>20</v>
      </c>
      <c r="B32" s="82" t="s">
        <v>2</v>
      </c>
      <c r="C32" s="86"/>
      <c r="D32" s="86"/>
      <c r="E32" s="104"/>
      <c r="F32" s="100" t="s">
        <v>21</v>
      </c>
      <c r="H32" s="84" t="s">
        <v>20</v>
      </c>
      <c r="I32" s="82" t="s">
        <v>2</v>
      </c>
      <c r="J32" s="86"/>
      <c r="K32" s="86"/>
      <c r="L32" s="104"/>
      <c r="M32" s="100" t="s">
        <v>21</v>
      </c>
    </row>
    <row r="33" ht="18.95" customHeight="1" spans="1:13">
      <c r="A33" s="84" t="s">
        <v>22</v>
      </c>
      <c r="B33" s="82" t="s">
        <v>2</v>
      </c>
      <c r="C33" s="87"/>
      <c r="D33" s="88" t="s">
        <v>23</v>
      </c>
      <c r="E33" s="105"/>
      <c r="F33" s="115"/>
      <c r="H33" s="84" t="s">
        <v>22</v>
      </c>
      <c r="I33" s="82" t="s">
        <v>2</v>
      </c>
      <c r="J33" s="87"/>
      <c r="K33" s="88" t="s">
        <v>23</v>
      </c>
      <c r="L33" s="105"/>
      <c r="M33" s="115"/>
    </row>
    <row r="34" ht="18.95" customHeight="1" spans="1:13">
      <c r="A34" s="84" t="s">
        <v>24</v>
      </c>
      <c r="B34" s="82" t="s">
        <v>2</v>
      </c>
      <c r="C34" s="96">
        <f>$C$8</f>
        <v>1000</v>
      </c>
      <c r="D34" s="86" t="s">
        <v>25</v>
      </c>
      <c r="E34" s="105"/>
      <c r="F34" s="116"/>
      <c r="H34" s="84" t="s">
        <v>24</v>
      </c>
      <c r="I34" s="82" t="s">
        <v>2</v>
      </c>
      <c r="J34" s="96">
        <f>$C$8</f>
        <v>1000</v>
      </c>
      <c r="K34" s="86" t="s">
        <v>25</v>
      </c>
      <c r="L34" s="105"/>
      <c r="M34" s="116"/>
    </row>
    <row r="35" ht="18.95" customHeight="1" spans="1:13">
      <c r="A35" s="84" t="s">
        <v>26</v>
      </c>
      <c r="B35" s="82" t="s">
        <v>2</v>
      </c>
      <c r="C35" s="85"/>
      <c r="D35" s="85"/>
      <c r="E35" s="105"/>
      <c r="F35" s="117"/>
      <c r="H35" s="84" t="s">
        <v>26</v>
      </c>
      <c r="I35" s="82" t="s">
        <v>2</v>
      </c>
      <c r="J35" s="85"/>
      <c r="K35" s="85"/>
      <c r="L35" s="105"/>
      <c r="M35" s="117"/>
    </row>
    <row r="36" ht="15" customHeight="1" spans="1:13">
      <c r="A36" s="90" t="s">
        <v>27</v>
      </c>
      <c r="B36" s="91"/>
      <c r="C36" s="90" t="s">
        <v>28</v>
      </c>
      <c r="D36" s="92"/>
      <c r="E36" s="109" t="s">
        <v>29</v>
      </c>
      <c r="F36" s="110" t="s">
        <v>30</v>
      </c>
      <c r="H36" s="90" t="s">
        <v>27</v>
      </c>
      <c r="I36" s="91"/>
      <c r="J36" s="90" t="s">
        <v>28</v>
      </c>
      <c r="K36" s="92"/>
      <c r="L36" s="109" t="s">
        <v>29</v>
      </c>
      <c r="M36" s="110" t="s">
        <v>30</v>
      </c>
    </row>
    <row r="37" ht="18.95" customHeight="1" spans="1:13">
      <c r="A37" s="93">
        <f>$A$11</f>
        <v>0</v>
      </c>
      <c r="B37" s="94"/>
      <c r="C37" s="93">
        <f>$C$11</f>
        <v>91</v>
      </c>
      <c r="D37" s="94"/>
      <c r="E37" s="111"/>
      <c r="F37" s="112"/>
      <c r="H37" s="93">
        <f>$A$11</f>
        <v>0</v>
      </c>
      <c r="I37" s="94"/>
      <c r="J37" s="93">
        <f>$C$11</f>
        <v>91</v>
      </c>
      <c r="K37" s="94"/>
      <c r="L37" s="111"/>
      <c r="M37" s="112"/>
    </row>
    <row r="38" spans="1:13">
      <c r="A38" s="95" t="s">
        <v>31</v>
      </c>
      <c r="B38" s="95"/>
      <c r="C38" s="95"/>
      <c r="D38" s="95"/>
      <c r="E38" s="95"/>
      <c r="F38" s="95"/>
      <c r="H38" s="95" t="s">
        <v>31</v>
      </c>
      <c r="I38" s="95"/>
      <c r="J38" s="95"/>
      <c r="K38" s="95"/>
      <c r="L38" s="95"/>
      <c r="M38" s="95"/>
    </row>
    <row r="39" ht="9.75" customHeight="1"/>
    <row r="40" ht="24.6" customHeight="1" spans="1:13">
      <c r="A40" s="78"/>
      <c r="B40" s="79" t="s">
        <v>13</v>
      </c>
      <c r="C40" s="80"/>
      <c r="D40" s="80"/>
      <c r="E40" s="80"/>
      <c r="F40" s="98"/>
      <c r="H40" s="78"/>
      <c r="I40" s="79" t="s">
        <v>13</v>
      </c>
      <c r="J40" s="80"/>
      <c r="K40" s="80"/>
      <c r="L40" s="80"/>
      <c r="M40" s="98"/>
    </row>
    <row r="41" ht="18.95" customHeight="1" spans="1:13">
      <c r="A41" s="81" t="s">
        <v>14</v>
      </c>
      <c r="B41" s="82" t="s">
        <v>2</v>
      </c>
      <c r="C41" s="83" t="str">
        <f>$C$2</f>
        <v>PT. KAWAI INDONESIA</v>
      </c>
      <c r="D41" s="83"/>
      <c r="E41" s="99"/>
      <c r="F41" s="100" t="s">
        <v>15</v>
      </c>
      <c r="H41" s="81" t="s">
        <v>14</v>
      </c>
      <c r="I41" s="82" t="s">
        <v>2</v>
      </c>
      <c r="J41" s="83" t="str">
        <f>$C$2</f>
        <v>PT. KAWAI INDONESIA</v>
      </c>
      <c r="K41" s="83"/>
      <c r="L41" s="99"/>
      <c r="M41" s="100" t="s">
        <v>15</v>
      </c>
    </row>
    <row r="42" ht="21" customHeight="1" spans="1:13">
      <c r="A42" s="84" t="s">
        <v>16</v>
      </c>
      <c r="B42" s="82" t="s">
        <v>2</v>
      </c>
      <c r="C42" s="83">
        <f>$C$3</f>
        <v>955985</v>
      </c>
      <c r="D42" s="83"/>
      <c r="E42" s="99"/>
      <c r="F42" s="113" t="str">
        <f>$F$3</f>
        <v>226</v>
      </c>
      <c r="H42" s="84" t="s">
        <v>16</v>
      </c>
      <c r="I42" s="82" t="s">
        <v>2</v>
      </c>
      <c r="J42" s="83">
        <f>$C$3</f>
        <v>955985</v>
      </c>
      <c r="K42" s="83"/>
      <c r="L42" s="99"/>
      <c r="M42" s="113" t="str">
        <f>$F$3</f>
        <v>226</v>
      </c>
    </row>
    <row r="43" ht="21" customHeight="1" spans="1:13">
      <c r="A43" s="84" t="s">
        <v>18</v>
      </c>
      <c r="B43" s="82" t="s">
        <v>2</v>
      </c>
      <c r="C43" s="85" t="str">
        <f>$C$4</f>
        <v>DIN CONNECTOR FITTING</v>
      </c>
      <c r="D43" s="85"/>
      <c r="E43" s="102"/>
      <c r="F43" s="113"/>
      <c r="H43" s="84" t="s">
        <v>18</v>
      </c>
      <c r="I43" s="82" t="s">
        <v>2</v>
      </c>
      <c r="J43" s="85" t="str">
        <f>$C$4</f>
        <v>DIN CONNECTOR FITTING</v>
      </c>
      <c r="K43" s="85"/>
      <c r="L43" s="102"/>
      <c r="M43" s="113"/>
    </row>
    <row r="44" ht="18.95" customHeight="1" spans="1:13">
      <c r="A44" s="84" t="s">
        <v>19</v>
      </c>
      <c r="B44" s="82" t="s">
        <v>2</v>
      </c>
      <c r="C44" s="85" t="str">
        <f>$C$5</f>
        <v>F28235</v>
      </c>
      <c r="D44" s="85"/>
      <c r="E44" s="102"/>
      <c r="F44" s="114"/>
      <c r="H44" s="84" t="s">
        <v>19</v>
      </c>
      <c r="I44" s="82" t="s">
        <v>2</v>
      </c>
      <c r="J44" s="85" t="str">
        <f>$C$5</f>
        <v>F28235</v>
      </c>
      <c r="K44" s="85"/>
      <c r="L44" s="102"/>
      <c r="M44" s="114"/>
    </row>
    <row r="45" ht="18.95" customHeight="1" spans="1:13">
      <c r="A45" s="84" t="s">
        <v>20</v>
      </c>
      <c r="B45" s="82" t="s">
        <v>2</v>
      </c>
      <c r="C45" s="86"/>
      <c r="D45" s="86"/>
      <c r="E45" s="104"/>
      <c r="F45" s="100" t="s">
        <v>21</v>
      </c>
      <c r="H45" s="84" t="s">
        <v>20</v>
      </c>
      <c r="I45" s="82" t="s">
        <v>2</v>
      </c>
      <c r="J45" s="86"/>
      <c r="K45" s="86"/>
      <c r="L45" s="104"/>
      <c r="M45" s="100" t="s">
        <v>21</v>
      </c>
    </row>
    <row r="46" ht="18.95" customHeight="1" spans="1:13">
      <c r="A46" s="84" t="s">
        <v>22</v>
      </c>
      <c r="B46" s="82" t="s">
        <v>2</v>
      </c>
      <c r="C46" s="87"/>
      <c r="D46" s="88" t="s">
        <v>23</v>
      </c>
      <c r="E46" s="105"/>
      <c r="F46" s="115"/>
      <c r="H46" s="84" t="s">
        <v>22</v>
      </c>
      <c r="I46" s="82" t="s">
        <v>2</v>
      </c>
      <c r="J46" s="87"/>
      <c r="K46" s="88" t="s">
        <v>23</v>
      </c>
      <c r="L46" s="105"/>
      <c r="M46" s="115"/>
    </row>
    <row r="47" ht="18.95" customHeight="1" spans="1:13">
      <c r="A47" s="84" t="s">
        <v>24</v>
      </c>
      <c r="B47" s="82" t="s">
        <v>2</v>
      </c>
      <c r="C47" s="96">
        <f>$C$8</f>
        <v>1000</v>
      </c>
      <c r="D47" s="86" t="s">
        <v>25</v>
      </c>
      <c r="E47" s="105"/>
      <c r="F47" s="116"/>
      <c r="H47" s="84" t="s">
        <v>24</v>
      </c>
      <c r="I47" s="82" t="s">
        <v>2</v>
      </c>
      <c r="J47" s="96">
        <f>$C$8</f>
        <v>1000</v>
      </c>
      <c r="K47" s="86" t="s">
        <v>25</v>
      </c>
      <c r="L47" s="105"/>
      <c r="M47" s="116"/>
    </row>
    <row r="48" ht="18.95" customHeight="1" spans="1:13">
      <c r="A48" s="84" t="s">
        <v>26</v>
      </c>
      <c r="B48" s="82" t="s">
        <v>2</v>
      </c>
      <c r="C48" s="85"/>
      <c r="D48" s="85"/>
      <c r="E48" s="105"/>
      <c r="F48" s="117"/>
      <c r="H48" s="84" t="s">
        <v>26</v>
      </c>
      <c r="I48" s="82" t="s">
        <v>2</v>
      </c>
      <c r="J48" s="85"/>
      <c r="K48" s="85"/>
      <c r="L48" s="105"/>
      <c r="M48" s="117"/>
    </row>
    <row r="49" ht="14.1" customHeight="1" spans="1:13">
      <c r="A49" s="90" t="s">
        <v>27</v>
      </c>
      <c r="B49" s="91"/>
      <c r="C49" s="90" t="s">
        <v>28</v>
      </c>
      <c r="D49" s="92"/>
      <c r="E49" s="109" t="s">
        <v>29</v>
      </c>
      <c r="F49" s="110" t="s">
        <v>30</v>
      </c>
      <c r="H49" s="90" t="s">
        <v>27</v>
      </c>
      <c r="I49" s="91"/>
      <c r="J49" s="90" t="s">
        <v>28</v>
      </c>
      <c r="K49" s="92"/>
      <c r="L49" s="109" t="s">
        <v>29</v>
      </c>
      <c r="M49" s="110" t="s">
        <v>30</v>
      </c>
    </row>
    <row r="50" ht="18.95" customHeight="1" spans="1:13">
      <c r="A50" s="93">
        <f>$A$11</f>
        <v>0</v>
      </c>
      <c r="B50" s="94"/>
      <c r="C50" s="93">
        <f>$C$11</f>
        <v>91</v>
      </c>
      <c r="D50" s="94"/>
      <c r="E50" s="111"/>
      <c r="F50" s="112"/>
      <c r="H50" s="93">
        <f>$A$11</f>
        <v>0</v>
      </c>
      <c r="I50" s="94"/>
      <c r="J50" s="93">
        <f>$C$11</f>
        <v>91</v>
      </c>
      <c r="K50" s="94"/>
      <c r="L50" s="111"/>
      <c r="M50" s="112"/>
    </row>
    <row r="51" spans="1:13">
      <c r="A51" s="95" t="s">
        <v>31</v>
      </c>
      <c r="B51" s="95"/>
      <c r="C51" s="95"/>
      <c r="D51" s="95"/>
      <c r="E51" s="95"/>
      <c r="F51" s="95"/>
      <c r="H51" s="95" t="s">
        <v>31</v>
      </c>
      <c r="I51" s="95"/>
      <c r="J51" s="95"/>
      <c r="K51" s="95"/>
      <c r="L51" s="95"/>
      <c r="M51" s="95"/>
    </row>
    <row r="52" ht="12" customHeight="1"/>
    <row r="53" ht="24.6" customHeight="1" spans="1:13">
      <c r="A53" s="78"/>
      <c r="B53" s="79" t="s">
        <v>13</v>
      </c>
      <c r="C53" s="80"/>
      <c r="D53" s="80"/>
      <c r="E53" s="80"/>
      <c r="F53" s="98"/>
      <c r="H53" s="78"/>
      <c r="I53" s="79" t="s">
        <v>13</v>
      </c>
      <c r="J53" s="80"/>
      <c r="K53" s="80"/>
      <c r="L53" s="80"/>
      <c r="M53" s="98"/>
    </row>
    <row r="54" ht="18.95" customHeight="1" spans="1:13">
      <c r="A54" s="81" t="s">
        <v>14</v>
      </c>
      <c r="B54" s="82" t="s">
        <v>2</v>
      </c>
      <c r="C54" s="83" t="str">
        <f>$C$2</f>
        <v>PT. KAWAI INDONESIA</v>
      </c>
      <c r="D54" s="83"/>
      <c r="E54" s="99"/>
      <c r="F54" s="100" t="s">
        <v>15</v>
      </c>
      <c r="H54" s="81" t="s">
        <v>14</v>
      </c>
      <c r="I54" s="82" t="s">
        <v>2</v>
      </c>
      <c r="J54" s="83" t="str">
        <f>$C$2</f>
        <v>PT. KAWAI INDONESIA</v>
      </c>
      <c r="K54" s="83"/>
      <c r="L54" s="99"/>
      <c r="M54" s="100" t="s">
        <v>15</v>
      </c>
    </row>
    <row r="55" ht="21" customHeight="1" spans="1:13">
      <c r="A55" s="84" t="s">
        <v>16</v>
      </c>
      <c r="B55" s="82" t="s">
        <v>2</v>
      </c>
      <c r="C55" s="97">
        <f>$C$3</f>
        <v>955985</v>
      </c>
      <c r="D55" s="97"/>
      <c r="E55" s="118"/>
      <c r="F55" s="113" t="str">
        <f>$F$3</f>
        <v>226</v>
      </c>
      <c r="H55" s="84" t="s">
        <v>16</v>
      </c>
      <c r="I55" s="82" t="s">
        <v>2</v>
      </c>
      <c r="J55" s="83">
        <f>$C$3</f>
        <v>955985</v>
      </c>
      <c r="K55" s="83"/>
      <c r="L55" s="99"/>
      <c r="M55" s="113" t="str">
        <f>$F$3</f>
        <v>226</v>
      </c>
    </row>
    <row r="56" ht="21" customHeight="1" spans="1:13">
      <c r="A56" s="84" t="s">
        <v>18</v>
      </c>
      <c r="B56" s="82" t="s">
        <v>2</v>
      </c>
      <c r="C56" s="85" t="str">
        <f>$C$4</f>
        <v>DIN CONNECTOR FITTING</v>
      </c>
      <c r="D56" s="85"/>
      <c r="E56" s="102"/>
      <c r="F56" s="113"/>
      <c r="H56" s="84" t="s">
        <v>18</v>
      </c>
      <c r="I56" s="82" t="s">
        <v>2</v>
      </c>
      <c r="J56" s="85" t="str">
        <f>$C$4</f>
        <v>DIN CONNECTOR FITTING</v>
      </c>
      <c r="K56" s="85"/>
      <c r="L56" s="102"/>
      <c r="M56" s="113"/>
    </row>
    <row r="57" ht="18.95" customHeight="1" spans="1:13">
      <c r="A57" s="84" t="s">
        <v>19</v>
      </c>
      <c r="B57" s="82" t="s">
        <v>2</v>
      </c>
      <c r="C57" s="85" t="str">
        <f>$C$5</f>
        <v>F28235</v>
      </c>
      <c r="D57" s="85"/>
      <c r="E57" s="102"/>
      <c r="F57" s="114"/>
      <c r="H57" s="84" t="s">
        <v>19</v>
      </c>
      <c r="I57" s="82" t="s">
        <v>2</v>
      </c>
      <c r="J57" s="85" t="str">
        <f>$C$5</f>
        <v>F28235</v>
      </c>
      <c r="K57" s="85"/>
      <c r="L57" s="102"/>
      <c r="M57" s="114"/>
    </row>
    <row r="58" ht="18.95" customHeight="1" spans="1:13">
      <c r="A58" s="84" t="s">
        <v>20</v>
      </c>
      <c r="B58" s="82" t="s">
        <v>2</v>
      </c>
      <c r="C58" s="86"/>
      <c r="D58" s="86"/>
      <c r="E58" s="104"/>
      <c r="F58" s="100" t="s">
        <v>21</v>
      </c>
      <c r="H58" s="84" t="s">
        <v>20</v>
      </c>
      <c r="I58" s="82" t="s">
        <v>2</v>
      </c>
      <c r="J58" s="86"/>
      <c r="K58" s="86"/>
      <c r="L58" s="104"/>
      <c r="M58" s="100" t="s">
        <v>21</v>
      </c>
    </row>
    <row r="59" ht="18.95" customHeight="1" spans="1:13">
      <c r="A59" s="84" t="s">
        <v>22</v>
      </c>
      <c r="B59" s="82" t="s">
        <v>2</v>
      </c>
      <c r="C59" s="87"/>
      <c r="D59" s="88" t="s">
        <v>23</v>
      </c>
      <c r="E59" s="105"/>
      <c r="F59" s="115"/>
      <c r="H59" s="84" t="s">
        <v>22</v>
      </c>
      <c r="I59" s="82" t="s">
        <v>2</v>
      </c>
      <c r="J59" s="87"/>
      <c r="K59" s="88" t="s">
        <v>23</v>
      </c>
      <c r="L59" s="105"/>
      <c r="M59" s="115"/>
    </row>
    <row r="60" ht="18.95" customHeight="1" spans="1:13">
      <c r="A60" s="84" t="s">
        <v>24</v>
      </c>
      <c r="B60" s="82" t="s">
        <v>2</v>
      </c>
      <c r="C60" s="96">
        <f>$C$8</f>
        <v>1000</v>
      </c>
      <c r="D60" s="86" t="s">
        <v>25</v>
      </c>
      <c r="E60" s="105"/>
      <c r="F60" s="116"/>
      <c r="H60" s="84" t="s">
        <v>24</v>
      </c>
      <c r="I60" s="82" t="s">
        <v>2</v>
      </c>
      <c r="J60" s="96">
        <f>$C$8</f>
        <v>1000</v>
      </c>
      <c r="K60" s="86" t="s">
        <v>25</v>
      </c>
      <c r="L60" s="105"/>
      <c r="M60" s="116"/>
    </row>
    <row r="61" ht="18.95" customHeight="1" spans="1:13">
      <c r="A61" s="84" t="s">
        <v>26</v>
      </c>
      <c r="B61" s="82" t="s">
        <v>2</v>
      </c>
      <c r="C61" s="85"/>
      <c r="D61" s="85"/>
      <c r="E61" s="105"/>
      <c r="F61" s="117"/>
      <c r="H61" s="84" t="s">
        <v>26</v>
      </c>
      <c r="I61" s="82" t="s">
        <v>2</v>
      </c>
      <c r="J61" s="85"/>
      <c r="K61" s="85"/>
      <c r="L61" s="105"/>
      <c r="M61" s="117"/>
    </row>
    <row r="62" ht="14.1" customHeight="1" spans="1:13">
      <c r="A62" s="90" t="s">
        <v>27</v>
      </c>
      <c r="B62" s="91"/>
      <c r="C62" s="90" t="s">
        <v>28</v>
      </c>
      <c r="D62" s="92"/>
      <c r="E62" s="109" t="s">
        <v>29</v>
      </c>
      <c r="F62" s="110" t="s">
        <v>30</v>
      </c>
      <c r="H62" s="90" t="s">
        <v>27</v>
      </c>
      <c r="I62" s="91"/>
      <c r="J62" s="90" t="s">
        <v>28</v>
      </c>
      <c r="K62" s="92"/>
      <c r="L62" s="109" t="s">
        <v>29</v>
      </c>
      <c r="M62" s="110" t="s">
        <v>30</v>
      </c>
    </row>
    <row r="63" ht="18.95" customHeight="1" spans="1:13">
      <c r="A63" s="93">
        <f>$A$11</f>
        <v>0</v>
      </c>
      <c r="B63" s="94"/>
      <c r="C63" s="93">
        <f>$C$11</f>
        <v>91</v>
      </c>
      <c r="D63" s="94"/>
      <c r="E63" s="111"/>
      <c r="F63" s="112"/>
      <c r="H63" s="93">
        <f>$A$11</f>
        <v>0</v>
      </c>
      <c r="I63" s="94"/>
      <c r="J63" s="93">
        <f>$C$11</f>
        <v>91</v>
      </c>
      <c r="K63" s="94"/>
      <c r="L63" s="111"/>
      <c r="M63" s="112"/>
    </row>
    <row r="64" spans="1:13">
      <c r="A64" s="95" t="s">
        <v>31</v>
      </c>
      <c r="B64" s="95"/>
      <c r="C64" s="95"/>
      <c r="D64" s="95"/>
      <c r="E64" s="95"/>
      <c r="F64" s="95"/>
      <c r="H64" s="95" t="s">
        <v>31</v>
      </c>
      <c r="I64" s="95"/>
      <c r="J64" s="95"/>
      <c r="K64" s="95"/>
      <c r="L64" s="119"/>
      <c r="M64" s="119"/>
    </row>
  </sheetData>
  <mergeCells count="150">
    <mergeCell ref="B1:F1"/>
    <mergeCell ref="I1:M1"/>
    <mergeCell ref="C2:E2"/>
    <mergeCell ref="J2:L2"/>
    <mergeCell ref="C3:E3"/>
    <mergeCell ref="J3:L3"/>
    <mergeCell ref="C4:E4"/>
    <mergeCell ref="J4:L4"/>
    <mergeCell ref="C5:E5"/>
    <mergeCell ref="J5:L5"/>
    <mergeCell ref="C9:D9"/>
    <mergeCell ref="J9:K9"/>
    <mergeCell ref="A10:B10"/>
    <mergeCell ref="C10:D10"/>
    <mergeCell ref="H10:I10"/>
    <mergeCell ref="J10:K10"/>
    <mergeCell ref="A11:B11"/>
    <mergeCell ref="C11:D11"/>
    <mergeCell ref="H11:I11"/>
    <mergeCell ref="J11:K11"/>
    <mergeCell ref="A12:F12"/>
    <mergeCell ref="H12:M12"/>
    <mergeCell ref="B14:F14"/>
    <mergeCell ref="I14:M14"/>
    <mergeCell ref="C15:E15"/>
    <mergeCell ref="J15:L15"/>
    <mergeCell ref="C16:E16"/>
    <mergeCell ref="J16:L16"/>
    <mergeCell ref="C17:E17"/>
    <mergeCell ref="J17:L17"/>
    <mergeCell ref="C18:E18"/>
    <mergeCell ref="J18:L18"/>
    <mergeCell ref="C22:D22"/>
    <mergeCell ref="J22:K22"/>
    <mergeCell ref="A23:B23"/>
    <mergeCell ref="C23:D23"/>
    <mergeCell ref="H23:I23"/>
    <mergeCell ref="J23:K23"/>
    <mergeCell ref="A24:B24"/>
    <mergeCell ref="C24:D24"/>
    <mergeCell ref="H24:I24"/>
    <mergeCell ref="J24:K24"/>
    <mergeCell ref="A25:F25"/>
    <mergeCell ref="H25:M25"/>
    <mergeCell ref="B27:F27"/>
    <mergeCell ref="I27:M27"/>
    <mergeCell ref="C28:E28"/>
    <mergeCell ref="J28:L28"/>
    <mergeCell ref="C29:E29"/>
    <mergeCell ref="J29:L29"/>
    <mergeCell ref="C30:E30"/>
    <mergeCell ref="J30:L30"/>
    <mergeCell ref="C31:E31"/>
    <mergeCell ref="J31:L31"/>
    <mergeCell ref="C35:D35"/>
    <mergeCell ref="J35:K35"/>
    <mergeCell ref="A36:B36"/>
    <mergeCell ref="C36:D36"/>
    <mergeCell ref="H36:I36"/>
    <mergeCell ref="J36:K36"/>
    <mergeCell ref="A37:B37"/>
    <mergeCell ref="C37:D37"/>
    <mergeCell ref="H37:I37"/>
    <mergeCell ref="J37:K37"/>
    <mergeCell ref="A38:F38"/>
    <mergeCell ref="H38:M38"/>
    <mergeCell ref="B40:F40"/>
    <mergeCell ref="I40:M40"/>
    <mergeCell ref="C41:E41"/>
    <mergeCell ref="J41:L41"/>
    <mergeCell ref="C42:E42"/>
    <mergeCell ref="J42:L42"/>
    <mergeCell ref="C43:E43"/>
    <mergeCell ref="J43:L43"/>
    <mergeCell ref="C44:E44"/>
    <mergeCell ref="J44:L44"/>
    <mergeCell ref="C48:D48"/>
    <mergeCell ref="J48:K48"/>
    <mergeCell ref="A49:B49"/>
    <mergeCell ref="C49:D49"/>
    <mergeCell ref="H49:I49"/>
    <mergeCell ref="J49:K49"/>
    <mergeCell ref="A50:B50"/>
    <mergeCell ref="C50:D50"/>
    <mergeCell ref="H50:I50"/>
    <mergeCell ref="J50:K50"/>
    <mergeCell ref="A51:F51"/>
    <mergeCell ref="H51:M51"/>
    <mergeCell ref="B53:F53"/>
    <mergeCell ref="I53:M53"/>
    <mergeCell ref="C54:E54"/>
    <mergeCell ref="J54:L54"/>
    <mergeCell ref="C55:E55"/>
    <mergeCell ref="J55:L55"/>
    <mergeCell ref="C56:E56"/>
    <mergeCell ref="J56:L56"/>
    <mergeCell ref="C57:E57"/>
    <mergeCell ref="J57:L57"/>
    <mergeCell ref="C61:D61"/>
    <mergeCell ref="J61:K61"/>
    <mergeCell ref="A62:B62"/>
    <mergeCell ref="C62:D62"/>
    <mergeCell ref="H62:I62"/>
    <mergeCell ref="J62:K62"/>
    <mergeCell ref="A63:B63"/>
    <mergeCell ref="C63:D63"/>
    <mergeCell ref="H63:I63"/>
    <mergeCell ref="J63:K63"/>
    <mergeCell ref="A64:F64"/>
    <mergeCell ref="H64:M64"/>
    <mergeCell ref="E10:E11"/>
    <mergeCell ref="E23:E24"/>
    <mergeCell ref="E36:E37"/>
    <mergeCell ref="E49:E50"/>
    <mergeCell ref="E62:E63"/>
    <mergeCell ref="F3:F5"/>
    <mergeCell ref="F7:F9"/>
    <mergeCell ref="F10:F11"/>
    <mergeCell ref="F16:F18"/>
    <mergeCell ref="F20:F22"/>
    <mergeCell ref="F23:F24"/>
    <mergeCell ref="F29:F31"/>
    <mergeCell ref="F33:F35"/>
    <mergeCell ref="F36:F37"/>
    <mergeCell ref="F42:F44"/>
    <mergeCell ref="F46:F48"/>
    <mergeCell ref="F49:F50"/>
    <mergeCell ref="F55:F57"/>
    <mergeCell ref="F59:F61"/>
    <mergeCell ref="F62:F63"/>
    <mergeCell ref="L10:L11"/>
    <mergeCell ref="L23:L24"/>
    <mergeCell ref="L36:L37"/>
    <mergeCell ref="L49:L50"/>
    <mergeCell ref="L62:L63"/>
    <mergeCell ref="M3:M5"/>
    <mergeCell ref="M7:M9"/>
    <mergeCell ref="M10:M11"/>
    <mergeCell ref="M16:M18"/>
    <mergeCell ref="M20:M22"/>
    <mergeCell ref="M23:M24"/>
    <mergeCell ref="M29:M31"/>
    <mergeCell ref="M33:M35"/>
    <mergeCell ref="M36:M37"/>
    <mergeCell ref="M42:M44"/>
    <mergeCell ref="M46:M48"/>
    <mergeCell ref="M49:M50"/>
    <mergeCell ref="M55:M57"/>
    <mergeCell ref="M59:M61"/>
    <mergeCell ref="M62:M63"/>
  </mergeCells>
  <pageMargins left="0.275590551181102" right="0.118110236220472" top="0.18" bottom="0" header="0" footer="0"/>
  <pageSetup paperSize="9" scale="68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5"/>
  <sheetViews>
    <sheetView zoomScale="87" zoomScaleNormal="87" workbookViewId="0">
      <pane xSplit="7" ySplit="4" topLeftCell="H154" activePane="bottomRight" state="frozen"/>
      <selection/>
      <selection pane="topRight"/>
      <selection pane="bottomLeft"/>
      <selection pane="bottomRight" activeCell="G176" sqref="A1:P375"/>
    </sheetView>
  </sheetViews>
  <sheetFormatPr defaultColWidth="8.71333333333333" defaultRowHeight="18" customHeight="1"/>
  <cols>
    <col min="1" max="1" width="9.14" style="58" customWidth="1"/>
    <col min="2" max="2" width="19" style="59" customWidth="1"/>
    <col min="3" max="3" width="46.8533333333333" style="60" customWidth="1"/>
    <col min="4" max="4" width="30" style="59" customWidth="1"/>
    <col min="5" max="5" width="14.2866666666667" style="61" customWidth="1"/>
    <col min="6" max="6" width="13.5733333333333" style="62" customWidth="1"/>
    <col min="7" max="7" width="14.14" style="63" customWidth="1"/>
    <col min="8" max="8" width="23.2866666666667" style="59" customWidth="1"/>
    <col min="9" max="9" width="14" style="61" customWidth="1"/>
    <col min="10" max="10" width="13" style="64" customWidth="1"/>
    <col min="11" max="11" width="15.4266666666667" style="65" customWidth="1"/>
    <col min="12" max="12" width="22" style="59" customWidth="1"/>
    <col min="13" max="13" width="22.8533333333333" style="59" customWidth="1"/>
    <col min="14" max="14" width="13.8533333333333" style="59" customWidth="1"/>
    <col min="15" max="15" width="14.14" style="59" customWidth="1"/>
    <col min="16" max="16" width="13.8533333333333" style="59" customWidth="1"/>
    <col min="17" max="17" width="8.14" style="59" customWidth="1"/>
    <col min="18" max="16384" width="8.71333333333333" style="59"/>
  </cols>
  <sheetData>
    <row r="1" s="31" customFormat="1" customHeight="1" spans="1:14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="31" customFormat="1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="31" customFormat="1" customHeight="1" spans="1:16">
      <c r="A3" s="66" t="s">
        <v>33</v>
      </c>
      <c r="B3" s="26" t="s">
        <v>34</v>
      </c>
      <c r="C3" s="67" t="s">
        <v>35</v>
      </c>
      <c r="D3" s="68" t="s">
        <v>36</v>
      </c>
      <c r="E3" s="71" t="s">
        <v>37</v>
      </c>
      <c r="F3" s="72" t="s">
        <v>38</v>
      </c>
      <c r="G3" s="73" t="s">
        <v>39</v>
      </c>
      <c r="H3" s="26" t="s">
        <v>19</v>
      </c>
      <c r="I3" s="22" t="s">
        <v>40</v>
      </c>
      <c r="J3" s="22"/>
      <c r="K3" s="22"/>
      <c r="L3" s="22"/>
      <c r="M3" s="22"/>
      <c r="N3" s="26" t="s">
        <v>41</v>
      </c>
      <c r="O3" s="76" t="s">
        <v>42</v>
      </c>
      <c r="P3" s="76" t="s">
        <v>43</v>
      </c>
    </row>
    <row r="4" ht="42.75" spans="1:16">
      <c r="A4" s="69"/>
      <c r="B4" s="26"/>
      <c r="C4" s="67"/>
      <c r="D4" s="70"/>
      <c r="E4" s="74"/>
      <c r="F4" s="75"/>
      <c r="G4" s="73"/>
      <c r="H4" s="26"/>
      <c r="I4" s="23" t="s">
        <v>44</v>
      </c>
      <c r="J4" s="24" t="s">
        <v>45</v>
      </c>
      <c r="K4" s="25" t="s">
        <v>46</v>
      </c>
      <c r="L4" s="26" t="s">
        <v>47</v>
      </c>
      <c r="M4" s="26" t="s">
        <v>48</v>
      </c>
      <c r="N4" s="26"/>
      <c r="O4" s="76"/>
      <c r="P4" s="76"/>
    </row>
    <row r="5" s="55" customFormat="1" customHeight="1" spans="1:16">
      <c r="A5" s="7" t="s">
        <v>49</v>
      </c>
      <c r="B5" s="8" t="s">
        <v>50</v>
      </c>
      <c r="C5" s="9" t="s">
        <v>51</v>
      </c>
      <c r="D5" s="10" t="s">
        <v>52</v>
      </c>
      <c r="E5" s="18">
        <v>220</v>
      </c>
      <c r="F5" s="19"/>
      <c r="G5" s="20">
        <f>F5+91</f>
        <v>91</v>
      </c>
      <c r="H5" s="142" t="s">
        <v>53</v>
      </c>
      <c r="I5" s="27">
        <v>280</v>
      </c>
      <c r="J5" s="28">
        <v>26.2</v>
      </c>
      <c r="K5" s="29">
        <f t="shared" ref="K5:K68" si="0">(I5+(J5*E5))/1000</f>
        <v>6.044</v>
      </c>
      <c r="L5" s="142" t="s">
        <v>54</v>
      </c>
      <c r="M5" s="142" t="str">
        <f>VLOOKUP(L5,Packaging!$B$3:$C$21,2,0)</f>
        <v>290 X 200 X 140</v>
      </c>
      <c r="N5" s="10"/>
      <c r="O5" s="11">
        <v>5</v>
      </c>
      <c r="P5" s="11" t="s">
        <v>55</v>
      </c>
    </row>
    <row r="6" s="55" customFormat="1" customHeight="1" spans="1:16">
      <c r="A6" s="7" t="s">
        <v>56</v>
      </c>
      <c r="B6" s="8" t="s">
        <v>57</v>
      </c>
      <c r="C6" s="9" t="s">
        <v>58</v>
      </c>
      <c r="D6" s="10" t="s">
        <v>52</v>
      </c>
      <c r="E6" s="18">
        <v>220</v>
      </c>
      <c r="F6" s="19"/>
      <c r="G6" s="20">
        <f t="shared" ref="G6:G69" si="1">F6+91</f>
        <v>91</v>
      </c>
      <c r="H6" s="142" t="s">
        <v>53</v>
      </c>
      <c r="I6" s="27">
        <v>280</v>
      </c>
      <c r="J6" s="28">
        <v>38.6</v>
      </c>
      <c r="K6" s="29">
        <f t="shared" si="0"/>
        <v>8.772</v>
      </c>
      <c r="L6" s="142" t="s">
        <v>54</v>
      </c>
      <c r="M6" s="142" t="str">
        <f>VLOOKUP(L6,Packaging!$B$3:$C$21,2,0)</f>
        <v>290 X 200 X 140</v>
      </c>
      <c r="N6" s="10"/>
      <c r="O6" s="11">
        <v>5</v>
      </c>
      <c r="P6" s="11" t="s">
        <v>55</v>
      </c>
    </row>
    <row r="7" s="55" customFormat="1" customHeight="1" spans="1:16">
      <c r="A7" s="7" t="s">
        <v>59</v>
      </c>
      <c r="B7" s="8" t="s">
        <v>60</v>
      </c>
      <c r="C7" s="9" t="s">
        <v>61</v>
      </c>
      <c r="D7" s="10" t="s">
        <v>52</v>
      </c>
      <c r="E7" s="18">
        <v>220</v>
      </c>
      <c r="F7" s="19"/>
      <c r="G7" s="20">
        <f t="shared" si="1"/>
        <v>91</v>
      </c>
      <c r="H7" s="142" t="s">
        <v>53</v>
      </c>
      <c r="I7" s="27">
        <v>280</v>
      </c>
      <c r="J7" s="28">
        <v>26.2</v>
      </c>
      <c r="K7" s="29">
        <f t="shared" si="0"/>
        <v>6.044</v>
      </c>
      <c r="L7" s="142" t="s">
        <v>54</v>
      </c>
      <c r="M7" s="142" t="str">
        <f>VLOOKUP(L7,Packaging!$B$3:$C$21,2,0)</f>
        <v>290 X 200 X 140</v>
      </c>
      <c r="N7" s="10"/>
      <c r="O7" s="11">
        <v>5</v>
      </c>
      <c r="P7" s="11" t="s">
        <v>55</v>
      </c>
    </row>
    <row r="8" s="55" customFormat="1" customHeight="1" spans="1:16">
      <c r="A8" s="7" t="s">
        <v>62</v>
      </c>
      <c r="B8" s="8" t="s">
        <v>63</v>
      </c>
      <c r="C8" s="9" t="s">
        <v>64</v>
      </c>
      <c r="D8" s="10" t="s">
        <v>52</v>
      </c>
      <c r="E8" s="18">
        <v>220</v>
      </c>
      <c r="F8" s="19"/>
      <c r="G8" s="20">
        <f t="shared" si="1"/>
        <v>91</v>
      </c>
      <c r="H8" s="142" t="s">
        <v>53</v>
      </c>
      <c r="I8" s="27">
        <v>280</v>
      </c>
      <c r="J8" s="28">
        <v>38.6</v>
      </c>
      <c r="K8" s="29">
        <f t="shared" si="0"/>
        <v>8.772</v>
      </c>
      <c r="L8" s="142" t="s">
        <v>54</v>
      </c>
      <c r="M8" s="142" t="str">
        <f>VLOOKUP(L8,Packaging!$B$3:$C$21,2,0)</f>
        <v>290 X 200 X 140</v>
      </c>
      <c r="N8" s="10"/>
      <c r="O8" s="11">
        <v>5</v>
      </c>
      <c r="P8" s="11" t="s">
        <v>55</v>
      </c>
    </row>
    <row r="9" customHeight="1" spans="1:16">
      <c r="A9" s="7" t="s">
        <v>65</v>
      </c>
      <c r="B9" s="11" t="s">
        <v>66</v>
      </c>
      <c r="C9" s="9" t="s">
        <v>67</v>
      </c>
      <c r="D9" s="10" t="s">
        <v>52</v>
      </c>
      <c r="E9" s="18">
        <v>16</v>
      </c>
      <c r="F9" s="19"/>
      <c r="G9" s="20">
        <f t="shared" si="1"/>
        <v>91</v>
      </c>
      <c r="H9" s="142" t="s">
        <v>53</v>
      </c>
      <c r="I9" s="27">
        <v>948</v>
      </c>
      <c r="J9" s="28">
        <v>1650.4</v>
      </c>
      <c r="K9" s="29">
        <f t="shared" si="0"/>
        <v>27.3544</v>
      </c>
      <c r="L9" s="142" t="s">
        <v>68</v>
      </c>
      <c r="M9" s="142" t="str">
        <f>VLOOKUP(L9,Packaging!$B$3:$C$21,2,0)</f>
        <v>1410 X 165 X 175</v>
      </c>
      <c r="N9" s="10"/>
      <c r="O9" s="11">
        <v>1</v>
      </c>
      <c r="P9" s="11" t="s">
        <v>55</v>
      </c>
    </row>
    <row r="10" customHeight="1" spans="1:16">
      <c r="A10" s="7" t="s">
        <v>69</v>
      </c>
      <c r="B10" s="11" t="s">
        <v>70</v>
      </c>
      <c r="C10" s="9" t="s">
        <v>71</v>
      </c>
      <c r="D10" s="10" t="s">
        <v>52</v>
      </c>
      <c r="E10" s="18">
        <v>40</v>
      </c>
      <c r="F10" s="19"/>
      <c r="G10" s="20">
        <f t="shared" si="1"/>
        <v>91</v>
      </c>
      <c r="H10" s="142" t="s">
        <v>53</v>
      </c>
      <c r="I10" s="27">
        <v>766</v>
      </c>
      <c r="J10" s="28">
        <v>170</v>
      </c>
      <c r="K10" s="29">
        <f t="shared" si="0"/>
        <v>7.566</v>
      </c>
      <c r="L10" s="142" t="s">
        <v>72</v>
      </c>
      <c r="M10" s="142" t="str">
        <f>VLOOKUP(L10,Packaging!$B$3:$C$21,2,0)</f>
        <v>390 X 350 X 280</v>
      </c>
      <c r="N10" s="10"/>
      <c r="O10" s="11">
        <v>2</v>
      </c>
      <c r="P10" s="11" t="s">
        <v>55</v>
      </c>
    </row>
    <row r="11" customHeight="1" spans="1:16">
      <c r="A11" s="7" t="s">
        <v>73</v>
      </c>
      <c r="B11" s="8" t="s">
        <v>74</v>
      </c>
      <c r="C11" s="9" t="s">
        <v>75</v>
      </c>
      <c r="D11" s="10" t="s">
        <v>52</v>
      </c>
      <c r="E11" s="18">
        <v>60</v>
      </c>
      <c r="F11" s="19"/>
      <c r="G11" s="20">
        <f t="shared" si="1"/>
        <v>91</v>
      </c>
      <c r="H11" s="142" t="s">
        <v>53</v>
      </c>
      <c r="I11" s="27">
        <v>280</v>
      </c>
      <c r="J11" s="28">
        <v>68.2</v>
      </c>
      <c r="K11" s="29">
        <f t="shared" si="0"/>
        <v>4.372</v>
      </c>
      <c r="L11" s="142" t="s">
        <v>54</v>
      </c>
      <c r="M11" s="142" t="str">
        <f>VLOOKUP(L11,Packaging!$B$3:$C$21,2,0)</f>
        <v>290 X 200 X 140</v>
      </c>
      <c r="N11" s="10"/>
      <c r="O11" s="11">
        <v>5</v>
      </c>
      <c r="P11" s="11" t="s">
        <v>55</v>
      </c>
    </row>
    <row r="12" customHeight="1" spans="1:16">
      <c r="A12" s="7" t="s">
        <v>76</v>
      </c>
      <c r="B12" s="11" t="s">
        <v>77</v>
      </c>
      <c r="C12" s="9" t="s">
        <v>78</v>
      </c>
      <c r="D12" s="10" t="s">
        <v>52</v>
      </c>
      <c r="E12" s="18">
        <v>20</v>
      </c>
      <c r="F12" s="19"/>
      <c r="G12" s="20">
        <f t="shared" si="1"/>
        <v>91</v>
      </c>
      <c r="H12" s="142" t="s">
        <v>53</v>
      </c>
      <c r="I12" s="30"/>
      <c r="J12" s="28">
        <v>5076.8</v>
      </c>
      <c r="K12" s="29">
        <f t="shared" si="0"/>
        <v>101.536</v>
      </c>
      <c r="L12" s="142" t="s">
        <v>79</v>
      </c>
      <c r="M12" s="142" t="str">
        <f>VLOOKUP(L12,Packaging!$B$3:$C$21,2,0)</f>
        <v>1000 X 880 X 1230</v>
      </c>
      <c r="N12" s="10"/>
      <c r="O12" s="11">
        <v>1</v>
      </c>
      <c r="P12" s="11" t="s">
        <v>55</v>
      </c>
    </row>
    <row r="13" customHeight="1" spans="1:16">
      <c r="A13" s="7" t="s">
        <v>80</v>
      </c>
      <c r="B13" s="8" t="s">
        <v>81</v>
      </c>
      <c r="C13" s="9" t="s">
        <v>82</v>
      </c>
      <c r="D13" s="10" t="s">
        <v>52</v>
      </c>
      <c r="E13" s="18">
        <v>30</v>
      </c>
      <c r="F13" s="19"/>
      <c r="G13" s="20">
        <f t="shared" si="1"/>
        <v>91</v>
      </c>
      <c r="H13" s="142" t="s">
        <v>53</v>
      </c>
      <c r="I13" s="27">
        <v>430</v>
      </c>
      <c r="J13" s="28">
        <v>411</v>
      </c>
      <c r="K13" s="29">
        <f t="shared" si="0"/>
        <v>12.76</v>
      </c>
      <c r="L13" s="142" t="s">
        <v>83</v>
      </c>
      <c r="M13" s="142" t="str">
        <f>VLOOKUP(L13,Packaging!$B$3:$C$21,2,0)</f>
        <v>560 X 175 X 155</v>
      </c>
      <c r="N13" s="10"/>
      <c r="O13" s="11">
        <v>1</v>
      </c>
      <c r="P13" s="11" t="s">
        <v>55</v>
      </c>
    </row>
    <row r="14" customHeight="1" spans="1:16">
      <c r="A14" s="7" t="s">
        <v>84</v>
      </c>
      <c r="B14" s="8" t="s">
        <v>85</v>
      </c>
      <c r="C14" s="12" t="s">
        <v>86</v>
      </c>
      <c r="D14" s="10" t="s">
        <v>52</v>
      </c>
      <c r="E14" s="18">
        <v>30</v>
      </c>
      <c r="F14" s="19"/>
      <c r="G14" s="20">
        <f t="shared" si="1"/>
        <v>91</v>
      </c>
      <c r="H14" s="142" t="s">
        <v>53</v>
      </c>
      <c r="I14" s="27">
        <v>430</v>
      </c>
      <c r="J14" s="28">
        <v>411</v>
      </c>
      <c r="K14" s="29">
        <f t="shared" si="0"/>
        <v>12.76</v>
      </c>
      <c r="L14" s="142" t="s">
        <v>83</v>
      </c>
      <c r="M14" s="142" t="str">
        <f>VLOOKUP(L14,Packaging!$B$3:$C$21,2,0)</f>
        <v>560 X 175 X 155</v>
      </c>
      <c r="N14" s="10" t="s">
        <v>87</v>
      </c>
      <c r="O14" s="11">
        <v>1</v>
      </c>
      <c r="P14" s="11" t="s">
        <v>55</v>
      </c>
    </row>
    <row r="15" s="55" customFormat="1" customHeight="1" spans="1:16">
      <c r="A15" s="7" t="s">
        <v>88</v>
      </c>
      <c r="B15" s="8" t="s">
        <v>89</v>
      </c>
      <c r="C15" s="12" t="s">
        <v>90</v>
      </c>
      <c r="D15" s="10" t="s">
        <v>52</v>
      </c>
      <c r="E15" s="18">
        <v>28</v>
      </c>
      <c r="F15" s="19"/>
      <c r="G15" s="20">
        <f t="shared" si="1"/>
        <v>91</v>
      </c>
      <c r="H15" s="142" t="s">
        <v>53</v>
      </c>
      <c r="I15" s="27">
        <v>378</v>
      </c>
      <c r="J15" s="28">
        <v>437.8</v>
      </c>
      <c r="K15" s="29">
        <f t="shared" si="0"/>
        <v>12.6364</v>
      </c>
      <c r="L15" s="142" t="s">
        <v>91</v>
      </c>
      <c r="M15" s="142" t="str">
        <f>VLOOKUP(L15,Packaging!$B$3:$C$21,2,0)</f>
        <v>400 X 240 X 130</v>
      </c>
      <c r="N15" s="10"/>
      <c r="O15" s="11">
        <v>2</v>
      </c>
      <c r="P15" s="11" t="s">
        <v>55</v>
      </c>
    </row>
    <row r="16" s="55" customFormat="1" customHeight="1" spans="1:16">
      <c r="A16" s="7" t="s">
        <v>92</v>
      </c>
      <c r="B16" s="8" t="s">
        <v>93</v>
      </c>
      <c r="C16" s="9" t="s">
        <v>94</v>
      </c>
      <c r="D16" s="10" t="s">
        <v>52</v>
      </c>
      <c r="E16" s="18">
        <v>100</v>
      </c>
      <c r="F16" s="19"/>
      <c r="G16" s="20">
        <f t="shared" si="1"/>
        <v>91</v>
      </c>
      <c r="H16" s="142" t="s">
        <v>53</v>
      </c>
      <c r="I16" s="27">
        <v>280</v>
      </c>
      <c r="J16" s="28">
        <v>91</v>
      </c>
      <c r="K16" s="29">
        <f t="shared" si="0"/>
        <v>9.38</v>
      </c>
      <c r="L16" s="142" t="s">
        <v>54</v>
      </c>
      <c r="M16" s="142" t="str">
        <f>VLOOKUP(L16,Packaging!$B$3:$C$21,2,0)</f>
        <v>290 X 200 X 140</v>
      </c>
      <c r="N16" s="10"/>
      <c r="O16" s="11">
        <v>5</v>
      </c>
      <c r="P16" s="11" t="s">
        <v>55</v>
      </c>
    </row>
    <row r="17" s="55" customFormat="1" customHeight="1" spans="1:16">
      <c r="A17" s="7" t="s">
        <v>95</v>
      </c>
      <c r="B17" s="8" t="s">
        <v>96</v>
      </c>
      <c r="C17" s="9" t="s">
        <v>97</v>
      </c>
      <c r="D17" s="10" t="s">
        <v>52</v>
      </c>
      <c r="E17" s="18">
        <v>100</v>
      </c>
      <c r="F17" s="19"/>
      <c r="G17" s="20">
        <f t="shared" si="1"/>
        <v>91</v>
      </c>
      <c r="H17" s="142" t="s">
        <v>53</v>
      </c>
      <c r="I17" s="27">
        <v>280</v>
      </c>
      <c r="J17" s="28">
        <v>91</v>
      </c>
      <c r="K17" s="29">
        <f t="shared" si="0"/>
        <v>9.38</v>
      </c>
      <c r="L17" s="142" t="s">
        <v>54</v>
      </c>
      <c r="M17" s="142" t="str">
        <f>VLOOKUP(L17,Packaging!$B$3:$C$21,2,0)</f>
        <v>290 X 200 X 140</v>
      </c>
      <c r="N17" s="10"/>
      <c r="O17" s="11">
        <v>5</v>
      </c>
      <c r="P17" s="11" t="s">
        <v>55</v>
      </c>
    </row>
    <row r="18" s="55" customFormat="1" customHeight="1" spans="1:16">
      <c r="A18" s="7" t="s">
        <v>98</v>
      </c>
      <c r="B18" s="8" t="s">
        <v>99</v>
      </c>
      <c r="C18" s="9" t="s">
        <v>100</v>
      </c>
      <c r="D18" s="10" t="s">
        <v>52</v>
      </c>
      <c r="E18" s="18">
        <v>20</v>
      </c>
      <c r="F18" s="19"/>
      <c r="G18" s="20">
        <f t="shared" si="1"/>
        <v>91</v>
      </c>
      <c r="H18" s="142" t="s">
        <v>53</v>
      </c>
      <c r="I18" s="27">
        <v>580</v>
      </c>
      <c r="J18" s="28">
        <v>1034</v>
      </c>
      <c r="K18" s="29">
        <f t="shared" si="0"/>
        <v>21.26</v>
      </c>
      <c r="L18" s="142" t="s">
        <v>101</v>
      </c>
      <c r="M18" s="142" t="str">
        <f>VLOOKUP(L18,Packaging!$B$3:$C$21,2,0)</f>
        <v>1380 X 150 X 80</v>
      </c>
      <c r="N18" s="10"/>
      <c r="O18" s="11">
        <v>1</v>
      </c>
      <c r="P18" s="11" t="s">
        <v>55</v>
      </c>
    </row>
    <row r="19" s="55" customFormat="1" customHeight="1" spans="1:16">
      <c r="A19" s="7" t="s">
        <v>102</v>
      </c>
      <c r="B19" s="8" t="s">
        <v>103</v>
      </c>
      <c r="C19" s="9" t="s">
        <v>104</v>
      </c>
      <c r="D19" s="10" t="s">
        <v>52</v>
      </c>
      <c r="E19" s="18">
        <v>20</v>
      </c>
      <c r="F19" s="19"/>
      <c r="G19" s="20">
        <f t="shared" si="1"/>
        <v>91</v>
      </c>
      <c r="H19" s="142" t="s">
        <v>53</v>
      </c>
      <c r="I19" s="27">
        <v>580</v>
      </c>
      <c r="J19" s="28">
        <v>1034</v>
      </c>
      <c r="K19" s="29">
        <f t="shared" si="0"/>
        <v>21.26</v>
      </c>
      <c r="L19" s="142" t="s">
        <v>101</v>
      </c>
      <c r="M19" s="142" t="str">
        <f>VLOOKUP(L19,Packaging!$B$3:$C$21,2,0)</f>
        <v>1380 X 150 X 80</v>
      </c>
      <c r="N19" s="10"/>
      <c r="O19" s="11">
        <v>1</v>
      </c>
      <c r="P19" s="11" t="s">
        <v>55</v>
      </c>
    </row>
    <row r="20" customHeight="1" spans="1:16">
      <c r="A20" s="7" t="s">
        <v>105</v>
      </c>
      <c r="B20" s="8" t="s">
        <v>106</v>
      </c>
      <c r="C20" s="9" t="s">
        <v>107</v>
      </c>
      <c r="D20" s="10" t="s">
        <v>52</v>
      </c>
      <c r="E20" s="18">
        <v>12</v>
      </c>
      <c r="F20" s="19"/>
      <c r="G20" s="20">
        <f t="shared" si="1"/>
        <v>91</v>
      </c>
      <c r="H20" s="142" t="s">
        <v>53</v>
      </c>
      <c r="I20" s="27">
        <v>766</v>
      </c>
      <c r="J20" s="28">
        <v>610</v>
      </c>
      <c r="K20" s="29">
        <f t="shared" si="0"/>
        <v>8.086</v>
      </c>
      <c r="L20" s="142" t="s">
        <v>72</v>
      </c>
      <c r="M20" s="142" t="str">
        <f>VLOOKUP(L20,Packaging!$B$3:$C$21,2,0)</f>
        <v>390 X 350 X 280</v>
      </c>
      <c r="N20" s="10"/>
      <c r="O20" s="11">
        <v>1</v>
      </c>
      <c r="P20" s="11" t="s">
        <v>55</v>
      </c>
    </row>
    <row r="21" customHeight="1" spans="1:16">
      <c r="A21" s="7" t="s">
        <v>108</v>
      </c>
      <c r="B21" s="8" t="s">
        <v>109</v>
      </c>
      <c r="C21" s="13" t="s">
        <v>110</v>
      </c>
      <c r="D21" s="10" t="s">
        <v>52</v>
      </c>
      <c r="E21" s="18">
        <v>40</v>
      </c>
      <c r="F21" s="19"/>
      <c r="G21" s="20">
        <f t="shared" si="1"/>
        <v>91</v>
      </c>
      <c r="H21" s="142" t="s">
        <v>53</v>
      </c>
      <c r="I21" s="27">
        <v>378</v>
      </c>
      <c r="J21" s="28">
        <v>724</v>
      </c>
      <c r="K21" s="29">
        <f t="shared" si="0"/>
        <v>29.338</v>
      </c>
      <c r="L21" s="142" t="s">
        <v>91</v>
      </c>
      <c r="M21" s="142" t="str">
        <f>VLOOKUP(L21,Packaging!$B$3:$C$21,2,0)</f>
        <v>400 X 240 X 130</v>
      </c>
      <c r="N21" s="10"/>
      <c r="O21" s="11">
        <v>4</v>
      </c>
      <c r="P21" s="11" t="s">
        <v>55</v>
      </c>
    </row>
    <row r="22" s="55" customFormat="1" customHeight="1" spans="1:16">
      <c r="A22" s="7" t="s">
        <v>111</v>
      </c>
      <c r="B22" s="8" t="s">
        <v>112</v>
      </c>
      <c r="C22" s="13" t="s">
        <v>113</v>
      </c>
      <c r="D22" s="10" t="s">
        <v>52</v>
      </c>
      <c r="E22" s="18">
        <v>360</v>
      </c>
      <c r="F22" s="19"/>
      <c r="G22" s="20">
        <f t="shared" si="1"/>
        <v>91</v>
      </c>
      <c r="H22" s="142" t="s">
        <v>53</v>
      </c>
      <c r="I22" s="27">
        <v>280</v>
      </c>
      <c r="J22" s="28">
        <v>26</v>
      </c>
      <c r="K22" s="29">
        <f t="shared" si="0"/>
        <v>9.64</v>
      </c>
      <c r="L22" s="142" t="s">
        <v>54</v>
      </c>
      <c r="M22" s="142" t="str">
        <f>VLOOKUP(L22,Packaging!$B$3:$C$21,2,0)</f>
        <v>290 X 200 X 140</v>
      </c>
      <c r="N22" s="10"/>
      <c r="O22" s="11">
        <v>20</v>
      </c>
      <c r="P22" s="11" t="s">
        <v>55</v>
      </c>
    </row>
    <row r="23" customHeight="1" spans="1:16">
      <c r="A23" s="7" t="s">
        <v>114</v>
      </c>
      <c r="B23" s="8" t="s">
        <v>115</v>
      </c>
      <c r="C23" s="13" t="s">
        <v>116</v>
      </c>
      <c r="D23" s="10" t="s">
        <v>52</v>
      </c>
      <c r="E23" s="18">
        <v>360</v>
      </c>
      <c r="F23" s="19"/>
      <c r="G23" s="20">
        <f t="shared" si="1"/>
        <v>91</v>
      </c>
      <c r="H23" s="142" t="s">
        <v>53</v>
      </c>
      <c r="I23" s="27">
        <v>280</v>
      </c>
      <c r="J23" s="28">
        <v>26.8</v>
      </c>
      <c r="K23" s="29">
        <f t="shared" si="0"/>
        <v>9.928</v>
      </c>
      <c r="L23" s="142" t="s">
        <v>54</v>
      </c>
      <c r="M23" s="142" t="str">
        <f>VLOOKUP(L23,Packaging!$B$3:$C$21,2,0)</f>
        <v>290 X 200 X 140</v>
      </c>
      <c r="N23" s="10"/>
      <c r="O23" s="11">
        <v>5</v>
      </c>
      <c r="P23" s="11" t="s">
        <v>55</v>
      </c>
    </row>
    <row r="24" s="55" customFormat="1" customHeight="1" spans="1:16">
      <c r="A24" s="7" t="s">
        <v>117</v>
      </c>
      <c r="B24" s="8" t="s">
        <v>118</v>
      </c>
      <c r="C24" s="14" t="s">
        <v>119</v>
      </c>
      <c r="D24" s="10" t="s">
        <v>52</v>
      </c>
      <c r="E24" s="18">
        <v>360</v>
      </c>
      <c r="F24" s="19"/>
      <c r="G24" s="20">
        <f t="shared" si="1"/>
        <v>91</v>
      </c>
      <c r="H24" s="142" t="s">
        <v>53</v>
      </c>
      <c r="I24" s="27">
        <v>280</v>
      </c>
      <c r="J24" s="28">
        <v>26</v>
      </c>
      <c r="K24" s="29">
        <f t="shared" si="0"/>
        <v>9.64</v>
      </c>
      <c r="L24" s="142" t="s">
        <v>54</v>
      </c>
      <c r="M24" s="142" t="str">
        <f>VLOOKUP(L24,Packaging!$B$3:$C$21,2,0)</f>
        <v>290 X 200 X 140</v>
      </c>
      <c r="N24" s="10"/>
      <c r="O24" s="11">
        <v>20</v>
      </c>
      <c r="P24" s="11" t="s">
        <v>55</v>
      </c>
    </row>
    <row r="25" customHeight="1" spans="1:16">
      <c r="A25" s="7" t="s">
        <v>120</v>
      </c>
      <c r="B25" s="8" t="s">
        <v>121</v>
      </c>
      <c r="C25" s="13" t="s">
        <v>122</v>
      </c>
      <c r="D25" s="10" t="s">
        <v>52</v>
      </c>
      <c r="E25" s="18">
        <v>360</v>
      </c>
      <c r="F25" s="19"/>
      <c r="G25" s="20">
        <f t="shared" si="1"/>
        <v>91</v>
      </c>
      <c r="H25" s="142" t="s">
        <v>53</v>
      </c>
      <c r="I25" s="27">
        <v>280</v>
      </c>
      <c r="J25" s="28">
        <v>26.8</v>
      </c>
      <c r="K25" s="29">
        <f t="shared" si="0"/>
        <v>9.928</v>
      </c>
      <c r="L25" s="142" t="s">
        <v>54</v>
      </c>
      <c r="M25" s="142" t="str">
        <f>VLOOKUP(L25,Packaging!$B$3:$C$21,2,0)</f>
        <v>290 X 200 X 140</v>
      </c>
      <c r="N25" s="10"/>
      <c r="O25" s="11">
        <v>5</v>
      </c>
      <c r="P25" s="11" t="s">
        <v>55</v>
      </c>
    </row>
    <row r="26" customHeight="1" spans="1:16">
      <c r="A26" s="7" t="s">
        <v>123</v>
      </c>
      <c r="B26" s="11" t="s">
        <v>124</v>
      </c>
      <c r="C26" s="9" t="s">
        <v>125</v>
      </c>
      <c r="D26" s="10" t="s">
        <v>52</v>
      </c>
      <c r="E26" s="18">
        <v>20</v>
      </c>
      <c r="F26" s="19"/>
      <c r="G26" s="20">
        <f t="shared" si="1"/>
        <v>91</v>
      </c>
      <c r="H26" s="142" t="s">
        <v>53</v>
      </c>
      <c r="I26" s="27">
        <v>1128</v>
      </c>
      <c r="J26" s="27">
        <v>1076</v>
      </c>
      <c r="K26" s="29">
        <f t="shared" si="0"/>
        <v>22.648</v>
      </c>
      <c r="L26" s="142" t="s">
        <v>126</v>
      </c>
      <c r="M26" s="21" t="e">
        <f>VLOOKUP(L26,Packaging!$B$3:$C$21,2,0)</f>
        <v>#N/A</v>
      </c>
      <c r="N26" s="10"/>
      <c r="O26" s="11">
        <v>1</v>
      </c>
      <c r="P26" s="11" t="s">
        <v>55</v>
      </c>
    </row>
    <row r="27" customHeight="1" spans="1:16">
      <c r="A27" s="7" t="s">
        <v>127</v>
      </c>
      <c r="B27" s="11" t="s">
        <v>128</v>
      </c>
      <c r="C27" s="9" t="s">
        <v>129</v>
      </c>
      <c r="D27" s="10" t="s">
        <v>52</v>
      </c>
      <c r="E27" s="18">
        <v>20</v>
      </c>
      <c r="F27" s="19"/>
      <c r="G27" s="20">
        <f t="shared" si="1"/>
        <v>91</v>
      </c>
      <c r="H27" s="142" t="s">
        <v>53</v>
      </c>
      <c r="I27" s="27">
        <v>1128</v>
      </c>
      <c r="J27" s="27">
        <v>1076</v>
      </c>
      <c r="K27" s="29">
        <f t="shared" si="0"/>
        <v>22.648</v>
      </c>
      <c r="L27" s="142" t="s">
        <v>126</v>
      </c>
      <c r="M27" s="21" t="e">
        <f>VLOOKUP(L27,Packaging!$B$3:$C$21,2,0)</f>
        <v>#N/A</v>
      </c>
      <c r="N27" s="10"/>
      <c r="O27" s="11">
        <v>1</v>
      </c>
      <c r="P27" s="11" t="s">
        <v>55</v>
      </c>
    </row>
    <row r="28" customHeight="1" spans="1:16">
      <c r="A28" s="7" t="s">
        <v>130</v>
      </c>
      <c r="B28" s="8" t="s">
        <v>131</v>
      </c>
      <c r="C28" s="9" t="s">
        <v>132</v>
      </c>
      <c r="D28" s="10" t="s">
        <v>52</v>
      </c>
      <c r="E28" s="18">
        <v>150</v>
      </c>
      <c r="F28" s="19"/>
      <c r="G28" s="20">
        <f t="shared" si="1"/>
        <v>91</v>
      </c>
      <c r="H28" s="142" t="s">
        <v>53</v>
      </c>
      <c r="I28" s="27">
        <v>280</v>
      </c>
      <c r="J28" s="28">
        <v>120</v>
      </c>
      <c r="K28" s="29">
        <f t="shared" si="0"/>
        <v>18.28</v>
      </c>
      <c r="L28" s="142" t="s">
        <v>54</v>
      </c>
      <c r="M28" s="142" t="str">
        <f>VLOOKUP(L28,Packaging!$B$3:$C$21,2,0)</f>
        <v>290 X 200 X 140</v>
      </c>
      <c r="N28" s="10"/>
      <c r="O28" s="11">
        <v>10</v>
      </c>
      <c r="P28" s="11" t="s">
        <v>55</v>
      </c>
    </row>
    <row r="29" customHeight="1" spans="1:16">
      <c r="A29" s="7" t="s">
        <v>133</v>
      </c>
      <c r="B29" s="8" t="s">
        <v>134</v>
      </c>
      <c r="C29" s="9" t="s">
        <v>135</v>
      </c>
      <c r="D29" s="10" t="s">
        <v>52</v>
      </c>
      <c r="E29" s="18">
        <v>150</v>
      </c>
      <c r="F29" s="19"/>
      <c r="G29" s="20">
        <f t="shared" si="1"/>
        <v>91</v>
      </c>
      <c r="H29" s="142" t="s">
        <v>53</v>
      </c>
      <c r="I29" s="27">
        <v>280</v>
      </c>
      <c r="J29" s="28">
        <v>120</v>
      </c>
      <c r="K29" s="29">
        <f t="shared" si="0"/>
        <v>18.28</v>
      </c>
      <c r="L29" s="142" t="s">
        <v>54</v>
      </c>
      <c r="M29" s="142" t="str">
        <f>VLOOKUP(L29,Packaging!$B$3:$C$21,2,0)</f>
        <v>290 X 200 X 140</v>
      </c>
      <c r="N29" s="10"/>
      <c r="O29" s="11">
        <v>10</v>
      </c>
      <c r="P29" s="11" t="s">
        <v>55</v>
      </c>
    </row>
    <row r="30" customHeight="1" spans="1:16">
      <c r="A30" s="7" t="s">
        <v>136</v>
      </c>
      <c r="B30" s="11" t="s">
        <v>137</v>
      </c>
      <c r="C30" s="9" t="s">
        <v>138</v>
      </c>
      <c r="D30" s="10" t="s">
        <v>52</v>
      </c>
      <c r="E30" s="18">
        <v>6</v>
      </c>
      <c r="F30" s="19"/>
      <c r="G30" s="20">
        <f t="shared" si="1"/>
        <v>91</v>
      </c>
      <c r="H30" s="142" t="s">
        <v>53</v>
      </c>
      <c r="I30" s="27">
        <v>1040</v>
      </c>
      <c r="J30" s="27">
        <v>1873.4</v>
      </c>
      <c r="K30" s="29">
        <f t="shared" si="0"/>
        <v>12.2804</v>
      </c>
      <c r="L30" s="142" t="s">
        <v>139</v>
      </c>
      <c r="M30" s="142" t="str">
        <f>VLOOKUP(L30,Packaging!$B$3:$C$21,2,0)</f>
        <v>810 X 160 X180</v>
      </c>
      <c r="N30" s="10"/>
      <c r="O30" s="11">
        <v>1</v>
      </c>
      <c r="P30" s="11" t="s">
        <v>55</v>
      </c>
    </row>
    <row r="31" customHeight="1" spans="1:16">
      <c r="A31" s="7" t="s">
        <v>140</v>
      </c>
      <c r="B31" s="11" t="s">
        <v>141</v>
      </c>
      <c r="C31" s="9" t="s">
        <v>142</v>
      </c>
      <c r="D31" s="10" t="s">
        <v>52</v>
      </c>
      <c r="E31" s="18">
        <v>24</v>
      </c>
      <c r="F31" s="19"/>
      <c r="G31" s="20">
        <f t="shared" si="1"/>
        <v>91</v>
      </c>
      <c r="H31" s="142" t="s">
        <v>53</v>
      </c>
      <c r="I31" s="27">
        <v>378</v>
      </c>
      <c r="J31" s="28">
        <v>236</v>
      </c>
      <c r="K31" s="29">
        <f t="shared" si="0"/>
        <v>6.042</v>
      </c>
      <c r="L31" s="142" t="s">
        <v>91</v>
      </c>
      <c r="M31" s="142" t="str">
        <f>VLOOKUP(L31,Packaging!$B$3:$C$21,2,0)</f>
        <v>400 X 240 X 130</v>
      </c>
      <c r="N31" s="10"/>
      <c r="O31" s="11">
        <v>1</v>
      </c>
      <c r="P31" s="11" t="s">
        <v>55</v>
      </c>
    </row>
    <row r="32" customHeight="1" spans="1:16">
      <c r="A32" s="7" t="s">
        <v>143</v>
      </c>
      <c r="B32" s="8" t="s">
        <v>144</v>
      </c>
      <c r="C32" s="9" t="s">
        <v>145</v>
      </c>
      <c r="D32" s="10" t="s">
        <v>52</v>
      </c>
      <c r="E32" s="18">
        <v>240</v>
      </c>
      <c r="F32" s="19"/>
      <c r="G32" s="20">
        <f t="shared" si="1"/>
        <v>91</v>
      </c>
      <c r="H32" s="142" t="s">
        <v>53</v>
      </c>
      <c r="I32" s="27">
        <v>378</v>
      </c>
      <c r="J32" s="28">
        <v>34.6</v>
      </c>
      <c r="K32" s="29">
        <f t="shared" si="0"/>
        <v>8.682</v>
      </c>
      <c r="L32" s="142" t="s">
        <v>91</v>
      </c>
      <c r="M32" s="142" t="str">
        <f>VLOOKUP(L32,Packaging!$B$3:$C$21,2,0)</f>
        <v>400 X 240 X 130</v>
      </c>
      <c r="N32" s="10"/>
      <c r="O32" s="11">
        <v>20</v>
      </c>
      <c r="P32" s="11" t="s">
        <v>55</v>
      </c>
    </row>
    <row r="33" customHeight="1" spans="1:16">
      <c r="A33" s="7" t="s">
        <v>146</v>
      </c>
      <c r="B33" s="11" t="s">
        <v>147</v>
      </c>
      <c r="C33" s="9" t="s">
        <v>148</v>
      </c>
      <c r="D33" s="10" t="s">
        <v>52</v>
      </c>
      <c r="E33" s="18">
        <v>500</v>
      </c>
      <c r="F33" s="19"/>
      <c r="G33" s="20">
        <f t="shared" si="1"/>
        <v>91</v>
      </c>
      <c r="H33" s="142" t="s">
        <v>53</v>
      </c>
      <c r="I33" s="27">
        <v>378</v>
      </c>
      <c r="J33" s="28">
        <v>17.4</v>
      </c>
      <c r="K33" s="29">
        <f t="shared" si="0"/>
        <v>9.078</v>
      </c>
      <c r="L33" s="142" t="s">
        <v>91</v>
      </c>
      <c r="M33" s="142" t="str">
        <f>VLOOKUP(L33,Packaging!$B$3:$C$21,2,0)</f>
        <v>400 X 240 X 130</v>
      </c>
      <c r="N33" s="10"/>
      <c r="O33" s="11">
        <v>50</v>
      </c>
      <c r="P33" s="11" t="s">
        <v>55</v>
      </c>
    </row>
    <row r="34" customHeight="1" spans="1:16">
      <c r="A34" s="7" t="s">
        <v>149</v>
      </c>
      <c r="B34" s="11" t="s">
        <v>150</v>
      </c>
      <c r="C34" s="9" t="s">
        <v>151</v>
      </c>
      <c r="D34" s="10" t="s">
        <v>52</v>
      </c>
      <c r="E34" s="18">
        <v>12</v>
      </c>
      <c r="F34" s="19"/>
      <c r="G34" s="20">
        <f t="shared" si="1"/>
        <v>91</v>
      </c>
      <c r="H34" s="142" t="s">
        <v>53</v>
      </c>
      <c r="I34" s="27">
        <v>948</v>
      </c>
      <c r="J34" s="28">
        <v>1071.8</v>
      </c>
      <c r="K34" s="29">
        <f t="shared" si="0"/>
        <v>13.8096</v>
      </c>
      <c r="L34" s="142" t="s">
        <v>68</v>
      </c>
      <c r="M34" s="142" t="str">
        <f>VLOOKUP(L34,Packaging!$B$3:$C$21,2,0)</f>
        <v>1410 X 165 X 175</v>
      </c>
      <c r="N34" s="10"/>
      <c r="O34" s="11">
        <v>1</v>
      </c>
      <c r="P34" s="11" t="s">
        <v>55</v>
      </c>
    </row>
    <row r="35" customHeight="1" spans="1:16">
      <c r="A35" s="7" t="s">
        <v>152</v>
      </c>
      <c r="B35" s="11" t="s">
        <v>153</v>
      </c>
      <c r="C35" s="9" t="s">
        <v>154</v>
      </c>
      <c r="D35" s="10" t="s">
        <v>52</v>
      </c>
      <c r="E35" s="18">
        <v>60</v>
      </c>
      <c r="F35" s="19"/>
      <c r="G35" s="20">
        <f t="shared" si="1"/>
        <v>91</v>
      </c>
      <c r="H35" s="142" t="s">
        <v>53</v>
      </c>
      <c r="I35" s="27">
        <v>378</v>
      </c>
      <c r="J35" s="28">
        <v>57.6</v>
      </c>
      <c r="K35" s="29">
        <f t="shared" si="0"/>
        <v>3.834</v>
      </c>
      <c r="L35" s="142" t="s">
        <v>91</v>
      </c>
      <c r="M35" s="142" t="str">
        <f>VLOOKUP(L35,Packaging!$B$3:$C$21,2,0)</f>
        <v>400 X 240 X 130</v>
      </c>
      <c r="N35" s="10"/>
      <c r="O35" s="11">
        <v>2</v>
      </c>
      <c r="P35" s="11" t="s">
        <v>55</v>
      </c>
    </row>
    <row r="36" customHeight="1" spans="1:16">
      <c r="A36" s="7" t="s">
        <v>155</v>
      </c>
      <c r="B36" s="11" t="s">
        <v>156</v>
      </c>
      <c r="C36" s="9" t="s">
        <v>157</v>
      </c>
      <c r="D36" s="10" t="s">
        <v>52</v>
      </c>
      <c r="E36" s="18">
        <v>100</v>
      </c>
      <c r="F36" s="19"/>
      <c r="G36" s="20">
        <f t="shared" si="1"/>
        <v>91</v>
      </c>
      <c r="H36" s="142" t="s">
        <v>53</v>
      </c>
      <c r="I36" s="27">
        <v>280</v>
      </c>
      <c r="J36" s="28">
        <v>60.4</v>
      </c>
      <c r="K36" s="29">
        <f t="shared" si="0"/>
        <v>6.32</v>
      </c>
      <c r="L36" s="142" t="s">
        <v>54</v>
      </c>
      <c r="M36" s="142" t="str">
        <f>VLOOKUP(L36,Packaging!$B$3:$C$21,2,0)</f>
        <v>290 X 200 X 140</v>
      </c>
      <c r="N36" s="10"/>
      <c r="O36" s="11">
        <v>10</v>
      </c>
      <c r="P36" s="11" t="s">
        <v>55</v>
      </c>
    </row>
    <row r="37" customHeight="1" spans="1:16">
      <c r="A37" s="7" t="s">
        <v>158</v>
      </c>
      <c r="B37" s="11" t="s">
        <v>159</v>
      </c>
      <c r="C37" s="9" t="s">
        <v>160</v>
      </c>
      <c r="D37" s="10" t="s">
        <v>52</v>
      </c>
      <c r="E37" s="18">
        <v>32</v>
      </c>
      <c r="F37" s="19"/>
      <c r="G37" s="20">
        <f t="shared" si="1"/>
        <v>91</v>
      </c>
      <c r="H37" s="142" t="s">
        <v>53</v>
      </c>
      <c r="I37" s="27">
        <v>278</v>
      </c>
      <c r="J37" s="28">
        <v>75.4</v>
      </c>
      <c r="K37" s="29">
        <f t="shared" si="0"/>
        <v>2.6908</v>
      </c>
      <c r="L37" s="142" t="s">
        <v>161</v>
      </c>
      <c r="M37" s="142" t="str">
        <f>VLOOKUP(L37,Packaging!$B$3:$C$21,2,0)</f>
        <v>360 X 270 X 128</v>
      </c>
      <c r="N37" s="10"/>
      <c r="O37" s="11">
        <v>4</v>
      </c>
      <c r="P37" s="11" t="s">
        <v>55</v>
      </c>
    </row>
    <row r="38" customHeight="1" spans="1:16">
      <c r="A38" s="7" t="s">
        <v>162</v>
      </c>
      <c r="B38" s="8" t="s">
        <v>163</v>
      </c>
      <c r="C38" s="9" t="s">
        <v>164</v>
      </c>
      <c r="D38" s="10" t="s">
        <v>52</v>
      </c>
      <c r="E38" s="18">
        <v>120</v>
      </c>
      <c r="F38" s="19"/>
      <c r="G38" s="20">
        <f t="shared" si="1"/>
        <v>91</v>
      </c>
      <c r="H38" s="142" t="s">
        <v>53</v>
      </c>
      <c r="I38" s="27">
        <v>280</v>
      </c>
      <c r="J38" s="28">
        <v>66.2</v>
      </c>
      <c r="K38" s="29">
        <f t="shared" si="0"/>
        <v>8.224</v>
      </c>
      <c r="L38" s="142" t="s">
        <v>54</v>
      </c>
      <c r="M38" s="142" t="str">
        <f>VLOOKUP(L38,Packaging!$B$3:$C$21,2,0)</f>
        <v>290 X 200 X 140</v>
      </c>
      <c r="N38" s="10"/>
      <c r="O38" s="11">
        <v>24</v>
      </c>
      <c r="P38" s="11" t="s">
        <v>55</v>
      </c>
    </row>
    <row r="39" customHeight="1" spans="1:16">
      <c r="A39" s="7" t="s">
        <v>165</v>
      </c>
      <c r="B39" s="8" t="s">
        <v>166</v>
      </c>
      <c r="C39" s="9" t="s">
        <v>167</v>
      </c>
      <c r="D39" s="10" t="s">
        <v>52</v>
      </c>
      <c r="E39" s="18">
        <v>1000</v>
      </c>
      <c r="F39" s="19"/>
      <c r="G39" s="20">
        <f t="shared" si="1"/>
        <v>91</v>
      </c>
      <c r="H39" s="142" t="s">
        <v>53</v>
      </c>
      <c r="I39" s="27">
        <v>280</v>
      </c>
      <c r="J39" s="28">
        <v>19</v>
      </c>
      <c r="K39" s="29">
        <f t="shared" si="0"/>
        <v>19.28</v>
      </c>
      <c r="L39" s="142" t="s">
        <v>54</v>
      </c>
      <c r="M39" s="142" t="str">
        <f>VLOOKUP(L39,Packaging!$B$3:$C$21,2,0)</f>
        <v>290 X 200 X 140</v>
      </c>
      <c r="N39" s="10"/>
      <c r="O39" s="11">
        <v>100</v>
      </c>
      <c r="P39" s="11" t="s">
        <v>55</v>
      </c>
    </row>
    <row r="40" customHeight="1" spans="1:16">
      <c r="A40" s="7" t="s">
        <v>168</v>
      </c>
      <c r="B40" s="11" t="s">
        <v>169</v>
      </c>
      <c r="C40" s="9" t="s">
        <v>170</v>
      </c>
      <c r="D40" s="10" t="s">
        <v>52</v>
      </c>
      <c r="E40" s="18">
        <v>500</v>
      </c>
      <c r="F40" s="19"/>
      <c r="G40" s="20">
        <f t="shared" si="1"/>
        <v>91</v>
      </c>
      <c r="H40" s="142" t="s">
        <v>53</v>
      </c>
      <c r="I40" s="27">
        <v>280</v>
      </c>
      <c r="J40" s="28">
        <v>9.4</v>
      </c>
      <c r="K40" s="29">
        <f t="shared" si="0"/>
        <v>4.98</v>
      </c>
      <c r="L40" s="142" t="s">
        <v>54</v>
      </c>
      <c r="M40" s="142" t="str">
        <f>VLOOKUP(L40,Packaging!$B$3:$C$21,2,0)</f>
        <v>290 X 200 X 140</v>
      </c>
      <c r="N40" s="10"/>
      <c r="O40" s="11">
        <v>100</v>
      </c>
      <c r="P40" s="11" t="s">
        <v>55</v>
      </c>
    </row>
    <row r="41" customHeight="1" spans="1:16">
      <c r="A41" s="7" t="s">
        <v>171</v>
      </c>
      <c r="B41" s="8" t="s">
        <v>172</v>
      </c>
      <c r="C41" s="9" t="s">
        <v>173</v>
      </c>
      <c r="D41" s="10" t="s">
        <v>52</v>
      </c>
      <c r="E41" s="18">
        <v>500</v>
      </c>
      <c r="F41" s="19"/>
      <c r="G41" s="20">
        <f t="shared" si="1"/>
        <v>91</v>
      </c>
      <c r="H41" s="142" t="s">
        <v>53</v>
      </c>
      <c r="I41" s="27">
        <v>280</v>
      </c>
      <c r="J41" s="28">
        <v>21.6</v>
      </c>
      <c r="K41" s="29">
        <f t="shared" si="0"/>
        <v>11.08</v>
      </c>
      <c r="L41" s="142" t="s">
        <v>54</v>
      </c>
      <c r="M41" s="142" t="str">
        <f>VLOOKUP(L41,Packaging!$B$3:$C$21,2,0)</f>
        <v>290 X 200 X 140</v>
      </c>
      <c r="N41" s="10"/>
      <c r="O41" s="11">
        <v>100</v>
      </c>
      <c r="P41" s="11" t="s">
        <v>55</v>
      </c>
    </row>
    <row r="42" s="55" customFormat="1" customHeight="1" spans="1:16">
      <c r="A42" s="7" t="s">
        <v>174</v>
      </c>
      <c r="B42" s="11" t="s">
        <v>175</v>
      </c>
      <c r="C42" s="9" t="s">
        <v>176</v>
      </c>
      <c r="D42" s="10" t="s">
        <v>52</v>
      </c>
      <c r="E42" s="18">
        <v>100</v>
      </c>
      <c r="F42" s="19"/>
      <c r="G42" s="20">
        <f t="shared" si="1"/>
        <v>91</v>
      </c>
      <c r="H42" s="142" t="s">
        <v>53</v>
      </c>
      <c r="I42" s="27">
        <v>280</v>
      </c>
      <c r="J42" s="28">
        <v>33.2</v>
      </c>
      <c r="K42" s="29">
        <f t="shared" si="0"/>
        <v>3.6</v>
      </c>
      <c r="L42" s="142" t="s">
        <v>54</v>
      </c>
      <c r="M42" s="142" t="str">
        <f>VLOOKUP(L42,Packaging!$B$3:$C$21,2,0)</f>
        <v>290 X 200 X 140</v>
      </c>
      <c r="N42" s="10"/>
      <c r="O42" s="11">
        <v>10</v>
      </c>
      <c r="P42" s="11" t="s">
        <v>55</v>
      </c>
    </row>
    <row r="43" customHeight="1" spans="1:16">
      <c r="A43" s="7" t="s">
        <v>177</v>
      </c>
      <c r="B43" s="11" t="s">
        <v>178</v>
      </c>
      <c r="C43" s="9" t="s">
        <v>179</v>
      </c>
      <c r="D43" s="10" t="s">
        <v>52</v>
      </c>
      <c r="E43" s="18">
        <v>32</v>
      </c>
      <c r="F43" s="19"/>
      <c r="G43" s="20">
        <f t="shared" si="1"/>
        <v>91</v>
      </c>
      <c r="H43" s="142" t="s">
        <v>53</v>
      </c>
      <c r="I43" s="27">
        <v>378</v>
      </c>
      <c r="J43" s="28">
        <v>44.4</v>
      </c>
      <c r="K43" s="29">
        <f t="shared" si="0"/>
        <v>1.7988</v>
      </c>
      <c r="L43" s="142" t="s">
        <v>91</v>
      </c>
      <c r="M43" s="142" t="str">
        <f>VLOOKUP(L43,Packaging!$B$3:$C$21,2,0)</f>
        <v>400 X 240 X 130</v>
      </c>
      <c r="N43" s="10"/>
      <c r="O43" s="11">
        <v>2</v>
      </c>
      <c r="P43" s="11" t="s">
        <v>55</v>
      </c>
    </row>
    <row r="44" customHeight="1" spans="1:16">
      <c r="A44" s="7" t="s">
        <v>180</v>
      </c>
      <c r="B44" s="11" t="s">
        <v>181</v>
      </c>
      <c r="C44" s="9" t="s">
        <v>182</v>
      </c>
      <c r="D44" s="10" t="s">
        <v>52</v>
      </c>
      <c r="E44" s="18">
        <v>250</v>
      </c>
      <c r="F44" s="19"/>
      <c r="G44" s="20">
        <f t="shared" si="1"/>
        <v>91</v>
      </c>
      <c r="H44" s="142" t="s">
        <v>53</v>
      </c>
      <c r="I44" s="27">
        <v>280</v>
      </c>
      <c r="J44" s="28">
        <v>43.2</v>
      </c>
      <c r="K44" s="29">
        <f t="shared" si="0"/>
        <v>11.08</v>
      </c>
      <c r="L44" s="142" t="s">
        <v>54</v>
      </c>
      <c r="M44" s="142" t="str">
        <f>VLOOKUP(L44,Packaging!$B$3:$C$21,2,0)</f>
        <v>290 X 200 X 140</v>
      </c>
      <c r="N44" s="10"/>
      <c r="O44" s="11">
        <v>15</v>
      </c>
      <c r="P44" s="11" t="s">
        <v>55</v>
      </c>
    </row>
    <row r="45" customHeight="1" spans="1:16">
      <c r="A45" s="7" t="s">
        <v>183</v>
      </c>
      <c r="B45" s="11" t="s">
        <v>184</v>
      </c>
      <c r="C45" s="9" t="s">
        <v>185</v>
      </c>
      <c r="D45" s="10" t="s">
        <v>52</v>
      </c>
      <c r="E45" s="18">
        <v>180</v>
      </c>
      <c r="F45" s="19"/>
      <c r="G45" s="20">
        <f t="shared" si="1"/>
        <v>91</v>
      </c>
      <c r="H45" s="142" t="s">
        <v>53</v>
      </c>
      <c r="I45" s="27">
        <v>280</v>
      </c>
      <c r="J45" s="28">
        <v>38</v>
      </c>
      <c r="K45" s="29">
        <f t="shared" si="0"/>
        <v>7.12</v>
      </c>
      <c r="L45" s="142" t="s">
        <v>54</v>
      </c>
      <c r="M45" s="142" t="str">
        <f>VLOOKUP(L45,Packaging!$B$3:$C$21,2,0)</f>
        <v>290 X 200 X 140</v>
      </c>
      <c r="N45" s="10"/>
      <c r="O45" s="11">
        <v>18</v>
      </c>
      <c r="P45" s="11" t="s">
        <v>55</v>
      </c>
    </row>
    <row r="46" customHeight="1" spans="1:16">
      <c r="A46" s="7" t="s">
        <v>186</v>
      </c>
      <c r="B46" s="8" t="s">
        <v>187</v>
      </c>
      <c r="C46" s="9" t="s">
        <v>188</v>
      </c>
      <c r="D46" s="10" t="s">
        <v>52</v>
      </c>
      <c r="E46" s="18">
        <v>20</v>
      </c>
      <c r="F46" s="19"/>
      <c r="G46" s="20">
        <f t="shared" si="1"/>
        <v>91</v>
      </c>
      <c r="H46" s="142" t="s">
        <v>53</v>
      </c>
      <c r="I46" s="27">
        <v>378</v>
      </c>
      <c r="J46" s="28">
        <v>315.4</v>
      </c>
      <c r="K46" s="29">
        <f t="shared" si="0"/>
        <v>6.686</v>
      </c>
      <c r="L46" s="142" t="s">
        <v>91</v>
      </c>
      <c r="M46" s="142" t="str">
        <f>VLOOKUP(L46,Packaging!$B$3:$C$21,2,0)</f>
        <v>400 X 240 X 130</v>
      </c>
      <c r="N46" s="10"/>
      <c r="O46" s="11">
        <v>2</v>
      </c>
      <c r="P46" s="11" t="s">
        <v>55</v>
      </c>
    </row>
    <row r="47" customHeight="1" spans="1:16">
      <c r="A47" s="7" t="s">
        <v>189</v>
      </c>
      <c r="B47" s="8" t="s">
        <v>190</v>
      </c>
      <c r="C47" s="9" t="s">
        <v>191</v>
      </c>
      <c r="D47" s="10" t="s">
        <v>52</v>
      </c>
      <c r="E47" s="18">
        <v>20</v>
      </c>
      <c r="F47" s="19"/>
      <c r="G47" s="20">
        <f t="shared" si="1"/>
        <v>91</v>
      </c>
      <c r="H47" s="142" t="s">
        <v>53</v>
      </c>
      <c r="I47" s="27">
        <v>378</v>
      </c>
      <c r="J47" s="28">
        <v>315.8</v>
      </c>
      <c r="K47" s="29">
        <f t="shared" si="0"/>
        <v>6.694</v>
      </c>
      <c r="L47" s="142" t="s">
        <v>91</v>
      </c>
      <c r="M47" s="142" t="str">
        <f>VLOOKUP(L47,Packaging!$B$3:$C$21,2,0)</f>
        <v>400 X 240 X 130</v>
      </c>
      <c r="N47" s="10"/>
      <c r="O47" s="11">
        <v>2</v>
      </c>
      <c r="P47" s="11" t="s">
        <v>55</v>
      </c>
    </row>
    <row r="48" customHeight="1" spans="1:16">
      <c r="A48" s="7" t="s">
        <v>192</v>
      </c>
      <c r="B48" s="11" t="s">
        <v>193</v>
      </c>
      <c r="C48" s="9" t="s">
        <v>194</v>
      </c>
      <c r="D48" s="10" t="s">
        <v>52</v>
      </c>
      <c r="E48" s="18">
        <v>50</v>
      </c>
      <c r="F48" s="19"/>
      <c r="G48" s="20">
        <f t="shared" si="1"/>
        <v>91</v>
      </c>
      <c r="H48" s="142" t="s">
        <v>53</v>
      </c>
      <c r="I48" s="27">
        <v>280</v>
      </c>
      <c r="J48" s="28">
        <v>128.6</v>
      </c>
      <c r="K48" s="29">
        <f t="shared" si="0"/>
        <v>6.71</v>
      </c>
      <c r="L48" s="142" t="s">
        <v>54</v>
      </c>
      <c r="M48" s="142" t="str">
        <f>VLOOKUP(L48,Packaging!$B$3:$C$21,2,0)</f>
        <v>290 X 200 X 140</v>
      </c>
      <c r="N48" s="10"/>
      <c r="O48" s="11">
        <v>10</v>
      </c>
      <c r="P48" s="11" t="s">
        <v>55</v>
      </c>
    </row>
    <row r="49" customHeight="1" spans="1:16">
      <c r="A49" s="7" t="s">
        <v>195</v>
      </c>
      <c r="B49" s="8" t="s">
        <v>196</v>
      </c>
      <c r="C49" s="9" t="s">
        <v>197</v>
      </c>
      <c r="D49" s="10" t="s">
        <v>52</v>
      </c>
      <c r="E49" s="18">
        <v>200</v>
      </c>
      <c r="F49" s="19"/>
      <c r="G49" s="20">
        <f t="shared" si="1"/>
        <v>91</v>
      </c>
      <c r="H49" s="142" t="s">
        <v>53</v>
      </c>
      <c r="I49" s="27">
        <v>280</v>
      </c>
      <c r="J49" s="28">
        <v>61.8</v>
      </c>
      <c r="K49" s="29">
        <f t="shared" si="0"/>
        <v>12.64</v>
      </c>
      <c r="L49" s="142" t="s">
        <v>54</v>
      </c>
      <c r="M49" s="142" t="str">
        <f>VLOOKUP(L49,Packaging!$B$3:$C$21,2,0)</f>
        <v>290 X 200 X 140</v>
      </c>
      <c r="N49" s="10"/>
      <c r="O49" s="11">
        <v>1</v>
      </c>
      <c r="P49" s="11" t="s">
        <v>55</v>
      </c>
    </row>
    <row r="50" customHeight="1" spans="1:16">
      <c r="A50" s="7" t="s">
        <v>198</v>
      </c>
      <c r="B50" s="8" t="s">
        <v>199</v>
      </c>
      <c r="C50" s="9" t="s">
        <v>200</v>
      </c>
      <c r="D50" s="10" t="s">
        <v>52</v>
      </c>
      <c r="E50" s="18">
        <v>200</v>
      </c>
      <c r="F50" s="19"/>
      <c r="G50" s="20">
        <f t="shared" si="1"/>
        <v>91</v>
      </c>
      <c r="H50" s="142" t="s">
        <v>53</v>
      </c>
      <c r="I50" s="27">
        <v>280</v>
      </c>
      <c r="J50" s="28">
        <v>60.2</v>
      </c>
      <c r="K50" s="29">
        <f t="shared" si="0"/>
        <v>12.32</v>
      </c>
      <c r="L50" s="142" t="s">
        <v>54</v>
      </c>
      <c r="M50" s="142" t="str">
        <f>VLOOKUP(L50,Packaging!$B$3:$C$21,2,0)</f>
        <v>290 X 200 X 140</v>
      </c>
      <c r="N50" s="10"/>
      <c r="O50" s="11">
        <v>1</v>
      </c>
      <c r="P50" s="11" t="s">
        <v>55</v>
      </c>
    </row>
    <row r="51" customHeight="1" spans="1:16">
      <c r="A51" s="7" t="s">
        <v>201</v>
      </c>
      <c r="B51" s="11" t="s">
        <v>202</v>
      </c>
      <c r="C51" s="9" t="s">
        <v>203</v>
      </c>
      <c r="D51" s="10" t="s">
        <v>52</v>
      </c>
      <c r="E51" s="18">
        <v>500</v>
      </c>
      <c r="F51" s="19"/>
      <c r="G51" s="20">
        <f t="shared" si="1"/>
        <v>91</v>
      </c>
      <c r="H51" s="142" t="s">
        <v>53</v>
      </c>
      <c r="I51" s="27">
        <v>280</v>
      </c>
      <c r="J51" s="28">
        <v>31.6</v>
      </c>
      <c r="K51" s="29">
        <f t="shared" si="0"/>
        <v>16.08</v>
      </c>
      <c r="L51" s="142" t="s">
        <v>54</v>
      </c>
      <c r="M51" s="142" t="str">
        <f>VLOOKUP(L51,Packaging!$B$3:$C$21,2,0)</f>
        <v>290 X 200 X 140</v>
      </c>
      <c r="N51" s="10"/>
      <c r="O51" s="11">
        <v>100</v>
      </c>
      <c r="P51" s="11" t="s">
        <v>55</v>
      </c>
    </row>
    <row r="52" customHeight="1" spans="1:16">
      <c r="A52" s="7" t="s">
        <v>204</v>
      </c>
      <c r="B52" s="8" t="s">
        <v>205</v>
      </c>
      <c r="C52" s="9" t="s">
        <v>206</v>
      </c>
      <c r="D52" s="10" t="s">
        <v>52</v>
      </c>
      <c r="E52" s="18">
        <v>100</v>
      </c>
      <c r="F52" s="19"/>
      <c r="G52" s="20">
        <f t="shared" si="1"/>
        <v>91</v>
      </c>
      <c r="H52" s="142" t="s">
        <v>53</v>
      </c>
      <c r="I52" s="27">
        <v>280</v>
      </c>
      <c r="J52" s="28">
        <v>33.8</v>
      </c>
      <c r="K52" s="29">
        <f t="shared" si="0"/>
        <v>3.66</v>
      </c>
      <c r="L52" s="142" t="s">
        <v>54</v>
      </c>
      <c r="M52" s="142" t="str">
        <f>VLOOKUP(L52,Packaging!$B$3:$C$21,2,0)</f>
        <v>290 X 200 X 140</v>
      </c>
      <c r="N52" s="10"/>
      <c r="O52" s="11">
        <v>10</v>
      </c>
      <c r="P52" s="11" t="s">
        <v>55</v>
      </c>
    </row>
    <row r="53" customHeight="1" spans="1:16">
      <c r="A53" s="7" t="s">
        <v>207</v>
      </c>
      <c r="B53" s="8" t="s">
        <v>208</v>
      </c>
      <c r="C53" s="12" t="s">
        <v>209</v>
      </c>
      <c r="D53" s="10" t="s">
        <v>52</v>
      </c>
      <c r="E53" s="18">
        <v>200</v>
      </c>
      <c r="F53" s="19"/>
      <c r="G53" s="20">
        <f t="shared" si="1"/>
        <v>91</v>
      </c>
      <c r="H53" s="142" t="s">
        <v>53</v>
      </c>
      <c r="I53" s="27">
        <v>280</v>
      </c>
      <c r="J53" s="28">
        <v>81.8</v>
      </c>
      <c r="K53" s="29">
        <f t="shared" si="0"/>
        <v>16.64</v>
      </c>
      <c r="L53" s="142" t="s">
        <v>54</v>
      </c>
      <c r="M53" s="142" t="str">
        <f>VLOOKUP(L53,Packaging!$B$3:$C$21,2,0)</f>
        <v>290 X 200 X 140</v>
      </c>
      <c r="N53" s="10"/>
      <c r="O53" s="11">
        <v>10</v>
      </c>
      <c r="P53" s="11" t="s">
        <v>55</v>
      </c>
    </row>
    <row r="54" customHeight="1" spans="1:16">
      <c r="A54" s="7" t="s">
        <v>210</v>
      </c>
      <c r="B54" s="11" t="s">
        <v>211</v>
      </c>
      <c r="C54" s="9" t="s">
        <v>212</v>
      </c>
      <c r="D54" s="10" t="s">
        <v>52</v>
      </c>
      <c r="E54" s="18">
        <v>180</v>
      </c>
      <c r="F54" s="19"/>
      <c r="G54" s="20">
        <f t="shared" si="1"/>
        <v>91</v>
      </c>
      <c r="H54" s="142" t="s">
        <v>53</v>
      </c>
      <c r="I54" s="27">
        <v>280</v>
      </c>
      <c r="J54" s="28">
        <v>17.8</v>
      </c>
      <c r="K54" s="29">
        <f t="shared" si="0"/>
        <v>3.484</v>
      </c>
      <c r="L54" s="142" t="s">
        <v>54</v>
      </c>
      <c r="M54" s="142" t="str">
        <f>VLOOKUP(L54,Packaging!$B$3:$C$21,2,0)</f>
        <v>290 X 200 X 140</v>
      </c>
      <c r="N54" s="10"/>
      <c r="O54" s="11">
        <v>10</v>
      </c>
      <c r="P54" s="11" t="s">
        <v>55</v>
      </c>
    </row>
    <row r="55" customHeight="1" spans="1:16">
      <c r="A55" s="7" t="s">
        <v>213</v>
      </c>
      <c r="B55" s="10" t="s">
        <v>214</v>
      </c>
      <c r="C55" s="12" t="s">
        <v>215</v>
      </c>
      <c r="D55" s="10" t="s">
        <v>52</v>
      </c>
      <c r="E55" s="18">
        <v>20</v>
      </c>
      <c r="F55" s="19"/>
      <c r="G55" s="20">
        <f t="shared" si="1"/>
        <v>91</v>
      </c>
      <c r="H55" s="142" t="s">
        <v>53</v>
      </c>
      <c r="I55" s="27">
        <v>278</v>
      </c>
      <c r="J55" s="28">
        <v>112.2</v>
      </c>
      <c r="K55" s="29">
        <f t="shared" si="0"/>
        <v>2.522</v>
      </c>
      <c r="L55" s="142" t="s">
        <v>161</v>
      </c>
      <c r="M55" s="142" t="str">
        <f>VLOOKUP(L55,Packaging!$B$3:$C$21,2,0)</f>
        <v>360 X 270 X 128</v>
      </c>
      <c r="N55" s="10"/>
      <c r="O55" s="11">
        <v>2</v>
      </c>
      <c r="P55" s="11" t="s">
        <v>55</v>
      </c>
    </row>
    <row r="56" customHeight="1" spans="1:16">
      <c r="A56" s="7" t="s">
        <v>216</v>
      </c>
      <c r="B56" s="8" t="s">
        <v>217</v>
      </c>
      <c r="C56" s="12" t="s">
        <v>218</v>
      </c>
      <c r="D56" s="10" t="s">
        <v>52</v>
      </c>
      <c r="E56" s="18">
        <v>18</v>
      </c>
      <c r="F56" s="19"/>
      <c r="G56" s="20">
        <f t="shared" si="1"/>
        <v>91</v>
      </c>
      <c r="H56" s="142" t="s">
        <v>53</v>
      </c>
      <c r="I56" s="27">
        <v>556</v>
      </c>
      <c r="J56" s="28">
        <v>781</v>
      </c>
      <c r="K56" s="29">
        <f t="shared" si="0"/>
        <v>14.614</v>
      </c>
      <c r="L56" s="142" t="s">
        <v>139</v>
      </c>
      <c r="M56" s="142" t="str">
        <f>VLOOKUP(L56,Packaging!$B$3:$C$21,2,0)</f>
        <v>810 X 160 X180</v>
      </c>
      <c r="N56" s="10"/>
      <c r="O56" s="11">
        <v>1</v>
      </c>
      <c r="P56" s="11" t="s">
        <v>55</v>
      </c>
    </row>
    <row r="57" customHeight="1" spans="1:16">
      <c r="A57" s="7" t="s">
        <v>219</v>
      </c>
      <c r="B57" s="8" t="s">
        <v>220</v>
      </c>
      <c r="C57" s="9" t="s">
        <v>221</v>
      </c>
      <c r="D57" s="10" t="s">
        <v>52</v>
      </c>
      <c r="E57" s="18">
        <v>20</v>
      </c>
      <c r="F57" s="19"/>
      <c r="G57" s="20">
        <f t="shared" si="1"/>
        <v>91</v>
      </c>
      <c r="H57" s="142" t="s">
        <v>53</v>
      </c>
      <c r="I57" s="27">
        <v>280</v>
      </c>
      <c r="J57" s="28">
        <v>419.2</v>
      </c>
      <c r="K57" s="29">
        <f t="shared" si="0"/>
        <v>8.664</v>
      </c>
      <c r="L57" s="142" t="s">
        <v>54</v>
      </c>
      <c r="M57" s="142" t="str">
        <f>VLOOKUP(L57,Packaging!$B$3:$C$21,2,0)</f>
        <v>290 X 200 X 140</v>
      </c>
      <c r="N57" s="10"/>
      <c r="O57" s="11">
        <v>5</v>
      </c>
      <c r="P57" s="11" t="s">
        <v>55</v>
      </c>
    </row>
    <row r="58" customHeight="1" spans="1:16">
      <c r="A58" s="7" t="s">
        <v>222</v>
      </c>
      <c r="B58" s="11" t="s">
        <v>223</v>
      </c>
      <c r="C58" s="9" t="s">
        <v>224</v>
      </c>
      <c r="D58" s="10" t="s">
        <v>52</v>
      </c>
      <c r="E58" s="18">
        <v>20</v>
      </c>
      <c r="F58" s="19"/>
      <c r="G58" s="20">
        <f t="shared" si="1"/>
        <v>91</v>
      </c>
      <c r="H58" s="142" t="s">
        <v>53</v>
      </c>
      <c r="I58" s="30"/>
      <c r="J58" s="28">
        <v>4152.4</v>
      </c>
      <c r="K58" s="29">
        <f t="shared" si="0"/>
        <v>83.048</v>
      </c>
      <c r="L58" s="142" t="s">
        <v>79</v>
      </c>
      <c r="M58" s="142" t="str">
        <f>VLOOKUP(L58,Packaging!$B$3:$C$21,2,0)</f>
        <v>1000 X 880 X 1230</v>
      </c>
      <c r="N58" s="10"/>
      <c r="O58" s="11">
        <v>1</v>
      </c>
      <c r="P58" s="11" t="s">
        <v>55</v>
      </c>
    </row>
    <row r="59" customHeight="1" spans="1:16">
      <c r="A59" s="143" t="s">
        <v>225</v>
      </c>
      <c r="B59" s="8" t="s">
        <v>226</v>
      </c>
      <c r="C59" s="9" t="s">
        <v>227</v>
      </c>
      <c r="D59" s="10" t="s">
        <v>52</v>
      </c>
      <c r="E59" s="18">
        <v>32</v>
      </c>
      <c r="F59" s="19"/>
      <c r="G59" s="20">
        <f t="shared" si="1"/>
        <v>91</v>
      </c>
      <c r="H59" s="142" t="s">
        <v>53</v>
      </c>
      <c r="I59" s="27">
        <v>280</v>
      </c>
      <c r="J59" s="28">
        <v>110</v>
      </c>
      <c r="K59" s="29">
        <f t="shared" si="0"/>
        <v>3.8</v>
      </c>
      <c r="L59" s="142" t="s">
        <v>54</v>
      </c>
      <c r="M59" s="142" t="str">
        <f>VLOOKUP(L59,Packaging!$B$3:$C$21,2,0)</f>
        <v>290 X 200 X 140</v>
      </c>
      <c r="N59" s="10"/>
      <c r="O59" s="11">
        <v>2</v>
      </c>
      <c r="P59" s="11" t="s">
        <v>55</v>
      </c>
    </row>
    <row r="60" customHeight="1" spans="1:16">
      <c r="A60" s="7" t="s">
        <v>228</v>
      </c>
      <c r="B60" s="8" t="s">
        <v>229</v>
      </c>
      <c r="C60" s="9" t="s">
        <v>230</v>
      </c>
      <c r="D60" s="10" t="s">
        <v>52</v>
      </c>
      <c r="E60" s="18">
        <v>9</v>
      </c>
      <c r="F60" s="19"/>
      <c r="G60" s="20">
        <f t="shared" si="1"/>
        <v>91</v>
      </c>
      <c r="H60" s="142" t="s">
        <v>53</v>
      </c>
      <c r="I60" s="27">
        <v>278</v>
      </c>
      <c r="J60" s="28">
        <v>332.2</v>
      </c>
      <c r="K60" s="29">
        <f t="shared" si="0"/>
        <v>3.2678</v>
      </c>
      <c r="L60" s="142" t="s">
        <v>161</v>
      </c>
      <c r="M60" s="142" t="str">
        <f>VLOOKUP(L60,Packaging!$B$3:$C$21,2,0)</f>
        <v>360 X 270 X 128</v>
      </c>
      <c r="N60" s="10"/>
      <c r="O60" s="11">
        <v>1</v>
      </c>
      <c r="P60" s="11" t="s">
        <v>55</v>
      </c>
    </row>
    <row r="61" customHeight="1" spans="1:16">
      <c r="A61" s="7" t="s">
        <v>231</v>
      </c>
      <c r="B61" s="11" t="s">
        <v>232</v>
      </c>
      <c r="C61" s="9" t="s">
        <v>233</v>
      </c>
      <c r="D61" s="10" t="s">
        <v>52</v>
      </c>
      <c r="E61" s="18">
        <v>250</v>
      </c>
      <c r="F61" s="19"/>
      <c r="G61" s="20">
        <f t="shared" si="1"/>
        <v>91</v>
      </c>
      <c r="H61" s="142" t="s">
        <v>53</v>
      </c>
      <c r="I61" s="27">
        <v>280</v>
      </c>
      <c r="J61" s="28">
        <v>87.4</v>
      </c>
      <c r="K61" s="29">
        <f t="shared" si="0"/>
        <v>22.13</v>
      </c>
      <c r="L61" s="142" t="s">
        <v>54</v>
      </c>
      <c r="M61" s="142" t="str">
        <f>VLOOKUP(L61,Packaging!$B$3:$C$21,2,0)</f>
        <v>290 X 200 X 140</v>
      </c>
      <c r="N61" s="10"/>
      <c r="O61" s="11">
        <v>50</v>
      </c>
      <c r="P61" s="11" t="s">
        <v>55</v>
      </c>
    </row>
    <row r="62" customHeight="1" spans="1:16">
      <c r="A62" s="7" t="s">
        <v>234</v>
      </c>
      <c r="B62" s="8" t="s">
        <v>235</v>
      </c>
      <c r="C62" s="9" t="s">
        <v>236</v>
      </c>
      <c r="D62" s="10" t="s">
        <v>52</v>
      </c>
      <c r="E62" s="18">
        <v>9</v>
      </c>
      <c r="F62" s="19"/>
      <c r="G62" s="20">
        <f t="shared" si="1"/>
        <v>91</v>
      </c>
      <c r="H62" s="142" t="s">
        <v>53</v>
      </c>
      <c r="I62" s="27">
        <v>278</v>
      </c>
      <c r="J62" s="28">
        <v>320</v>
      </c>
      <c r="K62" s="29">
        <f t="shared" si="0"/>
        <v>3.158</v>
      </c>
      <c r="L62" s="142" t="s">
        <v>161</v>
      </c>
      <c r="M62" s="142" t="str">
        <f>VLOOKUP(L62,Packaging!$B$3:$C$21,2,0)</f>
        <v>360 X 270 X 128</v>
      </c>
      <c r="N62" s="33" t="s">
        <v>237</v>
      </c>
      <c r="O62" s="11">
        <v>1</v>
      </c>
      <c r="P62" s="11" t="s">
        <v>55</v>
      </c>
    </row>
    <row r="63" customHeight="1" spans="1:16">
      <c r="A63" s="7" t="s">
        <v>238</v>
      </c>
      <c r="B63" s="8" t="s">
        <v>239</v>
      </c>
      <c r="C63" s="9" t="s">
        <v>240</v>
      </c>
      <c r="D63" s="10" t="s">
        <v>52</v>
      </c>
      <c r="E63" s="18">
        <v>600</v>
      </c>
      <c r="F63" s="19"/>
      <c r="G63" s="20">
        <f t="shared" si="1"/>
        <v>91</v>
      </c>
      <c r="H63" s="142" t="s">
        <v>53</v>
      </c>
      <c r="I63" s="27">
        <v>280</v>
      </c>
      <c r="J63" s="28">
        <v>8.4</v>
      </c>
      <c r="K63" s="29">
        <f t="shared" si="0"/>
        <v>5.32</v>
      </c>
      <c r="L63" s="142" t="s">
        <v>54</v>
      </c>
      <c r="M63" s="142" t="str">
        <f>VLOOKUP(L63,Packaging!$B$3:$C$21,2,0)</f>
        <v>290 X 200 X 140</v>
      </c>
      <c r="N63" s="10"/>
      <c r="O63" s="11">
        <v>150</v>
      </c>
      <c r="P63" s="11" t="s">
        <v>55</v>
      </c>
    </row>
    <row r="64" customHeight="1" spans="1:16">
      <c r="A64" s="7" t="s">
        <v>241</v>
      </c>
      <c r="B64" s="8" t="s">
        <v>242</v>
      </c>
      <c r="C64" s="9" t="s">
        <v>243</v>
      </c>
      <c r="D64" s="10" t="s">
        <v>52</v>
      </c>
      <c r="E64" s="18">
        <v>400</v>
      </c>
      <c r="F64" s="19"/>
      <c r="G64" s="20">
        <f t="shared" si="1"/>
        <v>91</v>
      </c>
      <c r="H64" s="142" t="s">
        <v>53</v>
      </c>
      <c r="I64" s="27">
        <v>278</v>
      </c>
      <c r="J64" s="28">
        <v>12.4</v>
      </c>
      <c r="K64" s="29">
        <f t="shared" si="0"/>
        <v>5.238</v>
      </c>
      <c r="L64" s="142" t="s">
        <v>161</v>
      </c>
      <c r="M64" s="142" t="str">
        <f>VLOOKUP(L64,Packaging!$B$3:$C$21,2,0)</f>
        <v>360 X 270 X 128</v>
      </c>
      <c r="N64" s="10"/>
      <c r="O64" s="11">
        <v>50</v>
      </c>
      <c r="P64" s="11" t="s">
        <v>55</v>
      </c>
    </row>
    <row r="65" customHeight="1" spans="1:16">
      <c r="A65" s="7" t="s">
        <v>244</v>
      </c>
      <c r="B65" s="8" t="s">
        <v>245</v>
      </c>
      <c r="C65" s="12" t="s">
        <v>246</v>
      </c>
      <c r="D65" s="10" t="s">
        <v>52</v>
      </c>
      <c r="E65" s="18">
        <v>600</v>
      </c>
      <c r="F65" s="19"/>
      <c r="G65" s="20">
        <f t="shared" si="1"/>
        <v>91</v>
      </c>
      <c r="H65" s="142" t="s">
        <v>53</v>
      </c>
      <c r="I65" s="27">
        <v>280</v>
      </c>
      <c r="J65" s="28">
        <v>7.8</v>
      </c>
      <c r="K65" s="29">
        <f t="shared" si="0"/>
        <v>4.96</v>
      </c>
      <c r="L65" s="142" t="s">
        <v>54</v>
      </c>
      <c r="M65" s="142" t="str">
        <f>VLOOKUP(L65,Packaging!$B$3:$C$21,2,0)</f>
        <v>290 X 200 X 140</v>
      </c>
      <c r="N65" s="10"/>
      <c r="O65" s="11">
        <v>150</v>
      </c>
      <c r="P65" s="11" t="s">
        <v>55</v>
      </c>
    </row>
    <row r="66" customHeight="1" spans="1:16">
      <c r="A66" s="7" t="s">
        <v>247</v>
      </c>
      <c r="B66" s="8" t="s">
        <v>248</v>
      </c>
      <c r="C66" s="9" t="s">
        <v>249</v>
      </c>
      <c r="D66" s="10" t="s">
        <v>52</v>
      </c>
      <c r="E66" s="18">
        <v>30</v>
      </c>
      <c r="F66" s="19"/>
      <c r="G66" s="20">
        <f t="shared" si="1"/>
        <v>91</v>
      </c>
      <c r="H66" s="142" t="s">
        <v>53</v>
      </c>
      <c r="I66" s="27">
        <v>278</v>
      </c>
      <c r="J66" s="28">
        <v>124.4</v>
      </c>
      <c r="K66" s="29">
        <f t="shared" si="0"/>
        <v>4.01</v>
      </c>
      <c r="L66" s="142" t="s">
        <v>161</v>
      </c>
      <c r="M66" s="142" t="str">
        <f>VLOOKUP(L66,Packaging!$B$3:$C$21,2,0)</f>
        <v>360 X 270 X 128</v>
      </c>
      <c r="N66" s="10"/>
      <c r="O66" s="11">
        <v>1</v>
      </c>
      <c r="P66" s="11" t="s">
        <v>55</v>
      </c>
    </row>
    <row r="67" s="55" customFormat="1" customHeight="1" spans="1:16">
      <c r="A67" s="7" t="s">
        <v>250</v>
      </c>
      <c r="B67" s="8" t="s">
        <v>251</v>
      </c>
      <c r="C67" s="9" t="s">
        <v>252</v>
      </c>
      <c r="D67" s="10" t="s">
        <v>52</v>
      </c>
      <c r="E67" s="18">
        <v>1000</v>
      </c>
      <c r="F67" s="19"/>
      <c r="G67" s="20">
        <f t="shared" si="1"/>
        <v>91</v>
      </c>
      <c r="H67" s="142" t="s">
        <v>53</v>
      </c>
      <c r="I67" s="27">
        <v>280</v>
      </c>
      <c r="J67" s="28">
        <v>10</v>
      </c>
      <c r="K67" s="29">
        <f t="shared" si="0"/>
        <v>10.28</v>
      </c>
      <c r="L67" s="142" t="s">
        <v>54</v>
      </c>
      <c r="M67" s="142" t="str">
        <f>VLOOKUP(L67,Packaging!$B$3:$C$21,2,0)</f>
        <v>290 X 200 X 140</v>
      </c>
      <c r="N67" s="10"/>
      <c r="O67" s="11">
        <v>10</v>
      </c>
      <c r="P67" s="11" t="s">
        <v>55</v>
      </c>
    </row>
    <row r="68" s="55" customFormat="1" customHeight="1" spans="1:16">
      <c r="A68" s="7" t="s">
        <v>253</v>
      </c>
      <c r="B68" s="8" t="s">
        <v>254</v>
      </c>
      <c r="C68" s="9" t="s">
        <v>255</v>
      </c>
      <c r="D68" s="10" t="s">
        <v>52</v>
      </c>
      <c r="E68" s="18">
        <v>30</v>
      </c>
      <c r="F68" s="19"/>
      <c r="G68" s="20">
        <f t="shared" si="1"/>
        <v>91</v>
      </c>
      <c r="H68" s="142" t="s">
        <v>53</v>
      </c>
      <c r="I68" s="27">
        <v>430</v>
      </c>
      <c r="J68" s="28">
        <v>333.6</v>
      </c>
      <c r="K68" s="29">
        <f t="shared" si="0"/>
        <v>10.438</v>
      </c>
      <c r="L68" s="142" t="s">
        <v>83</v>
      </c>
      <c r="M68" s="142" t="str">
        <f>VLOOKUP(L68,Packaging!$B$3:$C$21,2,0)</f>
        <v>560 X 175 X 155</v>
      </c>
      <c r="N68" s="10"/>
      <c r="O68" s="11">
        <v>5</v>
      </c>
      <c r="P68" s="11" t="s">
        <v>55</v>
      </c>
    </row>
    <row r="69" s="55" customFormat="1" customHeight="1" spans="1:16">
      <c r="A69" s="7" t="s">
        <v>256</v>
      </c>
      <c r="B69" s="8" t="s">
        <v>257</v>
      </c>
      <c r="C69" s="9" t="s">
        <v>258</v>
      </c>
      <c r="D69" s="10" t="s">
        <v>52</v>
      </c>
      <c r="E69" s="18">
        <v>30</v>
      </c>
      <c r="F69" s="19"/>
      <c r="G69" s="20">
        <f t="shared" si="1"/>
        <v>91</v>
      </c>
      <c r="H69" s="142" t="s">
        <v>53</v>
      </c>
      <c r="I69" s="27">
        <v>430</v>
      </c>
      <c r="J69" s="28">
        <v>333.6</v>
      </c>
      <c r="K69" s="29">
        <f t="shared" ref="K69:K111" si="2">(I69+(J69*E69))/1000</f>
        <v>10.438</v>
      </c>
      <c r="L69" s="142" t="s">
        <v>83</v>
      </c>
      <c r="M69" s="142" t="str">
        <f>VLOOKUP(L69,Packaging!$B$3:$C$21,2,0)</f>
        <v>560 X 175 X 155</v>
      </c>
      <c r="N69" s="10"/>
      <c r="O69" s="11">
        <v>5</v>
      </c>
      <c r="P69" s="11" t="s">
        <v>55</v>
      </c>
    </row>
    <row r="70" customHeight="1" spans="1:16">
      <c r="A70" s="7" t="s">
        <v>259</v>
      </c>
      <c r="B70" s="11" t="s">
        <v>260</v>
      </c>
      <c r="C70" s="9" t="s">
        <v>261</v>
      </c>
      <c r="D70" s="10" t="s">
        <v>52</v>
      </c>
      <c r="E70" s="18">
        <v>100</v>
      </c>
      <c r="F70" s="19"/>
      <c r="G70" s="20">
        <f t="shared" ref="G70:G133" si="3">F70+91</f>
        <v>91</v>
      </c>
      <c r="H70" s="142" t="s">
        <v>53</v>
      </c>
      <c r="I70" s="27">
        <v>278</v>
      </c>
      <c r="J70" s="28">
        <v>36</v>
      </c>
      <c r="K70" s="29">
        <f t="shared" si="2"/>
        <v>3.878</v>
      </c>
      <c r="L70" s="142" t="s">
        <v>161</v>
      </c>
      <c r="M70" s="142" t="str">
        <f>VLOOKUP(L70,Packaging!$B$3:$C$21,2,0)</f>
        <v>360 X 270 X 128</v>
      </c>
      <c r="N70" s="10"/>
      <c r="O70" s="11">
        <v>4</v>
      </c>
      <c r="P70" s="11" t="s">
        <v>55</v>
      </c>
    </row>
    <row r="71" customHeight="1" spans="1:16">
      <c r="A71" s="7" t="s">
        <v>262</v>
      </c>
      <c r="B71" s="11" t="s">
        <v>263</v>
      </c>
      <c r="C71" s="9" t="s">
        <v>264</v>
      </c>
      <c r="D71" s="10" t="s">
        <v>52</v>
      </c>
      <c r="E71" s="18">
        <v>20</v>
      </c>
      <c r="F71" s="19"/>
      <c r="G71" s="20">
        <f t="shared" si="3"/>
        <v>91</v>
      </c>
      <c r="H71" s="142" t="s">
        <v>53</v>
      </c>
      <c r="I71" s="27">
        <v>580</v>
      </c>
      <c r="J71" s="28">
        <v>952.4</v>
      </c>
      <c r="K71" s="29">
        <f t="shared" si="2"/>
        <v>19.628</v>
      </c>
      <c r="L71" s="142" t="s">
        <v>101</v>
      </c>
      <c r="M71" s="142" t="str">
        <f>VLOOKUP(L71,Packaging!$B$3:$C$21,2,0)</f>
        <v>1380 X 150 X 80</v>
      </c>
      <c r="N71" s="10"/>
      <c r="O71" s="11">
        <v>20</v>
      </c>
      <c r="P71" s="11" t="s">
        <v>55</v>
      </c>
    </row>
    <row r="72" customHeight="1" spans="1:16">
      <c r="A72" s="7" t="s">
        <v>265</v>
      </c>
      <c r="B72" s="10" t="s">
        <v>266</v>
      </c>
      <c r="C72" s="12" t="s">
        <v>267</v>
      </c>
      <c r="D72" s="10" t="s">
        <v>52</v>
      </c>
      <c r="E72" s="18">
        <v>1000</v>
      </c>
      <c r="F72" s="19"/>
      <c r="G72" s="20">
        <f t="shared" si="3"/>
        <v>91</v>
      </c>
      <c r="H72" s="142" t="s">
        <v>53</v>
      </c>
      <c r="I72" s="27">
        <v>280</v>
      </c>
      <c r="J72" s="28">
        <v>1.6</v>
      </c>
      <c r="K72" s="29">
        <f t="shared" si="2"/>
        <v>1.88</v>
      </c>
      <c r="L72" s="142" t="s">
        <v>54</v>
      </c>
      <c r="M72" s="142" t="str">
        <f>VLOOKUP(L72,Packaging!$B$3:$C$21,2,0)</f>
        <v>290 X 200 X 140</v>
      </c>
      <c r="N72" s="10"/>
      <c r="O72" s="11">
        <v>250</v>
      </c>
      <c r="P72" s="11" t="s">
        <v>55</v>
      </c>
    </row>
    <row r="73" customHeight="1" spans="1:16">
      <c r="A73" s="7" t="s">
        <v>268</v>
      </c>
      <c r="B73" s="10" t="s">
        <v>269</v>
      </c>
      <c r="C73" s="12" t="s">
        <v>270</v>
      </c>
      <c r="D73" s="10" t="s">
        <v>52</v>
      </c>
      <c r="E73" s="18">
        <v>500</v>
      </c>
      <c r="F73" s="19"/>
      <c r="G73" s="20">
        <f t="shared" si="3"/>
        <v>91</v>
      </c>
      <c r="H73" s="142" t="s">
        <v>53</v>
      </c>
      <c r="I73" s="27">
        <v>280</v>
      </c>
      <c r="J73" s="28">
        <v>25</v>
      </c>
      <c r="K73" s="29">
        <f t="shared" si="2"/>
        <v>12.78</v>
      </c>
      <c r="L73" s="142" t="s">
        <v>54</v>
      </c>
      <c r="M73" s="142" t="str">
        <f>VLOOKUP(L73,Packaging!$B$3:$C$21,2,0)</f>
        <v>290 X 200 X 140</v>
      </c>
      <c r="N73" s="10"/>
      <c r="O73" s="11">
        <v>50</v>
      </c>
      <c r="P73" s="11" t="s">
        <v>55</v>
      </c>
    </row>
    <row r="74" s="55" customFormat="1" customHeight="1" spans="1:16">
      <c r="A74" s="7" t="s">
        <v>271</v>
      </c>
      <c r="B74" s="10" t="s">
        <v>272</v>
      </c>
      <c r="C74" s="12" t="s">
        <v>273</v>
      </c>
      <c r="D74" s="10" t="s">
        <v>52</v>
      </c>
      <c r="E74" s="18">
        <v>170</v>
      </c>
      <c r="F74" s="19"/>
      <c r="G74" s="20">
        <f t="shared" si="3"/>
        <v>91</v>
      </c>
      <c r="H74" s="142" t="s">
        <v>53</v>
      </c>
      <c r="I74" s="27">
        <v>244</v>
      </c>
      <c r="J74" s="28">
        <v>52.8</v>
      </c>
      <c r="K74" s="29">
        <f t="shared" si="2"/>
        <v>9.22</v>
      </c>
      <c r="L74" s="142" t="s">
        <v>274</v>
      </c>
      <c r="M74" s="142" t="str">
        <f>VLOOKUP(L74,Packaging!$B$3:$C$21,2,0)</f>
        <v>290 X 200 X 100</v>
      </c>
      <c r="N74" s="10"/>
      <c r="O74" s="11">
        <v>10</v>
      </c>
      <c r="P74" s="11" t="s">
        <v>55</v>
      </c>
    </row>
    <row r="75" customHeight="1" spans="1:16">
      <c r="A75" s="7" t="s">
        <v>275</v>
      </c>
      <c r="B75" s="8" t="s">
        <v>276</v>
      </c>
      <c r="C75" s="12" t="s">
        <v>277</v>
      </c>
      <c r="D75" s="10" t="s">
        <v>52</v>
      </c>
      <c r="E75" s="18">
        <v>250</v>
      </c>
      <c r="F75" s="19"/>
      <c r="G75" s="20">
        <f t="shared" si="3"/>
        <v>91</v>
      </c>
      <c r="H75" s="142" t="s">
        <v>53</v>
      </c>
      <c r="I75" s="27">
        <v>280</v>
      </c>
      <c r="J75" s="28">
        <v>91.4</v>
      </c>
      <c r="K75" s="29">
        <f t="shared" si="2"/>
        <v>23.13</v>
      </c>
      <c r="L75" s="142" t="s">
        <v>54</v>
      </c>
      <c r="M75" s="142" t="str">
        <f>VLOOKUP(L75,Packaging!$B$3:$C$21,2,0)</f>
        <v>290 X 200 X 140</v>
      </c>
      <c r="N75" s="10"/>
      <c r="O75" s="11">
        <v>50</v>
      </c>
      <c r="P75" s="11" t="s">
        <v>55</v>
      </c>
    </row>
    <row r="76" customHeight="1" spans="1:16">
      <c r="A76" s="7" t="s">
        <v>278</v>
      </c>
      <c r="B76" s="11" t="s">
        <v>279</v>
      </c>
      <c r="C76" s="9" t="s">
        <v>280</v>
      </c>
      <c r="D76" s="10" t="s">
        <v>52</v>
      </c>
      <c r="E76" s="18">
        <v>200</v>
      </c>
      <c r="F76" s="19"/>
      <c r="G76" s="20">
        <f t="shared" si="3"/>
        <v>91</v>
      </c>
      <c r="H76" s="142" t="s">
        <v>53</v>
      </c>
      <c r="I76" s="27">
        <v>280</v>
      </c>
      <c r="J76" s="28">
        <v>16</v>
      </c>
      <c r="K76" s="29">
        <f t="shared" si="2"/>
        <v>3.48</v>
      </c>
      <c r="L76" s="142" t="s">
        <v>54</v>
      </c>
      <c r="M76" s="142" t="str">
        <f>VLOOKUP(L76,Packaging!$B$3:$C$21,2,0)</f>
        <v>290 X 200 X 140</v>
      </c>
      <c r="N76" s="10"/>
      <c r="O76" s="11">
        <v>10</v>
      </c>
      <c r="P76" s="11" t="s">
        <v>55</v>
      </c>
    </row>
    <row r="77" customHeight="1" spans="1:16">
      <c r="A77" s="7" t="s">
        <v>281</v>
      </c>
      <c r="B77" s="8" t="s">
        <v>282</v>
      </c>
      <c r="C77" s="12" t="s">
        <v>283</v>
      </c>
      <c r="D77" s="10" t="s">
        <v>52</v>
      </c>
      <c r="E77" s="18">
        <v>30</v>
      </c>
      <c r="F77" s="19"/>
      <c r="G77" s="20">
        <f t="shared" si="3"/>
        <v>91</v>
      </c>
      <c r="H77" s="142" t="s">
        <v>53</v>
      </c>
      <c r="I77" s="27">
        <v>378</v>
      </c>
      <c r="J77" s="28">
        <v>290</v>
      </c>
      <c r="K77" s="29">
        <f t="shared" si="2"/>
        <v>9.078</v>
      </c>
      <c r="L77" s="142" t="s">
        <v>91</v>
      </c>
      <c r="M77" s="142" t="str">
        <f>VLOOKUP(L77,Packaging!$B$3:$C$21,2,0)</f>
        <v>400 X 240 X 130</v>
      </c>
      <c r="N77" s="10"/>
      <c r="O77" s="11">
        <v>1</v>
      </c>
      <c r="P77" s="11" t="s">
        <v>55</v>
      </c>
    </row>
    <row r="78" customHeight="1" spans="1:16">
      <c r="A78" s="7" t="s">
        <v>284</v>
      </c>
      <c r="B78" s="11" t="s">
        <v>285</v>
      </c>
      <c r="C78" s="9" t="s">
        <v>286</v>
      </c>
      <c r="D78" s="10" t="s">
        <v>52</v>
      </c>
      <c r="E78" s="18">
        <v>36</v>
      </c>
      <c r="F78" s="19"/>
      <c r="G78" s="20">
        <f t="shared" si="3"/>
        <v>91</v>
      </c>
      <c r="H78" s="142" t="s">
        <v>53</v>
      </c>
      <c r="I78" s="27">
        <v>766</v>
      </c>
      <c r="J78" s="28">
        <v>198.8</v>
      </c>
      <c r="K78" s="29">
        <f t="shared" si="2"/>
        <v>7.9228</v>
      </c>
      <c r="L78" s="142" t="s">
        <v>72</v>
      </c>
      <c r="M78" s="142" t="str">
        <f>VLOOKUP(L78,Packaging!$B$3:$C$21,2,0)</f>
        <v>390 X 350 X 280</v>
      </c>
      <c r="N78" s="10"/>
      <c r="O78" s="11">
        <v>2</v>
      </c>
      <c r="P78" s="11" t="s">
        <v>55</v>
      </c>
    </row>
    <row r="79" customHeight="1" spans="1:16">
      <c r="A79" s="7" t="s">
        <v>287</v>
      </c>
      <c r="B79" s="11" t="s">
        <v>288</v>
      </c>
      <c r="C79" s="9" t="s">
        <v>289</v>
      </c>
      <c r="D79" s="10" t="s">
        <v>52</v>
      </c>
      <c r="E79" s="18">
        <v>36</v>
      </c>
      <c r="F79" s="19"/>
      <c r="G79" s="20">
        <f t="shared" si="3"/>
        <v>91</v>
      </c>
      <c r="H79" s="142" t="s">
        <v>53</v>
      </c>
      <c r="I79" s="27">
        <v>766</v>
      </c>
      <c r="J79" s="28">
        <v>198.8</v>
      </c>
      <c r="K79" s="29">
        <f t="shared" si="2"/>
        <v>7.9228</v>
      </c>
      <c r="L79" s="142" t="s">
        <v>72</v>
      </c>
      <c r="M79" s="142" t="str">
        <f>VLOOKUP(L79,Packaging!$B$3:$C$21,2,0)</f>
        <v>390 X 350 X 280</v>
      </c>
      <c r="N79" s="11" t="s">
        <v>290</v>
      </c>
      <c r="O79" s="11">
        <v>2</v>
      </c>
      <c r="P79" s="11" t="s">
        <v>55</v>
      </c>
    </row>
    <row r="80" customHeight="1" spans="1:16">
      <c r="A80" s="7" t="s">
        <v>291</v>
      </c>
      <c r="B80" s="10" t="s">
        <v>292</v>
      </c>
      <c r="C80" s="12" t="s">
        <v>293</v>
      </c>
      <c r="D80" s="10" t="s">
        <v>52</v>
      </c>
      <c r="E80" s="18">
        <v>54</v>
      </c>
      <c r="F80" s="19"/>
      <c r="G80" s="20">
        <f t="shared" si="3"/>
        <v>91</v>
      </c>
      <c r="H80" s="142" t="s">
        <v>53</v>
      </c>
      <c r="I80" s="27">
        <v>766</v>
      </c>
      <c r="J80" s="28">
        <v>128</v>
      </c>
      <c r="K80" s="29">
        <f t="shared" si="2"/>
        <v>7.678</v>
      </c>
      <c r="L80" s="142" t="s">
        <v>72</v>
      </c>
      <c r="M80" s="142" t="str">
        <f>VLOOKUP(L80,Packaging!$B$3:$C$21,2,0)</f>
        <v>390 X 350 X 280</v>
      </c>
      <c r="N80" s="10"/>
      <c r="O80" s="11">
        <v>2</v>
      </c>
      <c r="P80" s="11" t="s">
        <v>55</v>
      </c>
    </row>
    <row r="81" customHeight="1" spans="1:16">
      <c r="A81" s="7" t="s">
        <v>294</v>
      </c>
      <c r="B81" s="10" t="s">
        <v>295</v>
      </c>
      <c r="C81" s="12" t="s">
        <v>296</v>
      </c>
      <c r="D81" s="10" t="s">
        <v>52</v>
      </c>
      <c r="E81" s="18">
        <v>54</v>
      </c>
      <c r="F81" s="19"/>
      <c r="G81" s="20">
        <f t="shared" si="3"/>
        <v>91</v>
      </c>
      <c r="H81" s="142" t="s">
        <v>53</v>
      </c>
      <c r="I81" s="27">
        <v>766</v>
      </c>
      <c r="J81" s="28">
        <v>128</v>
      </c>
      <c r="K81" s="29">
        <f t="shared" si="2"/>
        <v>7.678</v>
      </c>
      <c r="L81" s="142" t="s">
        <v>72</v>
      </c>
      <c r="M81" s="142" t="str">
        <f>VLOOKUP(L81,Packaging!$B$3:$C$21,2,0)</f>
        <v>390 X 350 X 280</v>
      </c>
      <c r="N81" s="10"/>
      <c r="O81" s="11">
        <v>2</v>
      </c>
      <c r="P81" s="11" t="s">
        <v>55</v>
      </c>
    </row>
    <row r="82" customHeight="1" spans="1:16">
      <c r="A82" s="7" t="s">
        <v>297</v>
      </c>
      <c r="B82" s="11" t="s">
        <v>298</v>
      </c>
      <c r="C82" s="9" t="s">
        <v>299</v>
      </c>
      <c r="D82" s="10" t="s">
        <v>52</v>
      </c>
      <c r="E82" s="18">
        <v>54</v>
      </c>
      <c r="F82" s="19"/>
      <c r="G82" s="20">
        <f t="shared" si="3"/>
        <v>91</v>
      </c>
      <c r="H82" s="142" t="s">
        <v>53</v>
      </c>
      <c r="I82" s="27">
        <v>766</v>
      </c>
      <c r="J82" s="28">
        <v>128</v>
      </c>
      <c r="K82" s="29">
        <f t="shared" si="2"/>
        <v>7.678</v>
      </c>
      <c r="L82" s="142" t="s">
        <v>72</v>
      </c>
      <c r="M82" s="142" t="str">
        <f>VLOOKUP(L82,Packaging!$B$3:$C$21,2,0)</f>
        <v>390 X 350 X 280</v>
      </c>
      <c r="N82" s="10"/>
      <c r="O82" s="11">
        <v>2</v>
      </c>
      <c r="P82" s="11" t="s">
        <v>55</v>
      </c>
    </row>
    <row r="83" customHeight="1" spans="1:16">
      <c r="A83" s="7" t="s">
        <v>300</v>
      </c>
      <c r="B83" s="8" t="s">
        <v>301</v>
      </c>
      <c r="C83" s="12" t="s">
        <v>302</v>
      </c>
      <c r="D83" s="10" t="s">
        <v>52</v>
      </c>
      <c r="E83" s="18">
        <v>300</v>
      </c>
      <c r="F83" s="19"/>
      <c r="G83" s="20">
        <f t="shared" si="3"/>
        <v>91</v>
      </c>
      <c r="H83" s="142" t="s">
        <v>53</v>
      </c>
      <c r="I83" s="27">
        <v>280</v>
      </c>
      <c r="J83" s="28">
        <v>22</v>
      </c>
      <c r="K83" s="29">
        <f t="shared" si="2"/>
        <v>6.88</v>
      </c>
      <c r="L83" s="142" t="s">
        <v>54</v>
      </c>
      <c r="M83" s="142" t="str">
        <f>VLOOKUP(L83,Packaging!$B$3:$C$21,2,0)</f>
        <v>290 X 200 X 140</v>
      </c>
      <c r="N83" s="10"/>
      <c r="O83" s="11">
        <v>30</v>
      </c>
      <c r="P83" s="11" t="s">
        <v>55</v>
      </c>
    </row>
    <row r="84" customHeight="1" spans="1:16">
      <c r="A84" s="7" t="s">
        <v>303</v>
      </c>
      <c r="B84" s="11" t="s">
        <v>304</v>
      </c>
      <c r="C84" s="9" t="s">
        <v>305</v>
      </c>
      <c r="D84" s="10" t="s">
        <v>52</v>
      </c>
      <c r="E84" s="18">
        <v>100</v>
      </c>
      <c r="F84" s="19"/>
      <c r="G84" s="20">
        <f t="shared" si="3"/>
        <v>91</v>
      </c>
      <c r="H84" s="142" t="s">
        <v>53</v>
      </c>
      <c r="I84" s="27">
        <v>280</v>
      </c>
      <c r="J84" s="28">
        <v>110</v>
      </c>
      <c r="K84" s="29">
        <f t="shared" si="2"/>
        <v>11.28</v>
      </c>
      <c r="L84" s="142" t="s">
        <v>54</v>
      </c>
      <c r="M84" s="142" t="str">
        <f>VLOOKUP(L84,Packaging!$B$3:$C$21,2,0)</f>
        <v>290 X 200 X 140</v>
      </c>
      <c r="N84" s="10"/>
      <c r="O84" s="11">
        <v>5</v>
      </c>
      <c r="P84" s="11" t="s">
        <v>55</v>
      </c>
    </row>
    <row r="85" customHeight="1" spans="1:16">
      <c r="A85" s="7" t="s">
        <v>306</v>
      </c>
      <c r="B85" s="10" t="s">
        <v>307</v>
      </c>
      <c r="C85" s="12" t="s">
        <v>308</v>
      </c>
      <c r="D85" s="10" t="s">
        <v>52</v>
      </c>
      <c r="E85" s="18">
        <v>1000</v>
      </c>
      <c r="F85" s="19"/>
      <c r="G85" s="20">
        <f t="shared" si="3"/>
        <v>91</v>
      </c>
      <c r="H85" s="142" t="s">
        <v>53</v>
      </c>
      <c r="I85" s="27">
        <v>280</v>
      </c>
      <c r="J85" s="28">
        <v>10</v>
      </c>
      <c r="K85" s="29">
        <f t="shared" si="2"/>
        <v>10.28</v>
      </c>
      <c r="L85" s="142" t="s">
        <v>54</v>
      </c>
      <c r="M85" s="142" t="str">
        <f>VLOOKUP(L85,Packaging!$B$3:$C$21,2,0)</f>
        <v>290 X 200 X 140</v>
      </c>
      <c r="N85" s="10"/>
      <c r="O85" s="11">
        <v>25</v>
      </c>
      <c r="P85" s="11" t="s">
        <v>55</v>
      </c>
    </row>
    <row r="86" customHeight="1" spans="1:16">
      <c r="A86" s="7" t="s">
        <v>309</v>
      </c>
      <c r="B86" s="11" t="s">
        <v>310</v>
      </c>
      <c r="C86" s="9" t="s">
        <v>311</v>
      </c>
      <c r="D86" s="10" t="s">
        <v>52</v>
      </c>
      <c r="E86" s="18">
        <v>400</v>
      </c>
      <c r="F86" s="19"/>
      <c r="G86" s="20">
        <f t="shared" si="3"/>
        <v>91</v>
      </c>
      <c r="H86" s="142" t="s">
        <v>53</v>
      </c>
      <c r="I86" s="27">
        <v>280</v>
      </c>
      <c r="J86" s="28">
        <v>21</v>
      </c>
      <c r="K86" s="29">
        <f t="shared" si="2"/>
        <v>8.68</v>
      </c>
      <c r="L86" s="142" t="s">
        <v>54</v>
      </c>
      <c r="M86" s="142" t="str">
        <f>VLOOKUP(L86,Packaging!$B$3:$C$21,2,0)</f>
        <v>290 X 200 X 140</v>
      </c>
      <c r="N86" s="10"/>
      <c r="O86" s="11">
        <v>10</v>
      </c>
      <c r="P86" s="11" t="s">
        <v>55</v>
      </c>
    </row>
    <row r="87" customHeight="1" spans="1:16">
      <c r="A87" s="7" t="s">
        <v>312</v>
      </c>
      <c r="B87" s="10" t="s">
        <v>313</v>
      </c>
      <c r="C87" s="12" t="s">
        <v>314</v>
      </c>
      <c r="D87" s="10" t="s">
        <v>52</v>
      </c>
      <c r="E87" s="18">
        <v>200</v>
      </c>
      <c r="F87" s="19"/>
      <c r="G87" s="20">
        <f t="shared" si="3"/>
        <v>91</v>
      </c>
      <c r="H87" s="142" t="s">
        <v>53</v>
      </c>
      <c r="I87" s="27">
        <v>278</v>
      </c>
      <c r="J87" s="28">
        <v>33.8</v>
      </c>
      <c r="K87" s="29">
        <f t="shared" si="2"/>
        <v>7.038</v>
      </c>
      <c r="L87" s="144" t="s">
        <v>161</v>
      </c>
      <c r="M87" s="142" t="str">
        <f>VLOOKUP(L87,Packaging!$B$3:$C$21,2,0)</f>
        <v>360 X 270 X 128</v>
      </c>
      <c r="N87" s="10"/>
      <c r="O87" s="11">
        <v>10</v>
      </c>
      <c r="P87" s="11" t="s">
        <v>55</v>
      </c>
    </row>
    <row r="88" customHeight="1" spans="1:16">
      <c r="A88" s="7" t="s">
        <v>315</v>
      </c>
      <c r="B88" s="10" t="s">
        <v>316</v>
      </c>
      <c r="C88" s="12" t="s">
        <v>317</v>
      </c>
      <c r="D88" s="10" t="s">
        <v>52</v>
      </c>
      <c r="E88" s="18">
        <v>200</v>
      </c>
      <c r="F88" s="19"/>
      <c r="G88" s="20">
        <f t="shared" si="3"/>
        <v>91</v>
      </c>
      <c r="H88" s="142" t="s">
        <v>53</v>
      </c>
      <c r="I88" s="27">
        <v>278</v>
      </c>
      <c r="J88" s="28">
        <v>40</v>
      </c>
      <c r="K88" s="29">
        <f t="shared" si="2"/>
        <v>8.278</v>
      </c>
      <c r="L88" s="144" t="s">
        <v>161</v>
      </c>
      <c r="M88" s="142" t="str">
        <f>VLOOKUP(L88,Packaging!$B$3:$C$21,2,0)</f>
        <v>360 X 270 X 128</v>
      </c>
      <c r="N88" s="10"/>
      <c r="O88" s="11">
        <v>10</v>
      </c>
      <c r="P88" s="11" t="s">
        <v>55</v>
      </c>
    </row>
    <row r="89" customHeight="1" spans="1:16">
      <c r="A89" s="7" t="s">
        <v>318</v>
      </c>
      <c r="B89" s="11" t="s">
        <v>319</v>
      </c>
      <c r="C89" s="9" t="s">
        <v>320</v>
      </c>
      <c r="D89" s="10" t="s">
        <v>52</v>
      </c>
      <c r="E89" s="18">
        <v>150</v>
      </c>
      <c r="F89" s="19"/>
      <c r="G89" s="20">
        <f t="shared" si="3"/>
        <v>91</v>
      </c>
      <c r="H89" s="142" t="s">
        <v>53</v>
      </c>
      <c r="I89" s="27">
        <v>280</v>
      </c>
      <c r="J89" s="28">
        <v>32</v>
      </c>
      <c r="K89" s="29">
        <f t="shared" si="2"/>
        <v>5.08</v>
      </c>
      <c r="L89" s="142" t="s">
        <v>54</v>
      </c>
      <c r="M89" s="142" t="str">
        <f>VLOOKUP(L89,Packaging!$B$3:$C$21,2,0)</f>
        <v>290 X 200 X 140</v>
      </c>
      <c r="N89" s="11" t="s">
        <v>321</v>
      </c>
      <c r="O89" s="11">
        <v>10</v>
      </c>
      <c r="P89" s="11" t="s">
        <v>55</v>
      </c>
    </row>
    <row r="90" s="55" customFormat="1" customHeight="1" spans="1:16">
      <c r="A90" s="7" t="s">
        <v>322</v>
      </c>
      <c r="B90" s="11" t="s">
        <v>323</v>
      </c>
      <c r="C90" s="9" t="s">
        <v>324</v>
      </c>
      <c r="D90" s="10" t="s">
        <v>52</v>
      </c>
      <c r="E90" s="18">
        <v>150</v>
      </c>
      <c r="F90" s="19"/>
      <c r="G90" s="20">
        <f t="shared" si="3"/>
        <v>91</v>
      </c>
      <c r="H90" s="142" t="s">
        <v>53</v>
      </c>
      <c r="I90" s="27">
        <v>280</v>
      </c>
      <c r="J90" s="28">
        <v>45</v>
      </c>
      <c r="K90" s="29">
        <f t="shared" si="2"/>
        <v>7.03</v>
      </c>
      <c r="L90" s="142" t="s">
        <v>54</v>
      </c>
      <c r="M90" s="142" t="str">
        <f>VLOOKUP(L90,Packaging!$B$3:$C$21,2,0)</f>
        <v>290 X 200 X 140</v>
      </c>
      <c r="N90" s="10"/>
      <c r="O90" s="11">
        <v>10</v>
      </c>
      <c r="P90" s="11" t="s">
        <v>55</v>
      </c>
    </row>
    <row r="91" customHeight="1" spans="1:16">
      <c r="A91" s="7" t="s">
        <v>325</v>
      </c>
      <c r="B91" s="8" t="s">
        <v>326</v>
      </c>
      <c r="C91" s="12" t="s">
        <v>327</v>
      </c>
      <c r="D91" s="10" t="s">
        <v>52</v>
      </c>
      <c r="E91" s="18">
        <v>96</v>
      </c>
      <c r="F91" s="19"/>
      <c r="G91" s="20">
        <f t="shared" si="3"/>
        <v>91</v>
      </c>
      <c r="H91" s="142" t="s">
        <v>53</v>
      </c>
      <c r="I91" s="27">
        <v>278</v>
      </c>
      <c r="J91" s="28">
        <v>118</v>
      </c>
      <c r="K91" s="29">
        <f t="shared" si="2"/>
        <v>11.606</v>
      </c>
      <c r="L91" s="142" t="s">
        <v>161</v>
      </c>
      <c r="M91" s="142" t="str">
        <f>VLOOKUP(L91,Packaging!$B$3:$C$21,2,0)</f>
        <v>360 X 270 X 128</v>
      </c>
      <c r="N91" s="10"/>
      <c r="O91" s="11">
        <v>8</v>
      </c>
      <c r="P91" s="11" t="s">
        <v>55</v>
      </c>
    </row>
    <row r="92" customHeight="1" spans="1:16">
      <c r="A92" s="7" t="s">
        <v>328</v>
      </c>
      <c r="B92" s="10" t="s">
        <v>329</v>
      </c>
      <c r="C92" s="12" t="s">
        <v>330</v>
      </c>
      <c r="D92" s="10" t="s">
        <v>52</v>
      </c>
      <c r="E92" s="18">
        <v>200</v>
      </c>
      <c r="F92" s="19"/>
      <c r="G92" s="20">
        <f t="shared" si="3"/>
        <v>91</v>
      </c>
      <c r="H92" s="142" t="s">
        <v>53</v>
      </c>
      <c r="I92" s="27">
        <v>280</v>
      </c>
      <c r="J92" s="28">
        <v>90</v>
      </c>
      <c r="K92" s="29">
        <f t="shared" si="2"/>
        <v>18.28</v>
      </c>
      <c r="L92" s="142" t="s">
        <v>54</v>
      </c>
      <c r="M92" s="142" t="str">
        <f>VLOOKUP(L92,Packaging!$B$3:$C$21,2,0)</f>
        <v>290 X 200 X 140</v>
      </c>
      <c r="N92" s="10"/>
      <c r="O92" s="11">
        <v>20</v>
      </c>
      <c r="P92" s="11" t="s">
        <v>55</v>
      </c>
    </row>
    <row r="93" s="56" customFormat="1" customHeight="1" spans="1:16">
      <c r="A93" s="7" t="s">
        <v>331</v>
      </c>
      <c r="B93" s="34" t="s">
        <v>332</v>
      </c>
      <c r="C93" s="35" t="s">
        <v>333</v>
      </c>
      <c r="D93" s="34" t="s">
        <v>52</v>
      </c>
      <c r="E93" s="18">
        <v>32</v>
      </c>
      <c r="F93" s="19"/>
      <c r="G93" s="20">
        <f t="shared" si="3"/>
        <v>91</v>
      </c>
      <c r="H93" s="142" t="s">
        <v>53</v>
      </c>
      <c r="I93" s="27">
        <v>766</v>
      </c>
      <c r="J93" s="28">
        <v>126.6</v>
      </c>
      <c r="K93" s="29">
        <f t="shared" si="2"/>
        <v>4.8172</v>
      </c>
      <c r="L93" s="142" t="s">
        <v>72</v>
      </c>
      <c r="M93" s="142" t="str">
        <f>VLOOKUP(L93,Packaging!$B$3:$C$21,2,0)</f>
        <v>390 X 350 X 280</v>
      </c>
      <c r="N93" s="34"/>
      <c r="O93" s="11">
        <v>2</v>
      </c>
      <c r="P93" s="11" t="s">
        <v>55</v>
      </c>
    </row>
    <row r="94" s="55" customFormat="1" customHeight="1" spans="1:16">
      <c r="A94" s="7" t="s">
        <v>334</v>
      </c>
      <c r="B94" s="8" t="s">
        <v>335</v>
      </c>
      <c r="C94" s="12" t="s">
        <v>336</v>
      </c>
      <c r="D94" s="10" t="s">
        <v>52</v>
      </c>
      <c r="E94" s="18">
        <v>300</v>
      </c>
      <c r="F94" s="19"/>
      <c r="G94" s="20">
        <f t="shared" si="3"/>
        <v>91</v>
      </c>
      <c r="H94" s="142" t="s">
        <v>53</v>
      </c>
      <c r="I94" s="27">
        <v>280</v>
      </c>
      <c r="J94" s="28">
        <v>46.6</v>
      </c>
      <c r="K94" s="29">
        <f t="shared" si="2"/>
        <v>14.26</v>
      </c>
      <c r="L94" s="142" t="s">
        <v>274</v>
      </c>
      <c r="M94" s="142" t="str">
        <f>VLOOKUP(L94,Packaging!$B$3:$C$21,2,0)</f>
        <v>290 X 200 X 100</v>
      </c>
      <c r="N94" s="10"/>
      <c r="O94" s="11">
        <v>25</v>
      </c>
      <c r="P94" s="11" t="s">
        <v>55</v>
      </c>
    </row>
    <row r="95" s="55" customFormat="1" customHeight="1" spans="1:16">
      <c r="A95" s="7" t="s">
        <v>337</v>
      </c>
      <c r="B95" s="10" t="s">
        <v>338</v>
      </c>
      <c r="C95" s="12" t="s">
        <v>339</v>
      </c>
      <c r="D95" s="10" t="s">
        <v>52</v>
      </c>
      <c r="E95" s="18">
        <v>300</v>
      </c>
      <c r="F95" s="19"/>
      <c r="G95" s="20">
        <f t="shared" si="3"/>
        <v>91</v>
      </c>
      <c r="H95" s="142" t="s">
        <v>53</v>
      </c>
      <c r="I95" s="27">
        <v>280</v>
      </c>
      <c r="J95" s="28">
        <v>46.6</v>
      </c>
      <c r="K95" s="29">
        <f t="shared" si="2"/>
        <v>14.26</v>
      </c>
      <c r="L95" s="142" t="s">
        <v>274</v>
      </c>
      <c r="M95" s="142" t="str">
        <f>VLOOKUP(L95,Packaging!$B$3:$C$21,2,0)</f>
        <v>290 X 200 X 100</v>
      </c>
      <c r="N95" s="10" t="s">
        <v>340</v>
      </c>
      <c r="O95" s="11">
        <v>25</v>
      </c>
      <c r="P95" s="11" t="s">
        <v>55</v>
      </c>
    </row>
    <row r="96" customHeight="1" spans="1:16">
      <c r="A96" s="7" t="s">
        <v>341</v>
      </c>
      <c r="B96" s="8" t="s">
        <v>342</v>
      </c>
      <c r="C96" s="12" t="s">
        <v>343</v>
      </c>
      <c r="D96" s="10" t="s">
        <v>52</v>
      </c>
      <c r="E96" s="18">
        <v>12</v>
      </c>
      <c r="F96" s="19"/>
      <c r="G96" s="20">
        <f t="shared" si="3"/>
        <v>91</v>
      </c>
      <c r="H96" s="142" t="s">
        <v>53</v>
      </c>
      <c r="I96" s="27">
        <v>430</v>
      </c>
      <c r="J96" s="28">
        <v>419.6</v>
      </c>
      <c r="K96" s="29">
        <f t="shared" si="2"/>
        <v>5.4652</v>
      </c>
      <c r="L96" s="142" t="s">
        <v>83</v>
      </c>
      <c r="M96" s="142" t="str">
        <f>VLOOKUP(L96,Packaging!$B$3:$C$21,2,0)</f>
        <v>560 X 175 X 155</v>
      </c>
      <c r="N96" s="10"/>
      <c r="O96" s="11">
        <v>1</v>
      </c>
      <c r="P96" s="11" t="s">
        <v>55</v>
      </c>
    </row>
    <row r="97" customHeight="1" spans="1:16">
      <c r="A97" s="7" t="s">
        <v>344</v>
      </c>
      <c r="B97" s="10" t="s">
        <v>345</v>
      </c>
      <c r="C97" s="12" t="s">
        <v>346</v>
      </c>
      <c r="D97" s="10" t="s">
        <v>52</v>
      </c>
      <c r="E97" s="18">
        <v>240</v>
      </c>
      <c r="F97" s="19"/>
      <c r="G97" s="20">
        <f t="shared" si="3"/>
        <v>91</v>
      </c>
      <c r="H97" s="142" t="s">
        <v>53</v>
      </c>
      <c r="I97" s="27">
        <v>280</v>
      </c>
      <c r="J97" s="28">
        <v>14.8</v>
      </c>
      <c r="K97" s="29">
        <f t="shared" si="2"/>
        <v>3.832</v>
      </c>
      <c r="L97" s="142" t="s">
        <v>54</v>
      </c>
      <c r="M97" s="142" t="str">
        <f>VLOOKUP(L97,Packaging!$B$3:$C$21,2,0)</f>
        <v>290 X 200 X 140</v>
      </c>
      <c r="N97" s="10"/>
      <c r="O97" s="11">
        <v>10</v>
      </c>
      <c r="P97" s="11" t="s">
        <v>55</v>
      </c>
    </row>
    <row r="98" customHeight="1" spans="1:16">
      <c r="A98" s="7" t="s">
        <v>347</v>
      </c>
      <c r="B98" s="10" t="s">
        <v>348</v>
      </c>
      <c r="C98" s="12" t="s">
        <v>349</v>
      </c>
      <c r="D98" s="10" t="s">
        <v>52</v>
      </c>
      <c r="E98" s="18">
        <v>600</v>
      </c>
      <c r="F98" s="19"/>
      <c r="G98" s="20">
        <f t="shared" si="3"/>
        <v>91</v>
      </c>
      <c r="H98" s="142" t="s">
        <v>53</v>
      </c>
      <c r="I98" s="27">
        <v>280</v>
      </c>
      <c r="J98" s="28">
        <v>20</v>
      </c>
      <c r="K98" s="29">
        <f t="shared" si="2"/>
        <v>12.28</v>
      </c>
      <c r="L98" s="142" t="s">
        <v>54</v>
      </c>
      <c r="M98" s="142" t="str">
        <f>VLOOKUP(L98,Packaging!$B$3:$C$21,2,0)</f>
        <v>290 X 200 X 140</v>
      </c>
      <c r="N98" s="10"/>
      <c r="O98" s="11">
        <v>100</v>
      </c>
      <c r="P98" s="11" t="s">
        <v>55</v>
      </c>
    </row>
    <row r="99" customHeight="1" spans="1:16">
      <c r="A99" s="7" t="s">
        <v>350</v>
      </c>
      <c r="B99" s="10" t="s">
        <v>351</v>
      </c>
      <c r="C99" s="12" t="s">
        <v>352</v>
      </c>
      <c r="D99" s="10" t="s">
        <v>52</v>
      </c>
      <c r="E99" s="18">
        <v>600</v>
      </c>
      <c r="F99" s="19"/>
      <c r="G99" s="20">
        <f t="shared" si="3"/>
        <v>91</v>
      </c>
      <c r="H99" s="142" t="s">
        <v>53</v>
      </c>
      <c r="I99" s="27">
        <v>280</v>
      </c>
      <c r="J99" s="28">
        <v>20</v>
      </c>
      <c r="K99" s="29">
        <f t="shared" si="2"/>
        <v>12.28</v>
      </c>
      <c r="L99" s="142" t="s">
        <v>54</v>
      </c>
      <c r="M99" s="142" t="str">
        <f>VLOOKUP(L99,Packaging!$B$3:$C$21,2,0)</f>
        <v>290 X 200 X 140</v>
      </c>
      <c r="N99" s="10"/>
      <c r="O99" s="11">
        <v>100</v>
      </c>
      <c r="P99" s="11" t="s">
        <v>55</v>
      </c>
    </row>
    <row r="100" customHeight="1" spans="1:16">
      <c r="A100" s="7" t="s">
        <v>353</v>
      </c>
      <c r="B100" s="10" t="s">
        <v>354</v>
      </c>
      <c r="C100" s="12" t="s">
        <v>355</v>
      </c>
      <c r="D100" s="10" t="s">
        <v>52</v>
      </c>
      <c r="E100" s="18">
        <v>1000</v>
      </c>
      <c r="F100" s="19"/>
      <c r="G100" s="20">
        <f t="shared" si="3"/>
        <v>91</v>
      </c>
      <c r="H100" s="142" t="s">
        <v>53</v>
      </c>
      <c r="I100" s="27">
        <v>280</v>
      </c>
      <c r="J100" s="28">
        <v>8.6</v>
      </c>
      <c r="K100" s="29">
        <f t="shared" si="2"/>
        <v>8.88</v>
      </c>
      <c r="L100" s="142" t="s">
        <v>54</v>
      </c>
      <c r="M100" s="142" t="str">
        <f>VLOOKUP(L100,Packaging!$B$3:$C$21,2,0)</f>
        <v>290 X 200 X 140</v>
      </c>
      <c r="N100" s="10"/>
      <c r="O100" s="11">
        <v>250</v>
      </c>
      <c r="P100" s="11" t="s">
        <v>55</v>
      </c>
    </row>
    <row r="101" s="55" customFormat="1" customHeight="1" spans="1:16">
      <c r="A101" s="7" t="s">
        <v>356</v>
      </c>
      <c r="B101" s="10" t="s">
        <v>357</v>
      </c>
      <c r="C101" s="12" t="s">
        <v>358</v>
      </c>
      <c r="D101" s="10" t="s">
        <v>52</v>
      </c>
      <c r="E101" s="18">
        <v>1000</v>
      </c>
      <c r="F101" s="19"/>
      <c r="G101" s="20">
        <f t="shared" si="3"/>
        <v>91</v>
      </c>
      <c r="H101" s="142" t="s">
        <v>53</v>
      </c>
      <c r="I101" s="27">
        <v>280</v>
      </c>
      <c r="J101" s="28">
        <v>14</v>
      </c>
      <c r="K101" s="29">
        <f t="shared" si="2"/>
        <v>14.28</v>
      </c>
      <c r="L101" s="142" t="s">
        <v>54</v>
      </c>
      <c r="M101" s="142" t="str">
        <f>VLOOKUP(L101,Packaging!$B$3:$C$21,2,0)</f>
        <v>290 X 200 X 140</v>
      </c>
      <c r="N101" s="10"/>
      <c r="O101" s="11">
        <v>250</v>
      </c>
      <c r="P101" s="11" t="s">
        <v>55</v>
      </c>
    </row>
    <row r="102" s="55" customFormat="1" customHeight="1" spans="1:16">
      <c r="A102" s="7" t="s">
        <v>359</v>
      </c>
      <c r="B102" s="8" t="s">
        <v>360</v>
      </c>
      <c r="C102" s="12" t="s">
        <v>361</v>
      </c>
      <c r="D102" s="10" t="s">
        <v>52</v>
      </c>
      <c r="E102" s="18">
        <v>90</v>
      </c>
      <c r="F102" s="19"/>
      <c r="G102" s="20">
        <f t="shared" si="3"/>
        <v>91</v>
      </c>
      <c r="H102" s="142" t="s">
        <v>53</v>
      </c>
      <c r="I102" s="27">
        <v>280</v>
      </c>
      <c r="J102" s="28">
        <v>36</v>
      </c>
      <c r="K102" s="29">
        <f t="shared" si="2"/>
        <v>3.52</v>
      </c>
      <c r="L102" s="142" t="s">
        <v>54</v>
      </c>
      <c r="M102" s="142" t="str">
        <f>VLOOKUP(L102,Packaging!$B$3:$C$21,2,0)</f>
        <v>290 X 200 X 140</v>
      </c>
      <c r="N102" s="10"/>
      <c r="O102" s="11">
        <v>10</v>
      </c>
      <c r="P102" s="11" t="s">
        <v>55</v>
      </c>
    </row>
    <row r="103" customHeight="1" spans="1:16">
      <c r="A103" s="7" t="s">
        <v>362</v>
      </c>
      <c r="B103" s="8" t="s">
        <v>363</v>
      </c>
      <c r="C103" s="12" t="s">
        <v>364</v>
      </c>
      <c r="D103" s="10" t="s">
        <v>52</v>
      </c>
      <c r="E103" s="18">
        <v>90</v>
      </c>
      <c r="F103" s="19"/>
      <c r="G103" s="20">
        <f t="shared" si="3"/>
        <v>91</v>
      </c>
      <c r="H103" s="142" t="s">
        <v>53</v>
      </c>
      <c r="I103" s="27">
        <v>280</v>
      </c>
      <c r="J103" s="28">
        <v>36</v>
      </c>
      <c r="K103" s="29">
        <f t="shared" si="2"/>
        <v>3.52</v>
      </c>
      <c r="L103" s="142" t="s">
        <v>54</v>
      </c>
      <c r="M103" s="142" t="str">
        <f>VLOOKUP(L103,Packaging!$B$3:$C$21,2,0)</f>
        <v>290 X 200 X 140</v>
      </c>
      <c r="N103" s="10"/>
      <c r="O103" s="11">
        <v>10</v>
      </c>
      <c r="P103" s="11" t="s">
        <v>55</v>
      </c>
    </row>
    <row r="104" customHeight="1" spans="1:16">
      <c r="A104" s="7" t="s">
        <v>365</v>
      </c>
      <c r="B104" s="8" t="s">
        <v>366</v>
      </c>
      <c r="C104" s="12" t="s">
        <v>367</v>
      </c>
      <c r="D104" s="10" t="s">
        <v>52</v>
      </c>
      <c r="E104" s="18">
        <v>90</v>
      </c>
      <c r="F104" s="19"/>
      <c r="G104" s="20">
        <f t="shared" si="3"/>
        <v>91</v>
      </c>
      <c r="H104" s="142" t="s">
        <v>53</v>
      </c>
      <c r="I104" s="27">
        <v>280</v>
      </c>
      <c r="J104" s="28">
        <v>34.4</v>
      </c>
      <c r="K104" s="29">
        <f t="shared" si="2"/>
        <v>3.376</v>
      </c>
      <c r="L104" s="142" t="s">
        <v>54</v>
      </c>
      <c r="M104" s="142" t="str">
        <f>VLOOKUP(L104,Packaging!$B$3:$C$21,2,0)</f>
        <v>290 X 200 X 140</v>
      </c>
      <c r="N104" s="10"/>
      <c r="O104" s="11">
        <v>10</v>
      </c>
      <c r="P104" s="11" t="s">
        <v>55</v>
      </c>
    </row>
    <row r="105" customHeight="1" spans="1:16">
      <c r="A105" s="7" t="s">
        <v>368</v>
      </c>
      <c r="B105" s="8" t="s">
        <v>369</v>
      </c>
      <c r="C105" s="12" t="s">
        <v>370</v>
      </c>
      <c r="D105" s="10" t="s">
        <v>52</v>
      </c>
      <c r="E105" s="18">
        <v>90</v>
      </c>
      <c r="F105" s="19"/>
      <c r="G105" s="20">
        <f t="shared" si="3"/>
        <v>91</v>
      </c>
      <c r="H105" s="142" t="s">
        <v>53</v>
      </c>
      <c r="I105" s="27">
        <v>280</v>
      </c>
      <c r="J105" s="28">
        <v>34.4</v>
      </c>
      <c r="K105" s="29">
        <f t="shared" si="2"/>
        <v>3.376</v>
      </c>
      <c r="L105" s="142" t="s">
        <v>54</v>
      </c>
      <c r="M105" s="142" t="str">
        <f>VLOOKUP(L105,Packaging!$B$3:$C$21,2,0)</f>
        <v>290 X 200 X 140</v>
      </c>
      <c r="N105" s="10"/>
      <c r="O105" s="11">
        <v>10</v>
      </c>
      <c r="P105" s="11" t="s">
        <v>55</v>
      </c>
    </row>
    <row r="106" customHeight="1" spans="1:16">
      <c r="A106" s="7" t="s">
        <v>371</v>
      </c>
      <c r="B106" s="10" t="s">
        <v>372</v>
      </c>
      <c r="C106" s="12" t="s">
        <v>373</v>
      </c>
      <c r="D106" s="10" t="s">
        <v>52</v>
      </c>
      <c r="E106" s="18">
        <v>450</v>
      </c>
      <c r="F106" s="19"/>
      <c r="G106" s="20">
        <f t="shared" si="3"/>
        <v>91</v>
      </c>
      <c r="H106" s="142" t="s">
        <v>53</v>
      </c>
      <c r="I106" s="27">
        <v>244</v>
      </c>
      <c r="J106" s="28">
        <v>44</v>
      </c>
      <c r="K106" s="29">
        <f t="shared" si="2"/>
        <v>20.044</v>
      </c>
      <c r="L106" s="142" t="s">
        <v>274</v>
      </c>
      <c r="M106" s="142" t="str">
        <f>VLOOKUP(L106,Packaging!$B$3:$C$21,2,0)</f>
        <v>290 X 200 X 100</v>
      </c>
      <c r="N106" s="10"/>
      <c r="O106" s="11">
        <v>25</v>
      </c>
      <c r="P106" s="11" t="s">
        <v>55</v>
      </c>
    </row>
    <row r="107" customHeight="1" spans="1:16">
      <c r="A107" s="7" t="s">
        <v>374</v>
      </c>
      <c r="B107" s="10" t="s">
        <v>375</v>
      </c>
      <c r="C107" s="12" t="s">
        <v>376</v>
      </c>
      <c r="D107" s="10" t="s">
        <v>52</v>
      </c>
      <c r="E107" s="18">
        <v>450</v>
      </c>
      <c r="F107" s="19"/>
      <c r="G107" s="20">
        <f t="shared" si="3"/>
        <v>91</v>
      </c>
      <c r="H107" s="142" t="s">
        <v>53</v>
      </c>
      <c r="I107" s="27">
        <v>244</v>
      </c>
      <c r="J107" s="28">
        <v>44</v>
      </c>
      <c r="K107" s="29">
        <f t="shared" si="2"/>
        <v>20.044</v>
      </c>
      <c r="L107" s="142" t="s">
        <v>274</v>
      </c>
      <c r="M107" s="142" t="str">
        <f>VLOOKUP(L107,Packaging!$B$3:$C$21,2,0)</f>
        <v>290 X 200 X 100</v>
      </c>
      <c r="N107" s="10"/>
      <c r="O107" s="11">
        <v>25</v>
      </c>
      <c r="P107" s="11" t="s">
        <v>55</v>
      </c>
    </row>
    <row r="108" customHeight="1" spans="1:16">
      <c r="A108" s="7" t="s">
        <v>377</v>
      </c>
      <c r="B108" s="10" t="s">
        <v>378</v>
      </c>
      <c r="C108" s="12" t="s">
        <v>379</v>
      </c>
      <c r="D108" s="10" t="s">
        <v>52</v>
      </c>
      <c r="E108" s="18">
        <v>1000</v>
      </c>
      <c r="F108" s="19"/>
      <c r="G108" s="20">
        <f t="shared" si="3"/>
        <v>91</v>
      </c>
      <c r="H108" s="142" t="s">
        <v>53</v>
      </c>
      <c r="I108" s="27">
        <v>280</v>
      </c>
      <c r="J108" s="28">
        <v>5.8</v>
      </c>
      <c r="K108" s="29">
        <f t="shared" si="2"/>
        <v>6.08</v>
      </c>
      <c r="L108" s="142" t="s">
        <v>54</v>
      </c>
      <c r="M108" s="142" t="str">
        <f>VLOOKUP(L108,Packaging!$B$3:$C$21,2,0)</f>
        <v>290 X 200 X 140</v>
      </c>
      <c r="N108" s="10"/>
      <c r="O108" s="11">
        <v>25</v>
      </c>
      <c r="P108" s="11" t="s">
        <v>55</v>
      </c>
    </row>
    <row r="109" customHeight="1" spans="1:16">
      <c r="A109" s="7" t="s">
        <v>380</v>
      </c>
      <c r="B109" s="10" t="s">
        <v>381</v>
      </c>
      <c r="C109" s="12" t="s">
        <v>382</v>
      </c>
      <c r="D109" s="10" t="s">
        <v>52</v>
      </c>
      <c r="E109" s="18">
        <v>48</v>
      </c>
      <c r="F109" s="19"/>
      <c r="G109" s="20">
        <f t="shared" si="3"/>
        <v>91</v>
      </c>
      <c r="H109" s="142" t="s">
        <v>53</v>
      </c>
      <c r="I109" s="27">
        <v>278</v>
      </c>
      <c r="J109" s="28">
        <v>38.8</v>
      </c>
      <c r="K109" s="29">
        <f t="shared" si="2"/>
        <v>2.1404</v>
      </c>
      <c r="L109" s="142" t="s">
        <v>161</v>
      </c>
      <c r="M109" s="142" t="str">
        <f>VLOOKUP(L109,Packaging!$B$3:$C$21,2,0)</f>
        <v>360 X 270 X 128</v>
      </c>
      <c r="N109" s="10"/>
      <c r="O109" s="11">
        <v>2</v>
      </c>
      <c r="P109" s="11" t="s">
        <v>55</v>
      </c>
    </row>
    <row r="110" customHeight="1" spans="1:16">
      <c r="A110" s="7" t="s">
        <v>383</v>
      </c>
      <c r="B110" s="11" t="s">
        <v>384</v>
      </c>
      <c r="C110" s="9" t="s">
        <v>385</v>
      </c>
      <c r="D110" s="10" t="s">
        <v>52</v>
      </c>
      <c r="E110" s="18">
        <v>68</v>
      </c>
      <c r="F110" s="19"/>
      <c r="G110" s="20">
        <f t="shared" si="3"/>
        <v>91</v>
      </c>
      <c r="H110" s="142" t="s">
        <v>53</v>
      </c>
      <c r="I110" s="27">
        <v>766</v>
      </c>
      <c r="J110" s="28">
        <v>163.6</v>
      </c>
      <c r="K110" s="29">
        <f t="shared" si="2"/>
        <v>11.8908</v>
      </c>
      <c r="L110" s="142" t="s">
        <v>72</v>
      </c>
      <c r="M110" s="142" t="str">
        <f>VLOOKUP(L110,Packaging!$B$3:$C$21,2,0)</f>
        <v>390 X 350 X 280</v>
      </c>
      <c r="N110" s="10"/>
      <c r="O110" s="11">
        <v>2</v>
      </c>
      <c r="P110" s="11" t="s">
        <v>55</v>
      </c>
    </row>
    <row r="111" customHeight="1" spans="1:16">
      <c r="A111" s="7" t="s">
        <v>386</v>
      </c>
      <c r="B111" s="11" t="s">
        <v>387</v>
      </c>
      <c r="C111" s="9" t="s">
        <v>388</v>
      </c>
      <c r="D111" s="10" t="s">
        <v>52</v>
      </c>
      <c r="E111" s="18">
        <v>68</v>
      </c>
      <c r="F111" s="19"/>
      <c r="G111" s="20">
        <f t="shared" si="3"/>
        <v>91</v>
      </c>
      <c r="H111" s="142" t="s">
        <v>53</v>
      </c>
      <c r="I111" s="27">
        <v>766</v>
      </c>
      <c r="J111" s="28">
        <v>163.6</v>
      </c>
      <c r="K111" s="29">
        <f t="shared" si="2"/>
        <v>11.8908</v>
      </c>
      <c r="L111" s="142" t="s">
        <v>72</v>
      </c>
      <c r="M111" s="142" t="str">
        <f>VLOOKUP(L111,Packaging!$B$3:$C$21,2,0)</f>
        <v>390 X 350 X 280</v>
      </c>
      <c r="N111" s="11" t="s">
        <v>389</v>
      </c>
      <c r="O111" s="11">
        <v>2</v>
      </c>
      <c r="P111" s="11" t="s">
        <v>55</v>
      </c>
    </row>
    <row r="112" customHeight="1" spans="1:16">
      <c r="A112" s="7" t="s">
        <v>390</v>
      </c>
      <c r="B112" s="11" t="s">
        <v>391</v>
      </c>
      <c r="C112" s="9" t="s">
        <v>392</v>
      </c>
      <c r="D112" s="10" t="s">
        <v>52</v>
      </c>
      <c r="E112" s="18">
        <v>68</v>
      </c>
      <c r="F112" s="19"/>
      <c r="G112" s="20">
        <f t="shared" si="3"/>
        <v>91</v>
      </c>
      <c r="H112" s="142" t="s">
        <v>53</v>
      </c>
      <c r="I112" s="27">
        <v>766</v>
      </c>
      <c r="J112" s="28">
        <v>163.6</v>
      </c>
      <c r="K112" s="29">
        <f t="shared" ref="K112:K175" si="4">(I112+(J112*E112))/1000</f>
        <v>11.8908</v>
      </c>
      <c r="L112" s="142" t="s">
        <v>72</v>
      </c>
      <c r="M112" s="142" t="str">
        <f>VLOOKUP(L112,Packaging!$B$3:$C$21,2,0)</f>
        <v>390 X 350 X 280</v>
      </c>
      <c r="N112" s="10"/>
      <c r="O112" s="11">
        <v>2</v>
      </c>
      <c r="P112" s="11" t="s">
        <v>55</v>
      </c>
    </row>
    <row r="113" customHeight="1" spans="1:16">
      <c r="A113" s="7" t="s">
        <v>393</v>
      </c>
      <c r="B113" s="11" t="s">
        <v>394</v>
      </c>
      <c r="C113" s="9" t="s">
        <v>395</v>
      </c>
      <c r="D113" s="10" t="s">
        <v>52</v>
      </c>
      <c r="E113" s="18">
        <v>68</v>
      </c>
      <c r="F113" s="19"/>
      <c r="G113" s="20">
        <f t="shared" si="3"/>
        <v>91</v>
      </c>
      <c r="H113" s="142" t="s">
        <v>53</v>
      </c>
      <c r="I113" s="27">
        <v>766</v>
      </c>
      <c r="J113" s="28">
        <v>163.6</v>
      </c>
      <c r="K113" s="29">
        <f t="shared" si="4"/>
        <v>11.8908</v>
      </c>
      <c r="L113" s="142" t="s">
        <v>72</v>
      </c>
      <c r="M113" s="142" t="str">
        <f>VLOOKUP(L113,Packaging!$B$3:$C$21,2,0)</f>
        <v>390 X 350 X 280</v>
      </c>
      <c r="N113" s="11" t="s">
        <v>396</v>
      </c>
      <c r="O113" s="11">
        <v>2</v>
      </c>
      <c r="P113" s="11" t="s">
        <v>55</v>
      </c>
    </row>
    <row r="114" customHeight="1" spans="1:16">
      <c r="A114" s="7" t="s">
        <v>397</v>
      </c>
      <c r="B114" s="10" t="s">
        <v>398</v>
      </c>
      <c r="C114" s="12" t="s">
        <v>399</v>
      </c>
      <c r="D114" s="10" t="s">
        <v>52</v>
      </c>
      <c r="E114" s="18">
        <v>36</v>
      </c>
      <c r="F114" s="19"/>
      <c r="G114" s="20">
        <f t="shared" si="3"/>
        <v>91</v>
      </c>
      <c r="H114" s="142" t="s">
        <v>53</v>
      </c>
      <c r="I114" s="27">
        <v>280</v>
      </c>
      <c r="J114" s="28">
        <v>308.2</v>
      </c>
      <c r="K114" s="29">
        <f t="shared" si="4"/>
        <v>11.3752</v>
      </c>
      <c r="L114" s="142" t="s">
        <v>54</v>
      </c>
      <c r="M114" s="142" t="str">
        <f>VLOOKUP(L114,Packaging!$B$3:$C$21,2,0)</f>
        <v>290 X 200 X 140</v>
      </c>
      <c r="N114" s="10"/>
      <c r="O114" s="11">
        <v>1</v>
      </c>
      <c r="P114" s="11" t="s">
        <v>55</v>
      </c>
    </row>
    <row r="115" customHeight="1" spans="1:16">
      <c r="A115" s="7" t="s">
        <v>400</v>
      </c>
      <c r="B115" s="10" t="s">
        <v>401</v>
      </c>
      <c r="C115" s="12" t="s">
        <v>402</v>
      </c>
      <c r="D115" s="10" t="s">
        <v>52</v>
      </c>
      <c r="E115" s="18">
        <v>36</v>
      </c>
      <c r="F115" s="19"/>
      <c r="G115" s="20">
        <f t="shared" si="3"/>
        <v>91</v>
      </c>
      <c r="H115" s="142" t="s">
        <v>53</v>
      </c>
      <c r="I115" s="27">
        <v>280</v>
      </c>
      <c r="J115" s="28">
        <v>308.2</v>
      </c>
      <c r="K115" s="29">
        <f t="shared" si="4"/>
        <v>11.3752</v>
      </c>
      <c r="L115" s="142" t="s">
        <v>54</v>
      </c>
      <c r="M115" s="142" t="str">
        <f>VLOOKUP(L115,Packaging!$B$3:$C$21,2,0)</f>
        <v>290 X 200 X 140</v>
      </c>
      <c r="N115" s="10"/>
      <c r="O115" s="11">
        <v>1</v>
      </c>
      <c r="P115" s="11" t="s">
        <v>55</v>
      </c>
    </row>
    <row r="116" customHeight="1" spans="1:16">
      <c r="A116" s="7" t="s">
        <v>403</v>
      </c>
      <c r="B116" s="10" t="s">
        <v>404</v>
      </c>
      <c r="C116" s="12" t="s">
        <v>405</v>
      </c>
      <c r="D116" s="10" t="s">
        <v>52</v>
      </c>
      <c r="E116" s="18">
        <v>180</v>
      </c>
      <c r="F116" s="19"/>
      <c r="G116" s="20">
        <f t="shared" si="3"/>
        <v>91</v>
      </c>
      <c r="H116" s="142" t="s">
        <v>53</v>
      </c>
      <c r="I116" s="27">
        <v>378</v>
      </c>
      <c r="J116" s="28">
        <v>92</v>
      </c>
      <c r="K116" s="29">
        <f t="shared" si="4"/>
        <v>16.938</v>
      </c>
      <c r="L116" s="142" t="s">
        <v>91</v>
      </c>
      <c r="M116" s="142" t="str">
        <f>VLOOKUP(L116,Packaging!$B$3:$C$21,2,0)</f>
        <v>400 X 240 X 130</v>
      </c>
      <c r="N116" s="10"/>
      <c r="O116" s="11">
        <v>30</v>
      </c>
      <c r="P116" s="11" t="s">
        <v>55</v>
      </c>
    </row>
    <row r="117" customHeight="1" spans="1:16">
      <c r="A117" s="7" t="s">
        <v>406</v>
      </c>
      <c r="B117" s="10" t="s">
        <v>407</v>
      </c>
      <c r="C117" s="12" t="s">
        <v>408</v>
      </c>
      <c r="D117" s="10" t="s">
        <v>52</v>
      </c>
      <c r="E117" s="18">
        <v>500</v>
      </c>
      <c r="F117" s="19"/>
      <c r="G117" s="20">
        <f t="shared" si="3"/>
        <v>91</v>
      </c>
      <c r="H117" s="142" t="s">
        <v>53</v>
      </c>
      <c r="I117" s="27">
        <v>280</v>
      </c>
      <c r="J117" s="28">
        <v>17.4</v>
      </c>
      <c r="K117" s="29">
        <f t="shared" si="4"/>
        <v>8.98</v>
      </c>
      <c r="L117" s="142" t="s">
        <v>54</v>
      </c>
      <c r="M117" s="142" t="str">
        <f>VLOOKUP(L117,Packaging!$B$3:$C$21,2,0)</f>
        <v>290 X 200 X 140</v>
      </c>
      <c r="N117" s="10"/>
      <c r="O117" s="11">
        <v>100</v>
      </c>
      <c r="P117" s="11" t="s">
        <v>55</v>
      </c>
    </row>
    <row r="118" customHeight="1" spans="1:16">
      <c r="A118" s="7" t="s">
        <v>409</v>
      </c>
      <c r="B118" s="10" t="s">
        <v>410</v>
      </c>
      <c r="C118" s="12" t="s">
        <v>411</v>
      </c>
      <c r="D118" s="10" t="s">
        <v>52</v>
      </c>
      <c r="E118" s="18">
        <v>1000</v>
      </c>
      <c r="F118" s="19"/>
      <c r="G118" s="20">
        <f t="shared" si="3"/>
        <v>91</v>
      </c>
      <c r="H118" s="142" t="s">
        <v>53</v>
      </c>
      <c r="I118" s="27">
        <v>280</v>
      </c>
      <c r="J118" s="28">
        <v>7.2</v>
      </c>
      <c r="K118" s="29">
        <f t="shared" si="4"/>
        <v>7.48</v>
      </c>
      <c r="L118" s="142" t="s">
        <v>54</v>
      </c>
      <c r="M118" s="142" t="str">
        <f>VLOOKUP(L118,Packaging!$B$3:$C$21,2,0)</f>
        <v>290 X 200 X 140</v>
      </c>
      <c r="N118" s="10"/>
      <c r="O118" s="11">
        <v>50</v>
      </c>
      <c r="P118" s="11" t="s">
        <v>55</v>
      </c>
    </row>
    <row r="119" customHeight="1" spans="1:16">
      <c r="A119" s="7" t="s">
        <v>412</v>
      </c>
      <c r="B119" s="10" t="s">
        <v>413</v>
      </c>
      <c r="C119" s="12" t="s">
        <v>414</v>
      </c>
      <c r="D119" s="10" t="s">
        <v>52</v>
      </c>
      <c r="E119" s="18">
        <v>300</v>
      </c>
      <c r="F119" s="19"/>
      <c r="G119" s="20">
        <f t="shared" si="3"/>
        <v>91</v>
      </c>
      <c r="H119" s="142" t="s">
        <v>53</v>
      </c>
      <c r="I119" s="27">
        <v>280</v>
      </c>
      <c r="J119" s="28">
        <v>15</v>
      </c>
      <c r="K119" s="29">
        <f t="shared" si="4"/>
        <v>4.78</v>
      </c>
      <c r="L119" s="142" t="s">
        <v>54</v>
      </c>
      <c r="M119" s="142" t="str">
        <f>VLOOKUP(L119,Packaging!$B$3:$C$21,2,0)</f>
        <v>290 X 200 X 140</v>
      </c>
      <c r="N119" s="10"/>
      <c r="O119" s="11">
        <v>20</v>
      </c>
      <c r="P119" s="11" t="s">
        <v>55</v>
      </c>
    </row>
    <row r="120" customHeight="1" spans="1:16">
      <c r="A120" s="7" t="s">
        <v>415</v>
      </c>
      <c r="B120" s="10" t="s">
        <v>416</v>
      </c>
      <c r="C120" s="12" t="s">
        <v>417</v>
      </c>
      <c r="D120" s="10" t="s">
        <v>52</v>
      </c>
      <c r="E120" s="18">
        <v>112</v>
      </c>
      <c r="F120" s="19"/>
      <c r="G120" s="20">
        <f t="shared" si="3"/>
        <v>91</v>
      </c>
      <c r="H120" s="142" t="s">
        <v>53</v>
      </c>
      <c r="I120" s="27">
        <v>280</v>
      </c>
      <c r="J120" s="28">
        <v>93</v>
      </c>
      <c r="K120" s="29">
        <f t="shared" si="4"/>
        <v>10.696</v>
      </c>
      <c r="L120" s="142" t="s">
        <v>54</v>
      </c>
      <c r="M120" s="142" t="str">
        <f>VLOOKUP(L120,Packaging!$B$3:$C$21,2,0)</f>
        <v>290 X 200 X 140</v>
      </c>
      <c r="N120" s="10"/>
      <c r="O120" s="11">
        <v>1</v>
      </c>
      <c r="P120" s="11" t="s">
        <v>55</v>
      </c>
    </row>
    <row r="121" s="55" customFormat="1" customHeight="1" spans="1:16">
      <c r="A121" s="7" t="s">
        <v>418</v>
      </c>
      <c r="B121" s="10" t="s">
        <v>419</v>
      </c>
      <c r="C121" s="12" t="s">
        <v>420</v>
      </c>
      <c r="D121" s="10" t="s">
        <v>52</v>
      </c>
      <c r="E121" s="18">
        <v>300</v>
      </c>
      <c r="F121" s="19"/>
      <c r="G121" s="20">
        <f t="shared" si="3"/>
        <v>91</v>
      </c>
      <c r="H121" s="142" t="s">
        <v>53</v>
      </c>
      <c r="I121" s="27">
        <v>244</v>
      </c>
      <c r="J121" s="28">
        <v>28</v>
      </c>
      <c r="K121" s="29">
        <f t="shared" si="4"/>
        <v>8.644</v>
      </c>
      <c r="L121" s="142" t="s">
        <v>274</v>
      </c>
      <c r="M121" s="142" t="str">
        <f>VLOOKUP(L121,Packaging!$B$3:$C$21,2,0)</f>
        <v>290 X 200 X 100</v>
      </c>
      <c r="N121" s="10"/>
      <c r="O121" s="11">
        <v>10</v>
      </c>
      <c r="P121" s="11" t="s">
        <v>55</v>
      </c>
    </row>
    <row r="122" s="55" customFormat="1" customHeight="1" spans="1:16">
      <c r="A122" s="7" t="s">
        <v>421</v>
      </c>
      <c r="B122" s="8" t="s">
        <v>422</v>
      </c>
      <c r="C122" s="12" t="s">
        <v>423</v>
      </c>
      <c r="D122" s="10" t="s">
        <v>52</v>
      </c>
      <c r="E122" s="18">
        <v>8</v>
      </c>
      <c r="F122" s="19"/>
      <c r="G122" s="20">
        <f t="shared" si="3"/>
        <v>91</v>
      </c>
      <c r="H122" s="142" t="s">
        <v>53</v>
      </c>
      <c r="I122" s="27">
        <v>378</v>
      </c>
      <c r="J122" s="28">
        <v>388.2</v>
      </c>
      <c r="K122" s="29">
        <f t="shared" si="4"/>
        <v>3.4836</v>
      </c>
      <c r="L122" s="142" t="s">
        <v>91</v>
      </c>
      <c r="M122" s="142" t="str">
        <f>VLOOKUP(L122,Packaging!$B$3:$C$21,2,0)</f>
        <v>400 X 240 X 130</v>
      </c>
      <c r="N122" s="10"/>
      <c r="O122" s="11">
        <v>2</v>
      </c>
      <c r="P122" s="11" t="s">
        <v>55</v>
      </c>
    </row>
    <row r="123" s="55" customFormat="1" customHeight="1" spans="1:16">
      <c r="A123" s="7" t="s">
        <v>424</v>
      </c>
      <c r="B123" s="10" t="s">
        <v>425</v>
      </c>
      <c r="C123" s="12" t="s">
        <v>426</v>
      </c>
      <c r="D123" s="10" t="s">
        <v>52</v>
      </c>
      <c r="E123" s="18">
        <v>1000</v>
      </c>
      <c r="F123" s="19"/>
      <c r="G123" s="20">
        <f t="shared" si="3"/>
        <v>91</v>
      </c>
      <c r="H123" s="142" t="s">
        <v>53</v>
      </c>
      <c r="I123" s="27">
        <v>280</v>
      </c>
      <c r="J123" s="28">
        <v>10.2</v>
      </c>
      <c r="K123" s="29">
        <f t="shared" si="4"/>
        <v>10.48</v>
      </c>
      <c r="L123" s="142" t="s">
        <v>54</v>
      </c>
      <c r="M123" s="142" t="str">
        <f>VLOOKUP(L123,Packaging!$B$3:$C$21,2,0)</f>
        <v>290 X 200 X 140</v>
      </c>
      <c r="N123" s="10"/>
      <c r="O123" s="11">
        <v>100</v>
      </c>
      <c r="P123" s="11" t="s">
        <v>55</v>
      </c>
    </row>
    <row r="124" s="55" customFormat="1" customHeight="1" spans="1:16">
      <c r="A124" s="7" t="s">
        <v>427</v>
      </c>
      <c r="B124" s="8" t="s">
        <v>428</v>
      </c>
      <c r="C124" s="12" t="s">
        <v>429</v>
      </c>
      <c r="D124" s="10" t="s">
        <v>52</v>
      </c>
      <c r="E124" s="18">
        <v>80</v>
      </c>
      <c r="F124" s="19"/>
      <c r="G124" s="20">
        <f t="shared" si="3"/>
        <v>91</v>
      </c>
      <c r="H124" s="142" t="s">
        <v>53</v>
      </c>
      <c r="I124" s="27">
        <v>280</v>
      </c>
      <c r="J124" s="28">
        <v>92.14</v>
      </c>
      <c r="K124" s="29">
        <f t="shared" si="4"/>
        <v>7.6512</v>
      </c>
      <c r="L124" s="142" t="s">
        <v>54</v>
      </c>
      <c r="M124" s="142" t="str">
        <f>VLOOKUP(L124,Packaging!$B$3:$C$21,2,0)</f>
        <v>290 X 200 X 140</v>
      </c>
      <c r="N124" s="10"/>
      <c r="O124" s="11">
        <v>10</v>
      </c>
      <c r="P124" s="11" t="s">
        <v>55</v>
      </c>
    </row>
    <row r="125" s="55" customFormat="1" customHeight="1" spans="1:16">
      <c r="A125" s="7" t="s">
        <v>430</v>
      </c>
      <c r="B125" s="8" t="s">
        <v>431</v>
      </c>
      <c r="C125" s="12" t="s">
        <v>432</v>
      </c>
      <c r="D125" s="10" t="s">
        <v>52</v>
      </c>
      <c r="E125" s="18">
        <v>80</v>
      </c>
      <c r="F125" s="19"/>
      <c r="G125" s="20">
        <f t="shared" si="3"/>
        <v>91</v>
      </c>
      <c r="H125" s="142" t="s">
        <v>53</v>
      </c>
      <c r="I125" s="27">
        <v>280</v>
      </c>
      <c r="J125" s="28">
        <v>91.6</v>
      </c>
      <c r="K125" s="29">
        <f t="shared" si="4"/>
        <v>7.608</v>
      </c>
      <c r="L125" s="142" t="s">
        <v>54</v>
      </c>
      <c r="M125" s="142" t="str">
        <f>VLOOKUP(L125,Packaging!$B$3:$C$21,2,0)</f>
        <v>290 X 200 X 140</v>
      </c>
      <c r="N125" s="10"/>
      <c r="O125" s="11">
        <v>10</v>
      </c>
      <c r="P125" s="11" t="s">
        <v>55</v>
      </c>
    </row>
    <row r="126" customHeight="1" spans="1:16">
      <c r="A126" s="7" t="s">
        <v>433</v>
      </c>
      <c r="B126" s="8" t="s">
        <v>434</v>
      </c>
      <c r="C126" s="12" t="s">
        <v>435</v>
      </c>
      <c r="D126" s="10" t="s">
        <v>52</v>
      </c>
      <c r="E126" s="18">
        <v>32</v>
      </c>
      <c r="F126" s="19"/>
      <c r="G126" s="20">
        <f t="shared" si="3"/>
        <v>91</v>
      </c>
      <c r="H126" s="142" t="s">
        <v>53</v>
      </c>
      <c r="I126" s="27">
        <v>378</v>
      </c>
      <c r="J126" s="28">
        <v>212.2</v>
      </c>
      <c r="K126" s="29">
        <f t="shared" si="4"/>
        <v>7.1684</v>
      </c>
      <c r="L126" s="142" t="s">
        <v>91</v>
      </c>
      <c r="M126" s="142" t="str">
        <f>VLOOKUP(L126,Packaging!$B$3:$C$21,2,0)</f>
        <v>400 X 240 X 130</v>
      </c>
      <c r="N126" s="10"/>
      <c r="O126" s="11">
        <v>1</v>
      </c>
      <c r="P126" s="11" t="s">
        <v>55</v>
      </c>
    </row>
    <row r="127" customHeight="1" spans="1:16">
      <c r="A127" s="7" t="s">
        <v>436</v>
      </c>
      <c r="B127" s="8" t="s">
        <v>437</v>
      </c>
      <c r="C127" s="12" t="s">
        <v>438</v>
      </c>
      <c r="D127" s="10" t="s">
        <v>52</v>
      </c>
      <c r="E127" s="18">
        <v>32</v>
      </c>
      <c r="F127" s="19"/>
      <c r="G127" s="20">
        <f t="shared" si="3"/>
        <v>91</v>
      </c>
      <c r="H127" s="142" t="s">
        <v>53</v>
      </c>
      <c r="I127" s="27">
        <v>378</v>
      </c>
      <c r="J127" s="28">
        <v>212.2</v>
      </c>
      <c r="K127" s="29">
        <f t="shared" si="4"/>
        <v>7.1684</v>
      </c>
      <c r="L127" s="142" t="s">
        <v>91</v>
      </c>
      <c r="M127" s="142" t="str">
        <f>VLOOKUP(L127,Packaging!$B$3:$C$21,2,0)</f>
        <v>400 X 240 X 130</v>
      </c>
      <c r="N127" s="10"/>
      <c r="O127" s="11">
        <v>1</v>
      </c>
      <c r="P127" s="11" t="s">
        <v>55</v>
      </c>
    </row>
    <row r="128" customHeight="1" spans="1:16">
      <c r="A128" s="7" t="s">
        <v>439</v>
      </c>
      <c r="B128" s="8" t="s">
        <v>440</v>
      </c>
      <c r="C128" s="12" t="s">
        <v>441</v>
      </c>
      <c r="D128" s="10" t="s">
        <v>52</v>
      </c>
      <c r="E128" s="18">
        <v>160</v>
      </c>
      <c r="F128" s="19"/>
      <c r="G128" s="20">
        <f t="shared" si="3"/>
        <v>91</v>
      </c>
      <c r="H128" s="142" t="s">
        <v>53</v>
      </c>
      <c r="I128" s="27">
        <v>278</v>
      </c>
      <c r="J128" s="28">
        <v>24.6</v>
      </c>
      <c r="K128" s="29">
        <f t="shared" si="4"/>
        <v>4.214</v>
      </c>
      <c r="L128" s="142" t="s">
        <v>161</v>
      </c>
      <c r="M128" s="142" t="str">
        <f>VLOOKUP(L128,Packaging!$B$3:$C$21,2,0)</f>
        <v>360 X 270 X 128</v>
      </c>
      <c r="N128" s="10"/>
      <c r="O128" s="11">
        <v>16</v>
      </c>
      <c r="P128" s="11" t="s">
        <v>55</v>
      </c>
    </row>
    <row r="129" customHeight="1" spans="1:16">
      <c r="A129" s="7" t="s">
        <v>442</v>
      </c>
      <c r="B129" s="10" t="s">
        <v>443</v>
      </c>
      <c r="C129" s="12" t="s">
        <v>444</v>
      </c>
      <c r="D129" s="10" t="s">
        <v>52</v>
      </c>
      <c r="E129" s="18">
        <v>500</v>
      </c>
      <c r="F129" s="19"/>
      <c r="G129" s="20">
        <f t="shared" si="3"/>
        <v>91</v>
      </c>
      <c r="H129" s="142" t="s">
        <v>53</v>
      </c>
      <c r="I129" s="27">
        <v>280</v>
      </c>
      <c r="J129" s="28">
        <v>13.4</v>
      </c>
      <c r="K129" s="29">
        <f t="shared" si="4"/>
        <v>6.98</v>
      </c>
      <c r="L129" s="142" t="s">
        <v>54</v>
      </c>
      <c r="M129" s="142" t="str">
        <f>VLOOKUP(L129,Packaging!$B$3:$C$21,2,0)</f>
        <v>290 X 200 X 140</v>
      </c>
      <c r="N129" s="10"/>
      <c r="O129" s="11">
        <v>50</v>
      </c>
      <c r="P129" s="11" t="s">
        <v>55</v>
      </c>
    </row>
    <row r="130" customHeight="1" spans="1:16">
      <c r="A130" s="7" t="s">
        <v>445</v>
      </c>
      <c r="B130" s="8" t="s">
        <v>446</v>
      </c>
      <c r="C130" s="12" t="s">
        <v>447</v>
      </c>
      <c r="D130" s="10" t="s">
        <v>52</v>
      </c>
      <c r="E130" s="18">
        <v>40</v>
      </c>
      <c r="F130" s="19"/>
      <c r="G130" s="20">
        <f t="shared" si="3"/>
        <v>91</v>
      </c>
      <c r="H130" s="142" t="s">
        <v>53</v>
      </c>
      <c r="I130" s="27">
        <v>378</v>
      </c>
      <c r="J130" s="28">
        <v>414.2</v>
      </c>
      <c r="K130" s="29">
        <f t="shared" si="4"/>
        <v>16.946</v>
      </c>
      <c r="L130" s="142" t="s">
        <v>91</v>
      </c>
      <c r="M130" s="142" t="str">
        <f>VLOOKUP(L130,Packaging!$B$3:$C$21,2,0)</f>
        <v>400 X 240 X 130</v>
      </c>
      <c r="N130" s="10"/>
      <c r="O130" s="11">
        <v>1</v>
      </c>
      <c r="P130" s="11" t="s">
        <v>55</v>
      </c>
    </row>
    <row r="131" s="55" customFormat="1" customHeight="1" spans="1:16">
      <c r="A131" s="7" t="s">
        <v>448</v>
      </c>
      <c r="B131" s="10" t="s">
        <v>449</v>
      </c>
      <c r="C131" s="12" t="s">
        <v>450</v>
      </c>
      <c r="D131" s="10" t="s">
        <v>52</v>
      </c>
      <c r="E131" s="18">
        <v>40</v>
      </c>
      <c r="F131" s="19"/>
      <c r="G131" s="20">
        <f t="shared" si="3"/>
        <v>91</v>
      </c>
      <c r="H131" s="142" t="s">
        <v>53</v>
      </c>
      <c r="I131" s="27">
        <v>378</v>
      </c>
      <c r="J131" s="28">
        <v>422.8</v>
      </c>
      <c r="K131" s="29">
        <f t="shared" si="4"/>
        <v>17.29</v>
      </c>
      <c r="L131" s="142" t="s">
        <v>91</v>
      </c>
      <c r="M131" s="142" t="str">
        <f>VLOOKUP(L131,Packaging!$B$3:$C$21,2,0)</f>
        <v>400 X 240 X 130</v>
      </c>
      <c r="N131" s="10"/>
      <c r="O131" s="11">
        <v>1</v>
      </c>
      <c r="P131" s="11" t="s">
        <v>55</v>
      </c>
    </row>
    <row r="132" customHeight="1" spans="1:16">
      <c r="A132" s="7" t="s">
        <v>451</v>
      </c>
      <c r="B132" s="8" t="s">
        <v>452</v>
      </c>
      <c r="C132" s="12" t="s">
        <v>453</v>
      </c>
      <c r="D132" s="10" t="s">
        <v>52</v>
      </c>
      <c r="E132" s="18">
        <v>40</v>
      </c>
      <c r="F132" s="19"/>
      <c r="G132" s="20">
        <f t="shared" si="3"/>
        <v>91</v>
      </c>
      <c r="H132" s="142" t="s">
        <v>53</v>
      </c>
      <c r="I132" s="27">
        <v>378</v>
      </c>
      <c r="J132" s="28">
        <v>414.2</v>
      </c>
      <c r="K132" s="29">
        <f t="shared" si="4"/>
        <v>16.946</v>
      </c>
      <c r="L132" s="142" t="s">
        <v>91</v>
      </c>
      <c r="M132" s="142" t="str">
        <f>VLOOKUP(L132,Packaging!$B$3:$C$21,2,0)</f>
        <v>400 X 240 X 130</v>
      </c>
      <c r="N132" s="10"/>
      <c r="O132" s="11">
        <v>1</v>
      </c>
      <c r="P132" s="11" t="s">
        <v>55</v>
      </c>
    </row>
    <row r="133" customHeight="1" spans="1:16">
      <c r="A133" s="7" t="s">
        <v>454</v>
      </c>
      <c r="B133" s="10" t="s">
        <v>455</v>
      </c>
      <c r="C133" s="12" t="s">
        <v>456</v>
      </c>
      <c r="D133" s="10" t="s">
        <v>52</v>
      </c>
      <c r="E133" s="18">
        <v>40</v>
      </c>
      <c r="F133" s="19"/>
      <c r="G133" s="20">
        <f t="shared" si="3"/>
        <v>91</v>
      </c>
      <c r="H133" s="142" t="s">
        <v>53</v>
      </c>
      <c r="I133" s="27">
        <v>378</v>
      </c>
      <c r="J133" s="28">
        <v>422.8</v>
      </c>
      <c r="K133" s="29">
        <f t="shared" si="4"/>
        <v>17.29</v>
      </c>
      <c r="L133" s="142" t="s">
        <v>91</v>
      </c>
      <c r="M133" s="142" t="str">
        <f>VLOOKUP(L133,Packaging!$B$3:$C$21,2,0)</f>
        <v>400 X 240 X 130</v>
      </c>
      <c r="N133" s="10"/>
      <c r="O133" s="11">
        <v>1</v>
      </c>
      <c r="P133" s="11" t="s">
        <v>55</v>
      </c>
    </row>
    <row r="134" customHeight="1" spans="1:16">
      <c r="A134" s="7" t="s">
        <v>457</v>
      </c>
      <c r="B134" s="8" t="s">
        <v>458</v>
      </c>
      <c r="C134" s="12" t="s">
        <v>459</v>
      </c>
      <c r="D134" s="10" t="s">
        <v>52</v>
      </c>
      <c r="E134" s="18">
        <v>1000</v>
      </c>
      <c r="F134" s="19"/>
      <c r="G134" s="20">
        <f t="shared" ref="G134:G169" si="5">F134+91</f>
        <v>91</v>
      </c>
      <c r="H134" s="142" t="s">
        <v>53</v>
      </c>
      <c r="I134" s="27">
        <v>280</v>
      </c>
      <c r="J134" s="28">
        <v>33.6</v>
      </c>
      <c r="K134" s="29">
        <f t="shared" si="4"/>
        <v>33.88</v>
      </c>
      <c r="L134" s="142" t="s">
        <v>54</v>
      </c>
      <c r="M134" s="142" t="str">
        <f>VLOOKUP(L134,Packaging!$B$3:$C$21,2,0)</f>
        <v>290 X 200 X 140</v>
      </c>
      <c r="N134" s="10" t="s">
        <v>460</v>
      </c>
      <c r="O134" s="11">
        <v>20</v>
      </c>
      <c r="P134" s="11" t="s">
        <v>55</v>
      </c>
    </row>
    <row r="135" customHeight="1" spans="1:16">
      <c r="A135" s="7" t="s">
        <v>461</v>
      </c>
      <c r="B135" s="10" t="s">
        <v>462</v>
      </c>
      <c r="C135" s="12" t="s">
        <v>463</v>
      </c>
      <c r="D135" s="10" t="s">
        <v>52</v>
      </c>
      <c r="E135" s="18">
        <v>1000</v>
      </c>
      <c r="F135" s="19"/>
      <c r="G135" s="20">
        <f t="shared" si="5"/>
        <v>91</v>
      </c>
      <c r="H135" s="142" t="s">
        <v>53</v>
      </c>
      <c r="I135" s="27">
        <v>280</v>
      </c>
      <c r="J135" s="28">
        <v>23.6</v>
      </c>
      <c r="K135" s="29">
        <f t="shared" si="4"/>
        <v>23.88</v>
      </c>
      <c r="L135" s="142" t="s">
        <v>54</v>
      </c>
      <c r="M135" s="142" t="str">
        <f>VLOOKUP(L135,Packaging!$B$3:$C$21,2,0)</f>
        <v>290 X 200 X 140</v>
      </c>
      <c r="N135" s="10"/>
      <c r="O135" s="11">
        <v>25</v>
      </c>
      <c r="P135" s="11" t="s">
        <v>55</v>
      </c>
    </row>
    <row r="136" s="55" customFormat="1" customHeight="1" spans="1:16">
      <c r="A136" s="7" t="s">
        <v>464</v>
      </c>
      <c r="B136" s="10" t="s">
        <v>465</v>
      </c>
      <c r="C136" s="12" t="s">
        <v>466</v>
      </c>
      <c r="D136" s="10" t="s">
        <v>52</v>
      </c>
      <c r="E136" s="18">
        <v>1000</v>
      </c>
      <c r="F136" s="19"/>
      <c r="G136" s="20">
        <f t="shared" si="5"/>
        <v>91</v>
      </c>
      <c r="H136" s="142" t="s">
        <v>53</v>
      </c>
      <c r="I136" s="27">
        <v>280</v>
      </c>
      <c r="J136" s="28">
        <v>21.6</v>
      </c>
      <c r="K136" s="29">
        <f t="shared" si="4"/>
        <v>21.88</v>
      </c>
      <c r="L136" s="142" t="s">
        <v>54</v>
      </c>
      <c r="M136" s="142" t="str">
        <f>VLOOKUP(L136,Packaging!$B$3:$C$21,2,0)</f>
        <v>290 X 200 X 140</v>
      </c>
      <c r="N136" s="10"/>
      <c r="O136" s="11">
        <v>25</v>
      </c>
      <c r="P136" s="11" t="s">
        <v>55</v>
      </c>
    </row>
    <row r="137" s="55" customFormat="1" customHeight="1" spans="1:16">
      <c r="A137" s="7" t="s">
        <v>467</v>
      </c>
      <c r="B137" s="10" t="s">
        <v>468</v>
      </c>
      <c r="C137" s="12" t="s">
        <v>469</v>
      </c>
      <c r="D137" s="10" t="s">
        <v>52</v>
      </c>
      <c r="E137" s="18">
        <v>250</v>
      </c>
      <c r="F137" s="19"/>
      <c r="G137" s="20">
        <f t="shared" si="5"/>
        <v>91</v>
      </c>
      <c r="H137" s="142" t="s">
        <v>53</v>
      </c>
      <c r="I137" s="27">
        <v>280</v>
      </c>
      <c r="J137" s="28">
        <v>62.4</v>
      </c>
      <c r="K137" s="29">
        <f t="shared" si="4"/>
        <v>15.88</v>
      </c>
      <c r="L137" s="142" t="s">
        <v>54</v>
      </c>
      <c r="M137" s="142" t="str">
        <f>VLOOKUP(L137,Packaging!$B$3:$C$21,2,0)</f>
        <v>290 X 200 X 140</v>
      </c>
      <c r="N137" s="10"/>
      <c r="O137" s="11">
        <v>25</v>
      </c>
      <c r="P137" s="11" t="s">
        <v>55</v>
      </c>
    </row>
    <row r="138" s="55" customFormat="1" customHeight="1" spans="1:16">
      <c r="A138" s="7" t="s">
        <v>470</v>
      </c>
      <c r="B138" s="34" t="s">
        <v>471</v>
      </c>
      <c r="C138" s="35" t="s">
        <v>472</v>
      </c>
      <c r="D138" s="34" t="s">
        <v>52</v>
      </c>
      <c r="E138" s="18">
        <v>1000</v>
      </c>
      <c r="F138" s="19"/>
      <c r="G138" s="20">
        <f t="shared" si="5"/>
        <v>91</v>
      </c>
      <c r="H138" s="142" t="s">
        <v>53</v>
      </c>
      <c r="I138" s="27">
        <v>280</v>
      </c>
      <c r="J138" s="28">
        <v>10.8</v>
      </c>
      <c r="K138" s="29">
        <f t="shared" si="4"/>
        <v>11.08</v>
      </c>
      <c r="L138" s="142" t="s">
        <v>54</v>
      </c>
      <c r="M138" s="142" t="str">
        <f>VLOOKUP(L138,Packaging!$B$3:$C$21,2,0)</f>
        <v>290 X 200 X 140</v>
      </c>
      <c r="N138" s="34"/>
      <c r="O138" s="11">
        <v>20</v>
      </c>
      <c r="P138" s="11" t="s">
        <v>55</v>
      </c>
    </row>
    <row r="139" s="55" customFormat="1" customHeight="1" spans="1:16">
      <c r="A139" s="7" t="s">
        <v>473</v>
      </c>
      <c r="B139" s="10" t="s">
        <v>474</v>
      </c>
      <c r="C139" s="12" t="s">
        <v>475</v>
      </c>
      <c r="D139" s="10" t="s">
        <v>52</v>
      </c>
      <c r="E139" s="18">
        <v>450</v>
      </c>
      <c r="F139" s="19"/>
      <c r="G139" s="20">
        <f t="shared" si="5"/>
        <v>91</v>
      </c>
      <c r="H139" s="142" t="s">
        <v>53</v>
      </c>
      <c r="I139" s="27">
        <v>244</v>
      </c>
      <c r="J139" s="28">
        <v>40.8</v>
      </c>
      <c r="K139" s="29">
        <f t="shared" si="4"/>
        <v>18.604</v>
      </c>
      <c r="L139" s="142" t="s">
        <v>274</v>
      </c>
      <c r="M139" s="142" t="str">
        <f>VLOOKUP(L139,Packaging!$B$3:$C$21,2,0)</f>
        <v>290 X 200 X 100</v>
      </c>
      <c r="N139" s="10"/>
      <c r="O139" s="11">
        <v>25</v>
      </c>
      <c r="P139" s="11" t="s">
        <v>55</v>
      </c>
    </row>
    <row r="140" s="55" customFormat="1" customHeight="1" spans="1:16">
      <c r="A140" s="7" t="s">
        <v>476</v>
      </c>
      <c r="B140" s="10" t="s">
        <v>477</v>
      </c>
      <c r="C140" s="12" t="s">
        <v>478</v>
      </c>
      <c r="D140" s="10" t="s">
        <v>52</v>
      </c>
      <c r="E140" s="18">
        <v>450</v>
      </c>
      <c r="F140" s="19"/>
      <c r="G140" s="20">
        <f t="shared" si="5"/>
        <v>91</v>
      </c>
      <c r="H140" s="142" t="s">
        <v>53</v>
      </c>
      <c r="I140" s="27">
        <v>244</v>
      </c>
      <c r="J140" s="28">
        <v>40.8</v>
      </c>
      <c r="K140" s="29">
        <f t="shared" si="4"/>
        <v>18.604</v>
      </c>
      <c r="L140" s="142" t="s">
        <v>274</v>
      </c>
      <c r="M140" s="142" t="str">
        <f>VLOOKUP(L140,Packaging!$B$3:$C$21,2,0)</f>
        <v>290 X 200 X 100</v>
      </c>
      <c r="N140" s="10"/>
      <c r="O140" s="11">
        <v>25</v>
      </c>
      <c r="P140" s="11" t="s">
        <v>55</v>
      </c>
    </row>
    <row r="141" s="55" customFormat="1" customHeight="1" spans="1:16">
      <c r="A141" s="7" t="s">
        <v>479</v>
      </c>
      <c r="B141" s="10" t="s">
        <v>480</v>
      </c>
      <c r="C141" s="12" t="s">
        <v>481</v>
      </c>
      <c r="D141" s="10" t="s">
        <v>52</v>
      </c>
      <c r="E141" s="18">
        <v>1000</v>
      </c>
      <c r="F141" s="19"/>
      <c r="G141" s="20">
        <f t="shared" si="5"/>
        <v>91</v>
      </c>
      <c r="H141" s="142" t="s">
        <v>53</v>
      </c>
      <c r="I141" s="27">
        <v>280</v>
      </c>
      <c r="J141" s="28">
        <v>101.8</v>
      </c>
      <c r="K141" s="29">
        <f t="shared" si="4"/>
        <v>102.08</v>
      </c>
      <c r="L141" s="142" t="s">
        <v>54</v>
      </c>
      <c r="M141" s="142" t="str">
        <f>VLOOKUP(L141,Packaging!$B$3:$C$21,2,0)</f>
        <v>290 X 200 X 140</v>
      </c>
      <c r="N141" s="10"/>
      <c r="O141" s="11">
        <v>10</v>
      </c>
      <c r="P141" s="11" t="s">
        <v>55</v>
      </c>
    </row>
    <row r="142" s="55" customFormat="1" customHeight="1" spans="1:16">
      <c r="A142" s="7" t="s">
        <v>482</v>
      </c>
      <c r="B142" s="8" t="s">
        <v>483</v>
      </c>
      <c r="C142" s="12" t="s">
        <v>484</v>
      </c>
      <c r="D142" s="10" t="s">
        <v>52</v>
      </c>
      <c r="E142" s="18">
        <v>56</v>
      </c>
      <c r="F142" s="19"/>
      <c r="G142" s="20">
        <f t="shared" si="5"/>
        <v>91</v>
      </c>
      <c r="H142" s="142" t="s">
        <v>53</v>
      </c>
      <c r="I142" s="27">
        <v>280</v>
      </c>
      <c r="J142" s="28">
        <v>72</v>
      </c>
      <c r="K142" s="29">
        <f t="shared" si="4"/>
        <v>4.312</v>
      </c>
      <c r="L142" s="142" t="s">
        <v>54</v>
      </c>
      <c r="M142" s="142" t="str">
        <f>VLOOKUP(L142,Packaging!$B$3:$C$21,2,0)</f>
        <v>290 X 200 X 140</v>
      </c>
      <c r="N142" s="10"/>
      <c r="O142" s="11">
        <v>7</v>
      </c>
      <c r="P142" s="11" t="s">
        <v>55</v>
      </c>
    </row>
    <row r="143" s="55" customFormat="1" customHeight="1" spans="1:16">
      <c r="A143" s="7" t="s">
        <v>485</v>
      </c>
      <c r="B143" s="8" t="s">
        <v>486</v>
      </c>
      <c r="C143" s="12" t="s">
        <v>487</v>
      </c>
      <c r="D143" s="10" t="s">
        <v>52</v>
      </c>
      <c r="E143" s="18">
        <v>2000</v>
      </c>
      <c r="F143" s="19"/>
      <c r="G143" s="20">
        <f t="shared" si="5"/>
        <v>91</v>
      </c>
      <c r="H143" s="142" t="s">
        <v>53</v>
      </c>
      <c r="I143" s="27">
        <v>280</v>
      </c>
      <c r="J143" s="28">
        <v>0.2</v>
      </c>
      <c r="K143" s="29">
        <f t="shared" si="4"/>
        <v>0.68</v>
      </c>
      <c r="L143" s="142" t="s">
        <v>54</v>
      </c>
      <c r="M143" s="142" t="str">
        <f>VLOOKUP(L143,Packaging!$B$3:$C$21,2,0)</f>
        <v>290 X 200 X 140</v>
      </c>
      <c r="N143" s="10"/>
      <c r="O143" s="11">
        <v>100</v>
      </c>
      <c r="P143" s="11" t="s">
        <v>55</v>
      </c>
    </row>
    <row r="144" s="55" customFormat="1" customHeight="1" spans="1:16">
      <c r="A144" s="7" t="s">
        <v>488</v>
      </c>
      <c r="B144" s="8" t="s">
        <v>489</v>
      </c>
      <c r="C144" s="12" t="s">
        <v>490</v>
      </c>
      <c r="D144" s="10" t="s">
        <v>52</v>
      </c>
      <c r="E144" s="18">
        <v>60</v>
      </c>
      <c r="F144" s="19"/>
      <c r="G144" s="20">
        <f t="shared" si="5"/>
        <v>91</v>
      </c>
      <c r="H144" s="142" t="s">
        <v>53</v>
      </c>
      <c r="I144" s="27">
        <v>244</v>
      </c>
      <c r="J144" s="28">
        <v>224.8</v>
      </c>
      <c r="K144" s="29">
        <f t="shared" si="4"/>
        <v>13.732</v>
      </c>
      <c r="L144" s="142" t="s">
        <v>274</v>
      </c>
      <c r="M144" s="142" t="str">
        <f>VLOOKUP(L144,Packaging!$B$3:$C$21,2,0)</f>
        <v>290 X 200 X 100</v>
      </c>
      <c r="N144" s="10"/>
      <c r="O144" s="11">
        <v>1</v>
      </c>
      <c r="P144" s="11" t="s">
        <v>55</v>
      </c>
    </row>
    <row r="145" s="55" customFormat="1" customHeight="1" spans="1:16">
      <c r="A145" s="7" t="s">
        <v>491</v>
      </c>
      <c r="B145" s="8" t="s">
        <v>492</v>
      </c>
      <c r="C145" s="12" t="s">
        <v>493</v>
      </c>
      <c r="D145" s="10" t="s">
        <v>52</v>
      </c>
      <c r="E145" s="18">
        <v>450</v>
      </c>
      <c r="F145" s="19"/>
      <c r="G145" s="20">
        <f t="shared" si="5"/>
        <v>91</v>
      </c>
      <c r="H145" s="142" t="s">
        <v>53</v>
      </c>
      <c r="I145" s="27">
        <v>280</v>
      </c>
      <c r="J145" s="28">
        <v>40.2</v>
      </c>
      <c r="K145" s="29">
        <f t="shared" si="4"/>
        <v>18.37</v>
      </c>
      <c r="L145" s="142" t="s">
        <v>54</v>
      </c>
      <c r="M145" s="142" t="str">
        <f>VLOOKUP(L145,Packaging!$B$3:$C$21,2,0)</f>
        <v>290 X 200 X 140</v>
      </c>
      <c r="N145" s="10"/>
      <c r="O145" s="11">
        <v>75</v>
      </c>
      <c r="P145" s="11" t="s">
        <v>55</v>
      </c>
    </row>
    <row r="146" s="55" customFormat="1" customHeight="1" spans="1:16">
      <c r="A146" s="7" t="s">
        <v>494</v>
      </c>
      <c r="B146" s="8" t="s">
        <v>495</v>
      </c>
      <c r="C146" s="12" t="s">
        <v>496</v>
      </c>
      <c r="D146" s="10" t="s">
        <v>52</v>
      </c>
      <c r="E146" s="18">
        <v>40</v>
      </c>
      <c r="F146" s="19"/>
      <c r="G146" s="20">
        <f t="shared" si="5"/>
        <v>91</v>
      </c>
      <c r="H146" s="142" t="s">
        <v>53</v>
      </c>
      <c r="I146" s="27">
        <v>278</v>
      </c>
      <c r="J146" s="28">
        <v>106.8</v>
      </c>
      <c r="K146" s="29">
        <f t="shared" si="4"/>
        <v>4.55</v>
      </c>
      <c r="L146" s="142" t="s">
        <v>161</v>
      </c>
      <c r="M146" s="142" t="str">
        <f>VLOOKUP(L146,Packaging!$B$3:$C$21,2,0)</f>
        <v>360 X 270 X 128</v>
      </c>
      <c r="N146" s="10"/>
      <c r="O146" s="11">
        <v>1</v>
      </c>
      <c r="P146" s="11" t="s">
        <v>55</v>
      </c>
    </row>
    <row r="147" s="55" customFormat="1" customHeight="1" spans="1:16">
      <c r="A147" s="7" t="s">
        <v>497</v>
      </c>
      <c r="B147" s="8" t="s">
        <v>498</v>
      </c>
      <c r="C147" s="12" t="s">
        <v>499</v>
      </c>
      <c r="D147" s="10" t="s">
        <v>52</v>
      </c>
      <c r="E147" s="18">
        <v>200</v>
      </c>
      <c r="F147" s="19"/>
      <c r="G147" s="20">
        <f t="shared" si="5"/>
        <v>91</v>
      </c>
      <c r="H147" s="142" t="s">
        <v>53</v>
      </c>
      <c r="I147" s="27">
        <v>278</v>
      </c>
      <c r="J147" s="28">
        <v>72</v>
      </c>
      <c r="K147" s="29">
        <f t="shared" si="4"/>
        <v>14.678</v>
      </c>
      <c r="L147" s="142" t="s">
        <v>161</v>
      </c>
      <c r="M147" s="142" t="str">
        <f>VLOOKUP(L147,Packaging!$B$3:$C$21,2,0)</f>
        <v>360 X 270 X 128</v>
      </c>
      <c r="N147" s="10"/>
      <c r="O147" s="11">
        <v>10</v>
      </c>
      <c r="P147" s="11" t="s">
        <v>55</v>
      </c>
    </row>
    <row r="148" s="55" customFormat="1" customHeight="1" spans="1:16">
      <c r="A148" s="7" t="s">
        <v>500</v>
      </c>
      <c r="B148" s="8" t="s">
        <v>501</v>
      </c>
      <c r="C148" s="12" t="s">
        <v>502</v>
      </c>
      <c r="D148" s="10" t="s">
        <v>52</v>
      </c>
      <c r="E148" s="18">
        <v>750</v>
      </c>
      <c r="F148" s="19"/>
      <c r="G148" s="20">
        <f t="shared" si="5"/>
        <v>91</v>
      </c>
      <c r="H148" s="142" t="s">
        <v>53</v>
      </c>
      <c r="I148" s="27">
        <v>280</v>
      </c>
      <c r="J148" s="28">
        <v>11.2</v>
      </c>
      <c r="K148" s="29">
        <f t="shared" si="4"/>
        <v>8.68</v>
      </c>
      <c r="L148" s="142" t="s">
        <v>54</v>
      </c>
      <c r="M148" s="142" t="str">
        <f>VLOOKUP(L148,Packaging!$B$3:$C$21,2,0)</f>
        <v>290 X 200 X 140</v>
      </c>
      <c r="N148" s="10"/>
      <c r="O148" s="11">
        <v>50</v>
      </c>
      <c r="P148" s="11" t="s">
        <v>55</v>
      </c>
    </row>
    <row r="149" s="55" customFormat="1" customHeight="1" spans="1:16">
      <c r="A149" s="7" t="s">
        <v>503</v>
      </c>
      <c r="B149" s="8" t="s">
        <v>504</v>
      </c>
      <c r="C149" s="12" t="s">
        <v>505</v>
      </c>
      <c r="D149" s="10" t="s">
        <v>52</v>
      </c>
      <c r="E149" s="18">
        <v>800</v>
      </c>
      <c r="F149" s="19"/>
      <c r="G149" s="20">
        <f t="shared" si="5"/>
        <v>91</v>
      </c>
      <c r="H149" s="142" t="s">
        <v>53</v>
      </c>
      <c r="I149" s="27">
        <v>280</v>
      </c>
      <c r="J149" s="28">
        <v>10.8</v>
      </c>
      <c r="K149" s="29">
        <f t="shared" si="4"/>
        <v>8.92</v>
      </c>
      <c r="L149" s="142" t="s">
        <v>54</v>
      </c>
      <c r="M149" s="142" t="str">
        <f>VLOOKUP(L149,Packaging!$B$3:$C$21,2,0)</f>
        <v>290 X 200 X 140</v>
      </c>
      <c r="N149" s="10"/>
      <c r="O149" s="11">
        <v>100</v>
      </c>
      <c r="P149" s="11" t="s">
        <v>55</v>
      </c>
    </row>
    <row r="150" s="55" customFormat="1" customHeight="1" spans="1:16">
      <c r="A150" s="7" t="s">
        <v>506</v>
      </c>
      <c r="B150" s="8" t="s">
        <v>507</v>
      </c>
      <c r="C150" s="12" t="s">
        <v>508</v>
      </c>
      <c r="D150" s="10" t="s">
        <v>52</v>
      </c>
      <c r="E150" s="18">
        <v>400</v>
      </c>
      <c r="F150" s="19"/>
      <c r="G150" s="20">
        <f t="shared" si="5"/>
        <v>91</v>
      </c>
      <c r="H150" s="142" t="s">
        <v>53</v>
      </c>
      <c r="I150" s="27">
        <v>280</v>
      </c>
      <c r="J150" s="28">
        <v>28.6</v>
      </c>
      <c r="K150" s="29">
        <f t="shared" si="4"/>
        <v>11.72</v>
      </c>
      <c r="L150" s="142" t="s">
        <v>54</v>
      </c>
      <c r="M150" s="142" t="str">
        <f>VLOOKUP(L150,Packaging!$B$3:$C$21,2,0)</f>
        <v>290 X 200 X 140</v>
      </c>
      <c r="N150" s="10"/>
      <c r="O150" s="11">
        <v>50</v>
      </c>
      <c r="P150" s="11" t="s">
        <v>55</v>
      </c>
    </row>
    <row r="151" s="55" customFormat="1" customHeight="1" spans="1:16">
      <c r="A151" s="7" t="s">
        <v>509</v>
      </c>
      <c r="B151" s="8" t="s">
        <v>510</v>
      </c>
      <c r="C151" s="12" t="s">
        <v>511</v>
      </c>
      <c r="D151" s="10" t="s">
        <v>52</v>
      </c>
      <c r="E151" s="18">
        <v>60</v>
      </c>
      <c r="F151" s="19"/>
      <c r="G151" s="20">
        <f t="shared" si="5"/>
        <v>91</v>
      </c>
      <c r="H151" s="142" t="s">
        <v>53</v>
      </c>
      <c r="I151" s="27">
        <v>280</v>
      </c>
      <c r="J151" s="28">
        <v>261.4</v>
      </c>
      <c r="K151" s="29">
        <f t="shared" si="4"/>
        <v>15.964</v>
      </c>
      <c r="L151" s="142" t="s">
        <v>54</v>
      </c>
      <c r="M151" s="142" t="str">
        <f>VLOOKUP(L151,Packaging!$B$3:$C$21,2,0)</f>
        <v>290 X 200 X 140</v>
      </c>
      <c r="N151" s="10"/>
      <c r="O151" s="11">
        <v>1</v>
      </c>
      <c r="P151" s="11" t="s">
        <v>55</v>
      </c>
    </row>
    <row r="152" s="55" customFormat="1" customHeight="1" spans="1:16">
      <c r="A152" s="7" t="s">
        <v>512</v>
      </c>
      <c r="B152" s="8" t="s">
        <v>513</v>
      </c>
      <c r="C152" s="12" t="s">
        <v>514</v>
      </c>
      <c r="D152" s="10" t="s">
        <v>52</v>
      </c>
      <c r="E152" s="18">
        <v>22</v>
      </c>
      <c r="F152" s="19"/>
      <c r="G152" s="20">
        <f t="shared" si="5"/>
        <v>91</v>
      </c>
      <c r="H152" s="142" t="s">
        <v>53</v>
      </c>
      <c r="I152" s="27">
        <v>430</v>
      </c>
      <c r="J152" s="28">
        <v>700.8</v>
      </c>
      <c r="K152" s="29">
        <f t="shared" si="4"/>
        <v>15.8476</v>
      </c>
      <c r="L152" s="142" t="s">
        <v>83</v>
      </c>
      <c r="M152" s="142" t="str">
        <f>VLOOKUP(L152,Packaging!$B$3:$C$21,2,0)</f>
        <v>560 X 175 X 155</v>
      </c>
      <c r="N152" s="10"/>
      <c r="O152" s="11">
        <v>1</v>
      </c>
      <c r="P152" s="11" t="s">
        <v>55</v>
      </c>
    </row>
    <row r="153" s="55" customFormat="1" customHeight="1" spans="1:16">
      <c r="A153" s="7" t="s">
        <v>515</v>
      </c>
      <c r="B153" s="8" t="s">
        <v>516</v>
      </c>
      <c r="C153" s="12" t="s">
        <v>517</v>
      </c>
      <c r="D153" s="10" t="s">
        <v>52</v>
      </c>
      <c r="E153" s="18">
        <v>16</v>
      </c>
      <c r="F153" s="19"/>
      <c r="G153" s="20">
        <f t="shared" si="5"/>
        <v>91</v>
      </c>
      <c r="H153" s="142" t="s">
        <v>53</v>
      </c>
      <c r="I153" s="27">
        <v>430</v>
      </c>
      <c r="J153" s="28">
        <v>896.4</v>
      </c>
      <c r="K153" s="29">
        <f t="shared" si="4"/>
        <v>14.7724</v>
      </c>
      <c r="L153" s="142" t="s">
        <v>83</v>
      </c>
      <c r="M153" s="142" t="str">
        <f>VLOOKUP(L153,Packaging!$B$3:$C$21,2,0)</f>
        <v>560 X 175 X 155</v>
      </c>
      <c r="N153" s="10"/>
      <c r="O153" s="11">
        <v>1</v>
      </c>
      <c r="P153" s="11" t="s">
        <v>55</v>
      </c>
    </row>
    <row r="154" s="55" customFormat="1" customHeight="1" spans="1:16">
      <c r="A154" s="7" t="s">
        <v>518</v>
      </c>
      <c r="B154" s="8" t="s">
        <v>519</v>
      </c>
      <c r="C154" s="12" t="s">
        <v>520</v>
      </c>
      <c r="D154" s="10" t="s">
        <v>52</v>
      </c>
      <c r="E154" s="18">
        <v>22</v>
      </c>
      <c r="F154" s="19"/>
      <c r="G154" s="20">
        <f t="shared" si="5"/>
        <v>91</v>
      </c>
      <c r="H154" s="142" t="s">
        <v>53</v>
      </c>
      <c r="I154" s="27">
        <v>430</v>
      </c>
      <c r="J154" s="28">
        <v>450</v>
      </c>
      <c r="K154" s="29">
        <f t="shared" si="4"/>
        <v>10.33</v>
      </c>
      <c r="L154" s="142" t="s">
        <v>83</v>
      </c>
      <c r="M154" s="142" t="str">
        <f>VLOOKUP(L154,Packaging!$B$3:$C$21,2,0)</f>
        <v>560 X 175 X 155</v>
      </c>
      <c r="N154" s="10"/>
      <c r="O154" s="11">
        <v>1</v>
      </c>
      <c r="P154" s="11" t="s">
        <v>55</v>
      </c>
    </row>
    <row r="155" s="55" customFormat="1" customHeight="1" spans="1:16">
      <c r="A155" s="7" t="s">
        <v>521</v>
      </c>
      <c r="B155" s="8" t="s">
        <v>522</v>
      </c>
      <c r="C155" s="12" t="s">
        <v>523</v>
      </c>
      <c r="D155" s="10" t="s">
        <v>52</v>
      </c>
      <c r="E155" s="18">
        <v>250</v>
      </c>
      <c r="F155" s="19"/>
      <c r="G155" s="20">
        <f t="shared" si="5"/>
        <v>91</v>
      </c>
      <c r="H155" s="142" t="s">
        <v>53</v>
      </c>
      <c r="I155" s="27">
        <v>280</v>
      </c>
      <c r="J155" s="28">
        <v>34.6</v>
      </c>
      <c r="K155" s="29">
        <f t="shared" si="4"/>
        <v>8.93</v>
      </c>
      <c r="L155" s="142" t="s">
        <v>54</v>
      </c>
      <c r="M155" s="142" t="str">
        <f>VLOOKUP(L155,Packaging!$B$3:$C$21,2,0)</f>
        <v>290 X 200 X 140</v>
      </c>
      <c r="N155" s="10"/>
      <c r="O155" s="11">
        <v>5</v>
      </c>
      <c r="P155" s="11" t="s">
        <v>55</v>
      </c>
    </row>
    <row r="156" s="55" customFormat="1" customHeight="1" spans="1:16">
      <c r="A156" s="7" t="s">
        <v>524</v>
      </c>
      <c r="B156" s="8" t="s">
        <v>525</v>
      </c>
      <c r="C156" s="12" t="s">
        <v>526</v>
      </c>
      <c r="D156" s="10" t="s">
        <v>52</v>
      </c>
      <c r="E156" s="18">
        <v>80</v>
      </c>
      <c r="F156" s="19"/>
      <c r="G156" s="20">
        <f t="shared" si="5"/>
        <v>91</v>
      </c>
      <c r="H156" s="142" t="s">
        <v>53</v>
      </c>
      <c r="I156" s="27">
        <v>278</v>
      </c>
      <c r="J156" s="28">
        <v>45</v>
      </c>
      <c r="K156" s="29">
        <f t="shared" si="4"/>
        <v>3.878</v>
      </c>
      <c r="L156" s="142" t="s">
        <v>161</v>
      </c>
      <c r="M156" s="142" t="str">
        <f>VLOOKUP(L156,Packaging!$B$3:$C$21,2,0)</f>
        <v>360 X 270 X 128</v>
      </c>
      <c r="N156" s="10"/>
      <c r="O156" s="11">
        <v>8</v>
      </c>
      <c r="P156" s="11" t="s">
        <v>55</v>
      </c>
    </row>
    <row r="157" s="55" customFormat="1" customHeight="1" spans="1:16">
      <c r="A157" s="7" t="s">
        <v>527</v>
      </c>
      <c r="B157" s="8" t="s">
        <v>528</v>
      </c>
      <c r="C157" s="12" t="s">
        <v>529</v>
      </c>
      <c r="D157" s="10" t="s">
        <v>52</v>
      </c>
      <c r="E157" s="18">
        <v>200</v>
      </c>
      <c r="F157" s="19"/>
      <c r="G157" s="20">
        <f t="shared" si="5"/>
        <v>91</v>
      </c>
      <c r="H157" s="142" t="s">
        <v>53</v>
      </c>
      <c r="I157" s="27">
        <v>378</v>
      </c>
      <c r="J157" s="28">
        <v>50</v>
      </c>
      <c r="K157" s="29">
        <f t="shared" si="4"/>
        <v>10.378</v>
      </c>
      <c r="L157" s="142" t="s">
        <v>91</v>
      </c>
      <c r="M157" s="142" t="str">
        <f>VLOOKUP(L157,Packaging!$B$3:$C$21,2,0)</f>
        <v>400 X 240 X 130</v>
      </c>
      <c r="N157" s="10"/>
      <c r="O157" s="11">
        <v>5</v>
      </c>
      <c r="P157" s="11" t="s">
        <v>55</v>
      </c>
    </row>
    <row r="158" s="55" customFormat="1" customHeight="1" spans="1:16">
      <c r="A158" s="7" t="s">
        <v>530</v>
      </c>
      <c r="B158" s="8" t="s">
        <v>531</v>
      </c>
      <c r="C158" s="12" t="s">
        <v>532</v>
      </c>
      <c r="D158" s="10" t="s">
        <v>52</v>
      </c>
      <c r="E158" s="18">
        <v>70</v>
      </c>
      <c r="F158" s="19"/>
      <c r="G158" s="20">
        <f t="shared" si="5"/>
        <v>91</v>
      </c>
      <c r="H158" s="142" t="s">
        <v>53</v>
      </c>
      <c r="I158" s="27">
        <v>280</v>
      </c>
      <c r="J158" s="28">
        <v>178.2</v>
      </c>
      <c r="K158" s="29">
        <f t="shared" si="4"/>
        <v>12.754</v>
      </c>
      <c r="L158" s="142" t="s">
        <v>54</v>
      </c>
      <c r="M158" s="142" t="str">
        <f>VLOOKUP(L158,Packaging!$B$3:$C$21,2,0)</f>
        <v>290 X 200 X 140</v>
      </c>
      <c r="N158" s="10"/>
      <c r="O158" s="11">
        <v>1</v>
      </c>
      <c r="P158" s="11" t="s">
        <v>55</v>
      </c>
    </row>
    <row r="159" s="55" customFormat="1" customHeight="1" spans="1:16">
      <c r="A159" s="7" t="s">
        <v>533</v>
      </c>
      <c r="B159" s="8" t="s">
        <v>534</v>
      </c>
      <c r="C159" s="12" t="s">
        <v>535</v>
      </c>
      <c r="D159" s="10" t="s">
        <v>52</v>
      </c>
      <c r="E159" s="18">
        <v>24</v>
      </c>
      <c r="F159" s="19"/>
      <c r="G159" s="20">
        <f t="shared" si="5"/>
        <v>91</v>
      </c>
      <c r="H159" s="142" t="s">
        <v>53</v>
      </c>
      <c r="I159" s="27">
        <v>278</v>
      </c>
      <c r="J159" s="28">
        <v>90</v>
      </c>
      <c r="K159" s="29">
        <f t="shared" si="4"/>
        <v>2.438</v>
      </c>
      <c r="L159" s="142" t="s">
        <v>161</v>
      </c>
      <c r="M159" s="142" t="str">
        <f>VLOOKUP(L159,Packaging!$B$3:$C$21,2,0)</f>
        <v>360 X 270 X 128</v>
      </c>
      <c r="N159" s="10"/>
      <c r="O159" s="11">
        <v>1</v>
      </c>
      <c r="P159" s="11" t="s">
        <v>55</v>
      </c>
    </row>
    <row r="160" s="55" customFormat="1" customHeight="1" spans="1:16">
      <c r="A160" s="7" t="s">
        <v>536</v>
      </c>
      <c r="B160" s="8" t="s">
        <v>537</v>
      </c>
      <c r="C160" s="12" t="s">
        <v>538</v>
      </c>
      <c r="D160" s="10" t="s">
        <v>52</v>
      </c>
      <c r="E160" s="18">
        <v>44</v>
      </c>
      <c r="F160" s="19"/>
      <c r="G160" s="20">
        <f t="shared" si="5"/>
        <v>91</v>
      </c>
      <c r="H160" s="142" t="s">
        <v>53</v>
      </c>
      <c r="I160" s="27">
        <v>378</v>
      </c>
      <c r="J160" s="28">
        <v>129.6</v>
      </c>
      <c r="K160" s="29">
        <f t="shared" si="4"/>
        <v>6.0804</v>
      </c>
      <c r="L160" s="142" t="s">
        <v>91</v>
      </c>
      <c r="M160" s="142" t="str">
        <f>VLOOKUP(L160,Packaging!$B$3:$C$21,2,0)</f>
        <v>400 X 240 X 130</v>
      </c>
      <c r="N160" s="10"/>
      <c r="O160" s="11">
        <v>4</v>
      </c>
      <c r="P160" s="11" t="s">
        <v>55</v>
      </c>
    </row>
    <row r="161" s="55" customFormat="1" customHeight="1" spans="1:16">
      <c r="A161" s="7" t="s">
        <v>539</v>
      </c>
      <c r="B161" s="8" t="s">
        <v>540</v>
      </c>
      <c r="C161" s="12" t="s">
        <v>541</v>
      </c>
      <c r="D161" s="10" t="s">
        <v>52</v>
      </c>
      <c r="E161" s="18">
        <v>200</v>
      </c>
      <c r="F161" s="19"/>
      <c r="G161" s="20">
        <f t="shared" si="5"/>
        <v>91</v>
      </c>
      <c r="H161" s="142" t="s">
        <v>53</v>
      </c>
      <c r="I161" s="27">
        <v>280</v>
      </c>
      <c r="J161" s="28">
        <v>20.4</v>
      </c>
      <c r="K161" s="29">
        <f t="shared" si="4"/>
        <v>4.36</v>
      </c>
      <c r="L161" s="142" t="s">
        <v>54</v>
      </c>
      <c r="M161" s="142" t="str">
        <f>VLOOKUP(L161,Packaging!$B$3:$C$21,2,0)</f>
        <v>290 X 200 X 140</v>
      </c>
      <c r="N161" s="10"/>
      <c r="O161" s="11">
        <v>10</v>
      </c>
      <c r="P161" s="11" t="s">
        <v>55</v>
      </c>
    </row>
    <row r="162" s="55" customFormat="1" customHeight="1" spans="1:16">
      <c r="A162" s="7" t="s">
        <v>542</v>
      </c>
      <c r="B162" s="8" t="s">
        <v>543</v>
      </c>
      <c r="C162" s="12" t="s">
        <v>544</v>
      </c>
      <c r="D162" s="10" t="s">
        <v>52</v>
      </c>
      <c r="E162" s="18">
        <v>40</v>
      </c>
      <c r="F162" s="19"/>
      <c r="G162" s="20">
        <f t="shared" si="5"/>
        <v>91</v>
      </c>
      <c r="H162" s="142" t="s">
        <v>53</v>
      </c>
      <c r="I162" s="27">
        <v>378</v>
      </c>
      <c r="J162" s="28">
        <v>253.2</v>
      </c>
      <c r="K162" s="29">
        <f t="shared" si="4"/>
        <v>10.506</v>
      </c>
      <c r="L162" s="142" t="s">
        <v>91</v>
      </c>
      <c r="M162" s="142" t="str">
        <f>VLOOKUP(L162,Packaging!$B$3:$C$21,2,0)</f>
        <v>400 X 240 X 130</v>
      </c>
      <c r="N162" s="10"/>
      <c r="O162" s="11">
        <v>4</v>
      </c>
      <c r="P162" s="11" t="s">
        <v>55</v>
      </c>
    </row>
    <row r="163" s="55" customFormat="1" customHeight="1" spans="1:16">
      <c r="A163" s="7" t="s">
        <v>545</v>
      </c>
      <c r="B163" s="10" t="s">
        <v>546</v>
      </c>
      <c r="C163" s="12" t="s">
        <v>547</v>
      </c>
      <c r="D163" s="10" t="s">
        <v>52</v>
      </c>
      <c r="E163" s="18">
        <v>140</v>
      </c>
      <c r="F163" s="19"/>
      <c r="G163" s="20">
        <f t="shared" si="5"/>
        <v>91</v>
      </c>
      <c r="H163" s="142" t="s">
        <v>53</v>
      </c>
      <c r="I163" s="27">
        <v>280</v>
      </c>
      <c r="J163" s="28">
        <v>18.2</v>
      </c>
      <c r="K163" s="29">
        <f t="shared" si="4"/>
        <v>2.828</v>
      </c>
      <c r="L163" s="142" t="s">
        <v>54</v>
      </c>
      <c r="M163" s="142" t="str">
        <f>VLOOKUP(L163,Packaging!$B$3:$C$21,2,0)</f>
        <v>290 X 200 X 140</v>
      </c>
      <c r="N163" s="10"/>
      <c r="O163" s="11">
        <v>2</v>
      </c>
      <c r="P163" s="11" t="s">
        <v>55</v>
      </c>
    </row>
    <row r="164" s="55" customFormat="1" customHeight="1" spans="1:16">
      <c r="A164" s="7" t="s">
        <v>548</v>
      </c>
      <c r="B164" s="10" t="s">
        <v>549</v>
      </c>
      <c r="C164" s="12" t="s">
        <v>550</v>
      </c>
      <c r="D164" s="10" t="s">
        <v>52</v>
      </c>
      <c r="E164" s="18">
        <v>140</v>
      </c>
      <c r="F164" s="19"/>
      <c r="G164" s="20">
        <f t="shared" si="5"/>
        <v>91</v>
      </c>
      <c r="H164" s="142" t="s">
        <v>53</v>
      </c>
      <c r="I164" s="27">
        <v>280</v>
      </c>
      <c r="J164" s="28">
        <v>18</v>
      </c>
      <c r="K164" s="29">
        <f t="shared" si="4"/>
        <v>2.8</v>
      </c>
      <c r="L164" s="142" t="s">
        <v>54</v>
      </c>
      <c r="M164" s="142" t="str">
        <f>VLOOKUP(L164,Packaging!$B$3:$C$21,2,0)</f>
        <v>290 X 200 X 140</v>
      </c>
      <c r="N164" s="10"/>
      <c r="O164" s="11">
        <v>2</v>
      </c>
      <c r="P164" s="11" t="s">
        <v>55</v>
      </c>
    </row>
    <row r="165" s="55" customFormat="1" customHeight="1" spans="1:16">
      <c r="A165" s="7" t="s">
        <v>551</v>
      </c>
      <c r="B165" s="8" t="s">
        <v>552</v>
      </c>
      <c r="C165" s="12" t="s">
        <v>553</v>
      </c>
      <c r="D165" s="10" t="s">
        <v>52</v>
      </c>
      <c r="E165" s="18">
        <v>36</v>
      </c>
      <c r="F165" s="19"/>
      <c r="G165" s="20">
        <f t="shared" si="5"/>
        <v>91</v>
      </c>
      <c r="H165" s="142" t="s">
        <v>53</v>
      </c>
      <c r="I165" s="27">
        <v>280</v>
      </c>
      <c r="J165" s="28">
        <v>267.6</v>
      </c>
      <c r="K165" s="29">
        <f t="shared" si="4"/>
        <v>9.9136</v>
      </c>
      <c r="L165" s="142" t="s">
        <v>54</v>
      </c>
      <c r="M165" s="142" t="str">
        <f>VLOOKUP(L165,Packaging!$B$3:$C$21,2,0)</f>
        <v>290 X 200 X 140</v>
      </c>
      <c r="N165" s="10"/>
      <c r="O165" s="11">
        <v>2</v>
      </c>
      <c r="P165" s="11" t="s">
        <v>55</v>
      </c>
    </row>
    <row r="166" s="55" customFormat="1" customHeight="1" spans="1:16">
      <c r="A166" s="7" t="s">
        <v>554</v>
      </c>
      <c r="B166" s="8" t="s">
        <v>555</v>
      </c>
      <c r="C166" s="12" t="s">
        <v>556</v>
      </c>
      <c r="D166" s="10" t="s">
        <v>52</v>
      </c>
      <c r="E166" s="18">
        <v>36</v>
      </c>
      <c r="F166" s="19"/>
      <c r="G166" s="20">
        <f t="shared" si="5"/>
        <v>91</v>
      </c>
      <c r="H166" s="142" t="s">
        <v>53</v>
      </c>
      <c r="I166" s="27">
        <v>280</v>
      </c>
      <c r="J166" s="28">
        <v>267.6</v>
      </c>
      <c r="K166" s="29">
        <f t="shared" si="4"/>
        <v>9.9136</v>
      </c>
      <c r="L166" s="142" t="s">
        <v>54</v>
      </c>
      <c r="M166" s="142" t="str">
        <f>VLOOKUP(L166,Packaging!$B$3:$C$21,2,0)</f>
        <v>290 X 200 X 140</v>
      </c>
      <c r="N166" s="10"/>
      <c r="O166" s="11">
        <v>2</v>
      </c>
      <c r="P166" s="11" t="s">
        <v>55</v>
      </c>
    </row>
    <row r="167" s="55" customFormat="1" customHeight="1" spans="1:16">
      <c r="A167" s="7" t="s">
        <v>557</v>
      </c>
      <c r="B167" s="8" t="s">
        <v>558</v>
      </c>
      <c r="C167" s="12" t="s">
        <v>559</v>
      </c>
      <c r="D167" s="10" t="s">
        <v>52</v>
      </c>
      <c r="E167" s="18">
        <v>180</v>
      </c>
      <c r="F167" s="19"/>
      <c r="G167" s="20">
        <f t="shared" si="5"/>
        <v>91</v>
      </c>
      <c r="H167" s="142" t="s">
        <v>53</v>
      </c>
      <c r="I167" s="27">
        <v>280</v>
      </c>
      <c r="J167" s="28">
        <v>31.8</v>
      </c>
      <c r="K167" s="29">
        <f t="shared" si="4"/>
        <v>6.004</v>
      </c>
      <c r="L167" s="142" t="s">
        <v>54</v>
      </c>
      <c r="M167" s="142" t="str">
        <f>VLOOKUP(L167,Packaging!$B$3:$C$21,2,0)</f>
        <v>290 X 200 X 140</v>
      </c>
      <c r="N167" s="10"/>
      <c r="O167" s="11">
        <v>30</v>
      </c>
      <c r="P167" s="11" t="s">
        <v>55</v>
      </c>
    </row>
    <row r="168" s="55" customFormat="1" customHeight="1" spans="1:16">
      <c r="A168" s="7" t="s">
        <v>560</v>
      </c>
      <c r="B168" s="8" t="s">
        <v>561</v>
      </c>
      <c r="C168" s="12" t="s">
        <v>562</v>
      </c>
      <c r="D168" s="10" t="s">
        <v>52</v>
      </c>
      <c r="E168" s="18">
        <v>800</v>
      </c>
      <c r="F168" s="19"/>
      <c r="G168" s="20">
        <f t="shared" si="5"/>
        <v>91</v>
      </c>
      <c r="H168" s="142" t="s">
        <v>53</v>
      </c>
      <c r="I168" s="27">
        <v>280</v>
      </c>
      <c r="J168" s="28">
        <v>11.8</v>
      </c>
      <c r="K168" s="29">
        <f t="shared" si="4"/>
        <v>9.72</v>
      </c>
      <c r="L168" s="142" t="s">
        <v>54</v>
      </c>
      <c r="M168" s="142" t="str">
        <f>VLOOKUP(L168,Packaging!$B$3:$C$21,2,0)</f>
        <v>290 X 200 X 140</v>
      </c>
      <c r="N168" s="10"/>
      <c r="O168" s="11">
        <v>100</v>
      </c>
      <c r="P168" s="11" t="s">
        <v>55</v>
      </c>
    </row>
    <row r="169" s="57" customFormat="1" customHeight="1" spans="1:16">
      <c r="A169" s="7" t="s">
        <v>563</v>
      </c>
      <c r="B169" s="8" t="s">
        <v>564</v>
      </c>
      <c r="C169" s="12" t="s">
        <v>565</v>
      </c>
      <c r="D169" s="10" t="s">
        <v>52</v>
      </c>
      <c r="E169" s="18">
        <v>5</v>
      </c>
      <c r="F169" s="19"/>
      <c r="G169" s="20">
        <f t="shared" si="5"/>
        <v>91</v>
      </c>
      <c r="H169" s="142" t="s">
        <v>53</v>
      </c>
      <c r="I169" s="27">
        <v>1216</v>
      </c>
      <c r="J169" s="28">
        <v>1642.2</v>
      </c>
      <c r="K169" s="29">
        <f t="shared" si="4"/>
        <v>9.427</v>
      </c>
      <c r="L169" s="142" t="s">
        <v>566</v>
      </c>
      <c r="M169" s="142" t="str">
        <f>VLOOKUP(L169,Packaging!$B$3:$C$21,2,0)</f>
        <v>455 X 445 X 375</v>
      </c>
      <c r="N169" s="10"/>
      <c r="O169" s="37">
        <v>1</v>
      </c>
      <c r="P169" s="11" t="s">
        <v>55</v>
      </c>
    </row>
    <row r="170" customHeight="1" spans="1:16">
      <c r="A170" s="7" t="s">
        <v>567</v>
      </c>
      <c r="B170" s="37">
        <v>926675</v>
      </c>
      <c r="C170" s="9" t="s">
        <v>568</v>
      </c>
      <c r="D170" s="11" t="s">
        <v>569</v>
      </c>
      <c r="E170" s="18">
        <v>1000</v>
      </c>
      <c r="F170" s="19"/>
      <c r="G170" s="20">
        <f t="shared" ref="G170:G229" si="6">F170+91</f>
        <v>91</v>
      </c>
      <c r="H170" s="11" t="s">
        <v>570</v>
      </c>
      <c r="I170" s="27">
        <v>280</v>
      </c>
      <c r="J170" s="28">
        <v>14.8</v>
      </c>
      <c r="K170" s="29">
        <f t="shared" si="4"/>
        <v>15.08</v>
      </c>
      <c r="L170" s="142" t="s">
        <v>54</v>
      </c>
      <c r="M170" s="142" t="str">
        <f>VLOOKUP(L170,Packaging!$B$3:$C$21,2,0)</f>
        <v>290 X 200 X 140</v>
      </c>
      <c r="N170" s="11"/>
      <c r="O170" s="11">
        <v>20</v>
      </c>
      <c r="P170" s="11" t="s">
        <v>55</v>
      </c>
    </row>
    <row r="171" customHeight="1" spans="1:16">
      <c r="A171" s="7" t="s">
        <v>571</v>
      </c>
      <c r="B171" s="37">
        <v>926680</v>
      </c>
      <c r="C171" s="9" t="s">
        <v>572</v>
      </c>
      <c r="D171" s="11" t="s">
        <v>569</v>
      </c>
      <c r="E171" s="18">
        <v>1000</v>
      </c>
      <c r="F171" s="19"/>
      <c r="G171" s="20">
        <f t="shared" si="6"/>
        <v>91</v>
      </c>
      <c r="H171" s="11" t="s">
        <v>570</v>
      </c>
      <c r="I171" s="27">
        <v>280</v>
      </c>
      <c r="J171" s="28">
        <v>14.8</v>
      </c>
      <c r="K171" s="29">
        <f t="shared" si="4"/>
        <v>15.08</v>
      </c>
      <c r="L171" s="142" t="s">
        <v>54</v>
      </c>
      <c r="M171" s="142" t="str">
        <f>VLOOKUP(L171,Packaging!$B$3:$C$21,2,0)</f>
        <v>290 X 200 X 140</v>
      </c>
      <c r="N171" s="11"/>
      <c r="O171" s="11">
        <v>20</v>
      </c>
      <c r="P171" s="11" t="s">
        <v>55</v>
      </c>
    </row>
    <row r="172" customHeight="1" spans="1:16">
      <c r="A172" s="7" t="s">
        <v>573</v>
      </c>
      <c r="B172" s="37">
        <v>940685</v>
      </c>
      <c r="C172" s="9" t="s">
        <v>574</v>
      </c>
      <c r="D172" s="11" t="s">
        <v>569</v>
      </c>
      <c r="E172" s="18">
        <v>1000</v>
      </c>
      <c r="F172" s="19"/>
      <c r="G172" s="20">
        <f t="shared" si="6"/>
        <v>91</v>
      </c>
      <c r="H172" s="11" t="s">
        <v>575</v>
      </c>
      <c r="I172" s="27">
        <v>280</v>
      </c>
      <c r="J172" s="28">
        <v>13.4</v>
      </c>
      <c r="K172" s="29">
        <f t="shared" si="4"/>
        <v>13.68</v>
      </c>
      <c r="L172" s="142" t="s">
        <v>54</v>
      </c>
      <c r="M172" s="142" t="str">
        <f>VLOOKUP(L172,Packaging!$B$3:$C$21,2,0)</f>
        <v>290 X 200 X 140</v>
      </c>
      <c r="N172" s="11"/>
      <c r="O172" s="11">
        <v>200</v>
      </c>
      <c r="P172" s="11" t="s">
        <v>55</v>
      </c>
    </row>
    <row r="173" customHeight="1" spans="1:16">
      <c r="A173" s="7" t="s">
        <v>576</v>
      </c>
      <c r="B173" s="37">
        <v>948914</v>
      </c>
      <c r="C173" s="9" t="s">
        <v>577</v>
      </c>
      <c r="D173" s="11" t="s">
        <v>569</v>
      </c>
      <c r="E173" s="18">
        <v>600</v>
      </c>
      <c r="F173" s="19"/>
      <c r="G173" s="20">
        <f t="shared" si="6"/>
        <v>91</v>
      </c>
      <c r="H173" s="11" t="s">
        <v>578</v>
      </c>
      <c r="I173" s="27">
        <v>280</v>
      </c>
      <c r="J173" s="28">
        <v>11.2</v>
      </c>
      <c r="K173" s="29">
        <f t="shared" si="4"/>
        <v>7</v>
      </c>
      <c r="L173" s="142" t="s">
        <v>54</v>
      </c>
      <c r="M173" s="142" t="str">
        <f>VLOOKUP(L173,Packaging!$B$3:$C$21,2,0)</f>
        <v>290 X 200 X 140</v>
      </c>
      <c r="N173" s="11"/>
      <c r="O173" s="11">
        <v>150</v>
      </c>
      <c r="P173" s="11" t="s">
        <v>55</v>
      </c>
    </row>
    <row r="174" customHeight="1" spans="1:16">
      <c r="A174" s="7" t="s">
        <v>579</v>
      </c>
      <c r="B174" s="11">
        <v>950261</v>
      </c>
      <c r="C174" s="9" t="s">
        <v>580</v>
      </c>
      <c r="D174" s="11" t="s">
        <v>569</v>
      </c>
      <c r="E174" s="18">
        <v>800</v>
      </c>
      <c r="F174" s="19"/>
      <c r="G174" s="20">
        <f t="shared" si="6"/>
        <v>91</v>
      </c>
      <c r="H174" s="11" t="s">
        <v>581</v>
      </c>
      <c r="I174" s="27">
        <v>280</v>
      </c>
      <c r="J174" s="28">
        <v>20</v>
      </c>
      <c r="K174" s="29">
        <f t="shared" si="4"/>
        <v>16.28</v>
      </c>
      <c r="L174" s="142" t="s">
        <v>54</v>
      </c>
      <c r="M174" s="142" t="str">
        <f>VLOOKUP(L174,Packaging!$B$3:$C$21,2,0)</f>
        <v>290 X 200 X 140</v>
      </c>
      <c r="N174" s="11"/>
      <c r="O174" s="11">
        <v>100</v>
      </c>
      <c r="P174" s="11" t="s">
        <v>55</v>
      </c>
    </row>
    <row r="175" customHeight="1" spans="1:16">
      <c r="A175" s="7" t="s">
        <v>582</v>
      </c>
      <c r="B175" s="11">
        <v>461077</v>
      </c>
      <c r="C175" s="9" t="s">
        <v>583</v>
      </c>
      <c r="D175" s="11" t="s">
        <v>569</v>
      </c>
      <c r="E175" s="18">
        <v>1000</v>
      </c>
      <c r="F175" s="19"/>
      <c r="G175" s="20">
        <f t="shared" si="6"/>
        <v>91</v>
      </c>
      <c r="H175" s="11" t="s">
        <v>53</v>
      </c>
      <c r="I175" s="27">
        <v>280</v>
      </c>
      <c r="J175" s="28">
        <v>4.8</v>
      </c>
      <c r="K175" s="29">
        <f t="shared" si="4"/>
        <v>5.08</v>
      </c>
      <c r="L175" s="142" t="s">
        <v>54</v>
      </c>
      <c r="M175" s="142" t="str">
        <f>VLOOKUP(L175,Packaging!$B$3:$C$21,2,0)</f>
        <v>290 X 200 X 140</v>
      </c>
      <c r="N175" s="11"/>
      <c r="O175" s="11">
        <v>250</v>
      </c>
      <c r="P175" s="11" t="s">
        <v>55</v>
      </c>
    </row>
    <row r="176" customHeight="1" spans="1:16">
      <c r="A176" s="7" t="s">
        <v>584</v>
      </c>
      <c r="B176" s="11">
        <v>949478</v>
      </c>
      <c r="C176" s="9" t="s">
        <v>585</v>
      </c>
      <c r="D176" s="11" t="s">
        <v>569</v>
      </c>
      <c r="E176" s="18">
        <v>1000</v>
      </c>
      <c r="F176" s="19"/>
      <c r="G176" s="20">
        <f t="shared" si="6"/>
        <v>91</v>
      </c>
      <c r="H176" s="39" t="s">
        <v>586</v>
      </c>
      <c r="I176" s="27"/>
      <c r="J176" s="28">
        <v>6.2</v>
      </c>
      <c r="K176" s="29">
        <f t="shared" ref="K176:K235" si="7">(I176+(J176*E176))/1000</f>
        <v>6.2</v>
      </c>
      <c r="L176" s="11"/>
      <c r="M176" s="21" t="e">
        <f>VLOOKUP(L176,Packaging!$B$3:$C$21,2,0)</f>
        <v>#N/A</v>
      </c>
      <c r="N176" s="11"/>
      <c r="O176" s="11"/>
      <c r="P176" s="11" t="s">
        <v>55</v>
      </c>
    </row>
    <row r="177" customHeight="1" spans="1:16">
      <c r="A177" s="7" t="s">
        <v>587</v>
      </c>
      <c r="B177" s="11">
        <v>947864</v>
      </c>
      <c r="C177" s="9" t="s">
        <v>580</v>
      </c>
      <c r="D177" s="11" t="s">
        <v>569</v>
      </c>
      <c r="E177" s="18">
        <v>540</v>
      </c>
      <c r="F177" s="19"/>
      <c r="G177" s="20">
        <f t="shared" si="6"/>
        <v>91</v>
      </c>
      <c r="H177" s="11" t="s">
        <v>588</v>
      </c>
      <c r="I177" s="27">
        <v>280</v>
      </c>
      <c r="J177" s="28">
        <v>42</v>
      </c>
      <c r="K177" s="29">
        <f t="shared" si="7"/>
        <v>22.96</v>
      </c>
      <c r="L177" s="142" t="s">
        <v>54</v>
      </c>
      <c r="M177" s="142" t="str">
        <f>VLOOKUP(L177,Packaging!$B$3:$C$21,2,0)</f>
        <v>290 X 200 X 140</v>
      </c>
      <c r="N177" s="11"/>
      <c r="O177" s="11">
        <v>20</v>
      </c>
      <c r="P177" s="11" t="s">
        <v>55</v>
      </c>
    </row>
    <row r="178" customHeight="1" spans="1:16">
      <c r="A178" s="7" t="s">
        <v>589</v>
      </c>
      <c r="B178" s="11">
        <v>944755</v>
      </c>
      <c r="C178" s="9" t="s">
        <v>590</v>
      </c>
      <c r="D178" s="11" t="s">
        <v>569</v>
      </c>
      <c r="E178" s="18">
        <v>1000</v>
      </c>
      <c r="F178" s="19"/>
      <c r="G178" s="20">
        <f t="shared" si="6"/>
        <v>91</v>
      </c>
      <c r="H178" s="11" t="s">
        <v>591</v>
      </c>
      <c r="I178" s="27">
        <v>280</v>
      </c>
      <c r="J178" s="28">
        <v>6.8</v>
      </c>
      <c r="K178" s="29">
        <f t="shared" si="7"/>
        <v>7.08</v>
      </c>
      <c r="L178" s="142" t="s">
        <v>54</v>
      </c>
      <c r="M178" s="142" t="str">
        <f>VLOOKUP(L178,Packaging!$B$3:$C$21,2,0)</f>
        <v>290 X 200 X 140</v>
      </c>
      <c r="N178" s="11"/>
      <c r="O178" s="11"/>
      <c r="P178" s="11" t="s">
        <v>55</v>
      </c>
    </row>
    <row r="179" customHeight="1" spans="1:16">
      <c r="A179" s="7" t="s">
        <v>592</v>
      </c>
      <c r="B179" s="38">
        <v>932975</v>
      </c>
      <c r="C179" s="9" t="s">
        <v>593</v>
      </c>
      <c r="D179" s="11" t="s">
        <v>569</v>
      </c>
      <c r="E179" s="18">
        <v>700</v>
      </c>
      <c r="F179" s="19"/>
      <c r="G179" s="20">
        <f t="shared" si="6"/>
        <v>91</v>
      </c>
      <c r="H179" s="11" t="s">
        <v>594</v>
      </c>
      <c r="I179" s="27">
        <v>280</v>
      </c>
      <c r="J179" s="28">
        <v>12.4</v>
      </c>
      <c r="K179" s="29">
        <f t="shared" si="7"/>
        <v>8.96</v>
      </c>
      <c r="L179" s="142" t="s">
        <v>54</v>
      </c>
      <c r="M179" s="142" t="str">
        <f>VLOOKUP(L179,Packaging!$B$3:$C$21,2,0)</f>
        <v>290 X 200 X 140</v>
      </c>
      <c r="N179" s="11"/>
      <c r="O179" s="11">
        <v>100</v>
      </c>
      <c r="P179" s="11" t="s">
        <v>55</v>
      </c>
    </row>
    <row r="180" customHeight="1" spans="1:16">
      <c r="A180" s="7" t="s">
        <v>595</v>
      </c>
      <c r="B180" s="11">
        <v>934155</v>
      </c>
      <c r="C180" s="9" t="s">
        <v>596</v>
      </c>
      <c r="D180" s="11" t="s">
        <v>569</v>
      </c>
      <c r="E180" s="18">
        <v>450</v>
      </c>
      <c r="F180" s="19"/>
      <c r="G180" s="20">
        <f t="shared" si="6"/>
        <v>91</v>
      </c>
      <c r="H180" s="11" t="s">
        <v>597</v>
      </c>
      <c r="I180" s="27">
        <v>278</v>
      </c>
      <c r="J180" s="28">
        <v>29.4</v>
      </c>
      <c r="K180" s="29">
        <f t="shared" si="7"/>
        <v>13.508</v>
      </c>
      <c r="L180" s="144" t="s">
        <v>161</v>
      </c>
      <c r="M180" s="142" t="str">
        <f>VLOOKUP(L180,Packaging!$B$3:$C$21,2,0)</f>
        <v>360 X 270 X 128</v>
      </c>
      <c r="N180" s="11"/>
      <c r="O180" s="11">
        <v>10</v>
      </c>
      <c r="P180" s="11" t="s">
        <v>55</v>
      </c>
    </row>
    <row r="181" customHeight="1" spans="1:16">
      <c r="A181" s="7" t="s">
        <v>598</v>
      </c>
      <c r="B181" s="11">
        <v>926820</v>
      </c>
      <c r="C181" s="9" t="s">
        <v>599</v>
      </c>
      <c r="D181" s="11" t="s">
        <v>569</v>
      </c>
      <c r="E181" s="18">
        <v>720</v>
      </c>
      <c r="F181" s="19"/>
      <c r="G181" s="20">
        <f t="shared" si="6"/>
        <v>91</v>
      </c>
      <c r="H181" s="11" t="s">
        <v>600</v>
      </c>
      <c r="I181" s="27">
        <v>278</v>
      </c>
      <c r="J181" s="28">
        <v>24.8</v>
      </c>
      <c r="K181" s="29">
        <f t="shared" si="7"/>
        <v>18.134</v>
      </c>
      <c r="L181" s="142" t="s">
        <v>274</v>
      </c>
      <c r="M181" s="142" t="str">
        <f>VLOOKUP(L181,Packaging!$B$3:$C$21,2,0)</f>
        <v>290 X 200 X 100</v>
      </c>
      <c r="N181" s="11"/>
      <c r="O181" s="11">
        <v>15</v>
      </c>
      <c r="P181" s="11" t="s">
        <v>55</v>
      </c>
    </row>
    <row r="182" customHeight="1" spans="1:16">
      <c r="A182" s="7" t="s">
        <v>601</v>
      </c>
      <c r="B182" s="11">
        <v>947929</v>
      </c>
      <c r="C182" s="9" t="s">
        <v>602</v>
      </c>
      <c r="D182" s="11" t="s">
        <v>569</v>
      </c>
      <c r="E182" s="18">
        <v>440</v>
      </c>
      <c r="F182" s="19"/>
      <c r="G182" s="20">
        <f t="shared" si="6"/>
        <v>91</v>
      </c>
      <c r="H182" s="11" t="s">
        <v>603</v>
      </c>
      <c r="I182" s="27">
        <v>280</v>
      </c>
      <c r="J182" s="28">
        <v>25.2</v>
      </c>
      <c r="K182" s="29">
        <f t="shared" si="7"/>
        <v>11.368</v>
      </c>
      <c r="L182" s="142" t="s">
        <v>54</v>
      </c>
      <c r="M182" s="142" t="str">
        <f>VLOOKUP(L182,Packaging!$B$3:$C$21,2,0)</f>
        <v>290 X 200 X 140</v>
      </c>
      <c r="N182" s="11"/>
      <c r="O182" s="11">
        <v>44</v>
      </c>
      <c r="P182" s="11" t="s">
        <v>55</v>
      </c>
    </row>
    <row r="183" customHeight="1" spans="1:16">
      <c r="A183" s="7" t="s">
        <v>604</v>
      </c>
      <c r="B183" s="11">
        <v>947930</v>
      </c>
      <c r="C183" s="9" t="s">
        <v>605</v>
      </c>
      <c r="D183" s="11" t="s">
        <v>569</v>
      </c>
      <c r="E183" s="18">
        <v>450</v>
      </c>
      <c r="F183" s="19"/>
      <c r="G183" s="20">
        <f t="shared" si="6"/>
        <v>91</v>
      </c>
      <c r="H183" s="11" t="s">
        <v>606</v>
      </c>
      <c r="I183" s="27">
        <v>280</v>
      </c>
      <c r="J183" s="28">
        <v>23</v>
      </c>
      <c r="K183" s="29">
        <f t="shared" si="7"/>
        <v>10.63</v>
      </c>
      <c r="L183" s="142" t="s">
        <v>54</v>
      </c>
      <c r="M183" s="142" t="str">
        <f>VLOOKUP(L183,Packaging!$B$3:$C$21,2,0)</f>
        <v>290 X 200 X 140</v>
      </c>
      <c r="N183" s="11"/>
      <c r="O183" s="11">
        <v>75</v>
      </c>
      <c r="P183" s="11" t="s">
        <v>55</v>
      </c>
    </row>
    <row r="184" customHeight="1" spans="1:16">
      <c r="A184" s="7" t="s">
        <v>607</v>
      </c>
      <c r="B184" s="11">
        <v>949667</v>
      </c>
      <c r="C184" s="9" t="s">
        <v>580</v>
      </c>
      <c r="D184" s="11" t="s">
        <v>569</v>
      </c>
      <c r="E184" s="18">
        <v>300</v>
      </c>
      <c r="F184" s="19"/>
      <c r="G184" s="20">
        <f t="shared" si="6"/>
        <v>91</v>
      </c>
      <c r="H184" s="11" t="s">
        <v>608</v>
      </c>
      <c r="I184" s="27">
        <v>280</v>
      </c>
      <c r="J184" s="28">
        <v>74</v>
      </c>
      <c r="K184" s="29">
        <f t="shared" si="7"/>
        <v>22.48</v>
      </c>
      <c r="L184" s="142" t="s">
        <v>54</v>
      </c>
      <c r="M184" s="142" t="str">
        <f>VLOOKUP(L184,Packaging!$B$3:$C$21,2,0)</f>
        <v>290 X 200 X 140</v>
      </c>
      <c r="N184" s="11"/>
      <c r="O184" s="11">
        <v>25</v>
      </c>
      <c r="P184" s="11" t="s">
        <v>55</v>
      </c>
    </row>
    <row r="185" customHeight="1" spans="1:16">
      <c r="A185" s="7" t="s">
        <v>609</v>
      </c>
      <c r="B185" s="11">
        <v>951103</v>
      </c>
      <c r="C185" s="9" t="s">
        <v>610</v>
      </c>
      <c r="D185" s="11" t="s">
        <v>569</v>
      </c>
      <c r="E185" s="18">
        <v>352</v>
      </c>
      <c r="F185" s="19"/>
      <c r="G185" s="20">
        <f t="shared" si="6"/>
        <v>91</v>
      </c>
      <c r="H185" s="11" t="s">
        <v>611</v>
      </c>
      <c r="I185" s="27">
        <v>280</v>
      </c>
      <c r="J185" s="28">
        <v>27.6</v>
      </c>
      <c r="K185" s="29">
        <f t="shared" si="7"/>
        <v>9.9952</v>
      </c>
      <c r="L185" s="142" t="s">
        <v>54</v>
      </c>
      <c r="M185" s="142" t="str">
        <f>VLOOKUP(L185,Packaging!$B$3:$C$21,2,0)</f>
        <v>290 X 200 X 140</v>
      </c>
      <c r="N185" s="11"/>
      <c r="O185" s="11">
        <v>44</v>
      </c>
      <c r="P185" s="11" t="s">
        <v>55</v>
      </c>
    </row>
    <row r="186" customHeight="1" spans="1:16">
      <c r="A186" s="7" t="s">
        <v>612</v>
      </c>
      <c r="B186" s="11">
        <v>951104</v>
      </c>
      <c r="C186" s="9" t="s">
        <v>613</v>
      </c>
      <c r="D186" s="11" t="s">
        <v>569</v>
      </c>
      <c r="E186" s="18">
        <v>450</v>
      </c>
      <c r="F186" s="19"/>
      <c r="G186" s="20">
        <f t="shared" si="6"/>
        <v>91</v>
      </c>
      <c r="H186" s="11" t="s">
        <v>614</v>
      </c>
      <c r="I186" s="27">
        <v>280</v>
      </c>
      <c r="J186" s="28">
        <v>25.4</v>
      </c>
      <c r="K186" s="29">
        <f t="shared" si="7"/>
        <v>11.71</v>
      </c>
      <c r="L186" s="142" t="s">
        <v>54</v>
      </c>
      <c r="M186" s="142" t="str">
        <f>VLOOKUP(L186,Packaging!$B$3:$C$21,2,0)</f>
        <v>290 X 200 X 140</v>
      </c>
      <c r="N186" s="11"/>
      <c r="O186" s="11"/>
      <c r="P186" s="11" t="s">
        <v>55</v>
      </c>
    </row>
    <row r="187" customHeight="1" spans="1:16">
      <c r="A187" s="7" t="s">
        <v>615</v>
      </c>
      <c r="B187" s="11">
        <v>953069</v>
      </c>
      <c r="C187" s="9" t="s">
        <v>616</v>
      </c>
      <c r="D187" s="11" t="s">
        <v>569</v>
      </c>
      <c r="E187" s="18">
        <v>100</v>
      </c>
      <c r="F187" s="19"/>
      <c r="G187" s="20">
        <f t="shared" si="6"/>
        <v>91</v>
      </c>
      <c r="H187" s="11" t="s">
        <v>617</v>
      </c>
      <c r="I187" s="27">
        <v>280</v>
      </c>
      <c r="J187" s="28">
        <v>131</v>
      </c>
      <c r="K187" s="29">
        <f t="shared" si="7"/>
        <v>13.38</v>
      </c>
      <c r="L187" s="142" t="s">
        <v>54</v>
      </c>
      <c r="M187" s="142" t="str">
        <f>VLOOKUP(L187,Packaging!$B$3:$C$21,2,0)</f>
        <v>290 X 200 X 140</v>
      </c>
      <c r="N187" s="11"/>
      <c r="O187" s="11">
        <v>5</v>
      </c>
      <c r="P187" s="11" t="s">
        <v>55</v>
      </c>
    </row>
    <row r="188" customHeight="1" spans="1:16">
      <c r="A188" s="7" t="s">
        <v>618</v>
      </c>
      <c r="B188" s="11">
        <v>937840</v>
      </c>
      <c r="C188" s="9" t="s">
        <v>619</v>
      </c>
      <c r="D188" s="11" t="s">
        <v>569</v>
      </c>
      <c r="E188" s="18">
        <v>450</v>
      </c>
      <c r="F188" s="19"/>
      <c r="G188" s="20">
        <f t="shared" si="6"/>
        <v>91</v>
      </c>
      <c r="H188" s="11" t="s">
        <v>620</v>
      </c>
      <c r="I188" s="27">
        <v>278</v>
      </c>
      <c r="J188" s="28">
        <v>32.6</v>
      </c>
      <c r="K188" s="29">
        <f t="shared" si="7"/>
        <v>14.948</v>
      </c>
      <c r="L188" s="144" t="s">
        <v>161</v>
      </c>
      <c r="M188" s="142" t="str">
        <f>VLOOKUP(L188,Packaging!$B$3:$C$21,2,0)</f>
        <v>360 X 270 X 128</v>
      </c>
      <c r="N188" s="11"/>
      <c r="O188" s="11">
        <v>10</v>
      </c>
      <c r="P188" s="11" t="s">
        <v>55</v>
      </c>
    </row>
    <row r="189" customHeight="1" spans="1:16">
      <c r="A189" s="7" t="s">
        <v>621</v>
      </c>
      <c r="B189" s="11">
        <v>951716</v>
      </c>
      <c r="C189" s="9" t="s">
        <v>622</v>
      </c>
      <c r="D189" s="11" t="s">
        <v>569</v>
      </c>
      <c r="E189" s="18">
        <v>20</v>
      </c>
      <c r="F189" s="19"/>
      <c r="G189" s="20">
        <f t="shared" si="6"/>
        <v>91</v>
      </c>
      <c r="H189" s="11" t="s">
        <v>623</v>
      </c>
      <c r="I189" s="27">
        <v>280</v>
      </c>
      <c r="J189" s="28">
        <v>208.8</v>
      </c>
      <c r="K189" s="29">
        <f t="shared" si="7"/>
        <v>4.456</v>
      </c>
      <c r="L189" s="142" t="s">
        <v>54</v>
      </c>
      <c r="M189" s="142" t="str">
        <f>VLOOKUP(L189,Packaging!$B$3:$C$21,2,0)</f>
        <v>290 X 200 X 140</v>
      </c>
      <c r="N189" s="11"/>
      <c r="O189" s="11">
        <v>2</v>
      </c>
      <c r="P189" s="11" t="s">
        <v>55</v>
      </c>
    </row>
    <row r="190" customHeight="1" spans="1:16">
      <c r="A190" s="7" t="s">
        <v>624</v>
      </c>
      <c r="B190" s="11">
        <v>951420</v>
      </c>
      <c r="C190" s="9" t="s">
        <v>625</v>
      </c>
      <c r="D190" s="11" t="s">
        <v>569</v>
      </c>
      <c r="E190" s="18">
        <v>1050</v>
      </c>
      <c r="F190" s="19"/>
      <c r="G190" s="20">
        <f t="shared" si="6"/>
        <v>91</v>
      </c>
      <c r="H190" s="11" t="s">
        <v>626</v>
      </c>
      <c r="I190" s="27">
        <v>280</v>
      </c>
      <c r="J190" s="28">
        <v>15</v>
      </c>
      <c r="K190" s="29">
        <f t="shared" si="7"/>
        <v>16.03</v>
      </c>
      <c r="L190" s="144" t="s">
        <v>54</v>
      </c>
      <c r="M190" s="142" t="str">
        <f>VLOOKUP(L190,Packaging!$B$3:$C$21,2,0)</f>
        <v>290 X 200 X 140</v>
      </c>
      <c r="N190" s="11"/>
      <c r="O190" s="11">
        <v>15</v>
      </c>
      <c r="P190" s="11" t="s">
        <v>55</v>
      </c>
    </row>
    <row r="191" customHeight="1" spans="1:16">
      <c r="A191" s="7" t="s">
        <v>627</v>
      </c>
      <c r="B191" s="11">
        <v>947833</v>
      </c>
      <c r="C191" s="9" t="s">
        <v>628</v>
      </c>
      <c r="D191" s="11" t="s">
        <v>569</v>
      </c>
      <c r="E191" s="18">
        <v>240</v>
      </c>
      <c r="F191" s="19"/>
      <c r="G191" s="20">
        <f t="shared" si="6"/>
        <v>91</v>
      </c>
      <c r="H191" s="11" t="s">
        <v>629</v>
      </c>
      <c r="I191" s="27">
        <v>280</v>
      </c>
      <c r="J191" s="28">
        <v>32.4</v>
      </c>
      <c r="K191" s="29">
        <f t="shared" si="7"/>
        <v>8.056</v>
      </c>
      <c r="L191" s="144" t="s">
        <v>54</v>
      </c>
      <c r="M191" s="142" t="str">
        <f>VLOOKUP(L191,Packaging!$B$3:$C$21,2,0)</f>
        <v>290 X 200 X 140</v>
      </c>
      <c r="N191" s="11"/>
      <c r="O191" s="11">
        <v>5</v>
      </c>
      <c r="P191" s="11" t="s">
        <v>55</v>
      </c>
    </row>
    <row r="192" customHeight="1" spans="1:16">
      <c r="A192" s="7" t="s">
        <v>630</v>
      </c>
      <c r="B192" s="11">
        <v>953712</v>
      </c>
      <c r="C192" s="9" t="s">
        <v>631</v>
      </c>
      <c r="D192" s="11" t="s">
        <v>569</v>
      </c>
      <c r="E192" s="18">
        <v>240</v>
      </c>
      <c r="F192" s="19"/>
      <c r="G192" s="20">
        <f t="shared" si="6"/>
        <v>91</v>
      </c>
      <c r="H192" s="11" t="s">
        <v>632</v>
      </c>
      <c r="I192" s="27">
        <v>280</v>
      </c>
      <c r="J192" s="28">
        <v>32</v>
      </c>
      <c r="K192" s="29">
        <f t="shared" si="7"/>
        <v>7.96</v>
      </c>
      <c r="L192" s="144" t="s">
        <v>54</v>
      </c>
      <c r="M192" s="142" t="str">
        <f>VLOOKUP(L192,Packaging!$B$3:$C$21,2,0)</f>
        <v>290 X 200 X 140</v>
      </c>
      <c r="N192" s="11"/>
      <c r="O192" s="11">
        <v>40</v>
      </c>
      <c r="P192" s="11" t="s">
        <v>55</v>
      </c>
    </row>
    <row r="193" customHeight="1" spans="1:16">
      <c r="A193" s="7" t="s">
        <v>633</v>
      </c>
      <c r="B193" s="11">
        <v>953649</v>
      </c>
      <c r="C193" s="9" t="s">
        <v>634</v>
      </c>
      <c r="D193" s="11" t="s">
        <v>569</v>
      </c>
      <c r="E193" s="18">
        <v>600</v>
      </c>
      <c r="F193" s="19"/>
      <c r="G193" s="20">
        <f t="shared" si="6"/>
        <v>91</v>
      </c>
      <c r="H193" s="11" t="s">
        <v>635</v>
      </c>
      <c r="I193" s="27"/>
      <c r="J193" s="28">
        <v>17.4</v>
      </c>
      <c r="K193" s="29">
        <f t="shared" si="7"/>
        <v>10.44</v>
      </c>
      <c r="L193" s="144" t="s">
        <v>54</v>
      </c>
      <c r="M193" s="142" t="str">
        <f>VLOOKUP(L193,Packaging!$B$3:$C$21,2,0)</f>
        <v>290 X 200 X 140</v>
      </c>
      <c r="N193" s="11"/>
      <c r="O193" s="11">
        <v>100</v>
      </c>
      <c r="P193" s="11" t="s">
        <v>55</v>
      </c>
    </row>
    <row r="194" customHeight="1" spans="1:16">
      <c r="A194" s="7" t="s">
        <v>636</v>
      </c>
      <c r="B194" s="11">
        <v>953650</v>
      </c>
      <c r="C194" s="9" t="s">
        <v>637</v>
      </c>
      <c r="D194" s="11" t="s">
        <v>569</v>
      </c>
      <c r="E194" s="18">
        <v>600</v>
      </c>
      <c r="F194" s="19"/>
      <c r="G194" s="20">
        <f t="shared" si="6"/>
        <v>91</v>
      </c>
      <c r="H194" s="11" t="s">
        <v>635</v>
      </c>
      <c r="I194" s="27"/>
      <c r="J194" s="28">
        <v>17.4</v>
      </c>
      <c r="K194" s="29">
        <f t="shared" si="7"/>
        <v>10.44</v>
      </c>
      <c r="L194" s="144" t="s">
        <v>54</v>
      </c>
      <c r="M194" s="142" t="str">
        <f>VLOOKUP(L194,Packaging!$B$3:$C$21,2,0)</f>
        <v>290 X 200 X 140</v>
      </c>
      <c r="N194" s="11"/>
      <c r="O194" s="11">
        <v>100</v>
      </c>
      <c r="P194" s="11" t="s">
        <v>55</v>
      </c>
    </row>
    <row r="195" customHeight="1" spans="1:16">
      <c r="A195" s="7" t="s">
        <v>638</v>
      </c>
      <c r="B195" s="11">
        <v>953652</v>
      </c>
      <c r="C195" s="9" t="s">
        <v>639</v>
      </c>
      <c r="D195" s="11" t="s">
        <v>569</v>
      </c>
      <c r="E195" s="18">
        <v>600</v>
      </c>
      <c r="F195" s="19"/>
      <c r="G195" s="20">
        <f t="shared" si="6"/>
        <v>91</v>
      </c>
      <c r="H195" s="11" t="s">
        <v>640</v>
      </c>
      <c r="I195" s="27"/>
      <c r="J195" s="28">
        <v>12.6</v>
      </c>
      <c r="K195" s="29">
        <f t="shared" si="7"/>
        <v>7.56</v>
      </c>
      <c r="L195" s="11"/>
      <c r="M195" s="21" t="e">
        <f>VLOOKUP(L195,Packaging!$B$3:$C$21,2,0)</f>
        <v>#N/A</v>
      </c>
      <c r="N195" s="11"/>
      <c r="O195" s="11">
        <v>100</v>
      </c>
      <c r="P195" s="11" t="s">
        <v>55</v>
      </c>
    </row>
    <row r="196" customHeight="1" spans="1:16">
      <c r="A196" s="7" t="s">
        <v>641</v>
      </c>
      <c r="B196" s="11">
        <v>953653</v>
      </c>
      <c r="C196" s="9" t="s">
        <v>642</v>
      </c>
      <c r="D196" s="11" t="s">
        <v>569</v>
      </c>
      <c r="E196" s="18">
        <v>150</v>
      </c>
      <c r="F196" s="19"/>
      <c r="G196" s="20">
        <f t="shared" si="6"/>
        <v>91</v>
      </c>
      <c r="H196" s="11" t="s">
        <v>643</v>
      </c>
      <c r="I196" s="27">
        <v>280</v>
      </c>
      <c r="J196" s="28">
        <v>20.8</v>
      </c>
      <c r="K196" s="29">
        <f t="shared" si="7"/>
        <v>3.4</v>
      </c>
      <c r="L196" s="142" t="s">
        <v>54</v>
      </c>
      <c r="M196" s="142" t="str">
        <f>VLOOKUP(L196,Packaging!$B$3:$C$21,2,0)</f>
        <v>290 X 200 X 140</v>
      </c>
      <c r="N196" s="11"/>
      <c r="O196" s="11">
        <v>30</v>
      </c>
      <c r="P196" s="11" t="s">
        <v>55</v>
      </c>
    </row>
    <row r="197" customHeight="1" spans="1:16">
      <c r="A197" s="7" t="s">
        <v>644</v>
      </c>
      <c r="B197" s="11">
        <v>953651</v>
      </c>
      <c r="C197" s="9" t="s">
        <v>645</v>
      </c>
      <c r="D197" s="11" t="s">
        <v>569</v>
      </c>
      <c r="E197" s="18">
        <v>250</v>
      </c>
      <c r="F197" s="19"/>
      <c r="G197" s="20">
        <f t="shared" si="6"/>
        <v>91</v>
      </c>
      <c r="H197" s="11" t="s">
        <v>646</v>
      </c>
      <c r="I197" s="27"/>
      <c r="J197" s="28">
        <v>70</v>
      </c>
      <c r="K197" s="29">
        <f t="shared" si="7"/>
        <v>17.5</v>
      </c>
      <c r="L197" s="11"/>
      <c r="M197" s="21" t="e">
        <f>VLOOKUP(L197,Packaging!$B$3:$C$21,2,0)</f>
        <v>#N/A</v>
      </c>
      <c r="N197" s="11"/>
      <c r="O197" s="11"/>
      <c r="P197" s="11" t="s">
        <v>55</v>
      </c>
    </row>
    <row r="198" customHeight="1" spans="1:16">
      <c r="A198" s="7" t="s">
        <v>647</v>
      </c>
      <c r="B198" s="11">
        <v>947863</v>
      </c>
      <c r="C198" s="9" t="s">
        <v>648</v>
      </c>
      <c r="D198" s="11" t="s">
        <v>569</v>
      </c>
      <c r="E198" s="18">
        <v>500</v>
      </c>
      <c r="F198" s="19"/>
      <c r="G198" s="20">
        <f t="shared" si="6"/>
        <v>91</v>
      </c>
      <c r="H198" s="11" t="s">
        <v>649</v>
      </c>
      <c r="I198" s="27">
        <v>280</v>
      </c>
      <c r="J198" s="28">
        <v>42.4</v>
      </c>
      <c r="K198" s="29">
        <f t="shared" si="7"/>
        <v>21.48</v>
      </c>
      <c r="L198" s="142" t="s">
        <v>54</v>
      </c>
      <c r="M198" s="142" t="str">
        <f>VLOOKUP(L198,Packaging!$B$3:$C$21,2,0)</f>
        <v>290 X 200 X 140</v>
      </c>
      <c r="N198" s="11"/>
      <c r="O198" s="11">
        <v>100</v>
      </c>
      <c r="P198" s="11" t="s">
        <v>55</v>
      </c>
    </row>
    <row r="199" customHeight="1" spans="1:16">
      <c r="A199" s="7" t="s">
        <v>650</v>
      </c>
      <c r="B199" s="11">
        <v>948391</v>
      </c>
      <c r="C199" s="9" t="s">
        <v>651</v>
      </c>
      <c r="D199" s="11" t="s">
        <v>569</v>
      </c>
      <c r="E199" s="18">
        <v>540</v>
      </c>
      <c r="F199" s="19"/>
      <c r="G199" s="20">
        <f t="shared" si="6"/>
        <v>91</v>
      </c>
      <c r="H199" s="11" t="s">
        <v>652</v>
      </c>
      <c r="I199" s="27">
        <v>280</v>
      </c>
      <c r="J199" s="28">
        <v>35.4</v>
      </c>
      <c r="K199" s="29">
        <f t="shared" si="7"/>
        <v>19.396</v>
      </c>
      <c r="L199" s="142" t="s">
        <v>54</v>
      </c>
      <c r="M199" s="142" t="str">
        <f>VLOOKUP(L199,Packaging!$B$3:$C$21,2,0)</f>
        <v>290 X 200 X 140</v>
      </c>
      <c r="N199" s="11"/>
      <c r="O199" s="11">
        <v>15</v>
      </c>
      <c r="P199" s="11" t="s">
        <v>55</v>
      </c>
    </row>
    <row r="200" customHeight="1" spans="1:16">
      <c r="A200" s="7" t="s">
        <v>653</v>
      </c>
      <c r="B200" s="11">
        <v>948415</v>
      </c>
      <c r="C200" s="9" t="s">
        <v>654</v>
      </c>
      <c r="D200" s="11" t="s">
        <v>569</v>
      </c>
      <c r="E200" s="18">
        <v>540</v>
      </c>
      <c r="F200" s="19"/>
      <c r="G200" s="20">
        <f t="shared" si="6"/>
        <v>91</v>
      </c>
      <c r="H200" s="11" t="s">
        <v>652</v>
      </c>
      <c r="I200" s="27">
        <v>280</v>
      </c>
      <c r="J200" s="28">
        <v>35.4</v>
      </c>
      <c r="K200" s="29">
        <f t="shared" si="7"/>
        <v>19.396</v>
      </c>
      <c r="L200" s="142" t="s">
        <v>54</v>
      </c>
      <c r="M200" s="142" t="str">
        <f>VLOOKUP(L200,Packaging!$B$3:$C$21,2,0)</f>
        <v>290 X 200 X 140</v>
      </c>
      <c r="N200" s="11"/>
      <c r="O200" s="11">
        <v>15</v>
      </c>
      <c r="P200" s="11" t="s">
        <v>55</v>
      </c>
    </row>
    <row r="201" customHeight="1" spans="1:16">
      <c r="A201" s="7" t="s">
        <v>655</v>
      </c>
      <c r="B201" s="11">
        <v>949806</v>
      </c>
      <c r="C201" s="9" t="s">
        <v>656</v>
      </c>
      <c r="D201" s="11" t="s">
        <v>569</v>
      </c>
      <c r="E201" s="18">
        <v>10</v>
      </c>
      <c r="F201" s="19"/>
      <c r="G201" s="20">
        <f t="shared" si="6"/>
        <v>91</v>
      </c>
      <c r="H201" s="11" t="s">
        <v>657</v>
      </c>
      <c r="I201" s="27"/>
      <c r="J201" s="28">
        <v>163.9</v>
      </c>
      <c r="K201" s="29">
        <f t="shared" si="7"/>
        <v>1.639</v>
      </c>
      <c r="L201" s="11" t="s">
        <v>658</v>
      </c>
      <c r="M201" s="21" t="e">
        <f>VLOOKUP(L201,Packaging!$B$3:$C$21,2,0)</f>
        <v>#N/A</v>
      </c>
      <c r="N201" s="11" t="s">
        <v>659</v>
      </c>
      <c r="O201" s="11">
        <v>10</v>
      </c>
      <c r="P201" s="11" t="s">
        <v>55</v>
      </c>
    </row>
    <row r="202" customHeight="1" spans="1:16">
      <c r="A202" s="7" t="s">
        <v>660</v>
      </c>
      <c r="B202" s="11">
        <v>949809</v>
      </c>
      <c r="C202" s="9" t="s">
        <v>661</v>
      </c>
      <c r="D202" s="11" t="s">
        <v>569</v>
      </c>
      <c r="E202" s="18">
        <v>10</v>
      </c>
      <c r="F202" s="19"/>
      <c r="G202" s="20">
        <f t="shared" si="6"/>
        <v>91</v>
      </c>
      <c r="H202" s="11" t="s">
        <v>662</v>
      </c>
      <c r="I202" s="27"/>
      <c r="J202" s="28">
        <v>310.2</v>
      </c>
      <c r="K202" s="29">
        <f t="shared" si="7"/>
        <v>3.102</v>
      </c>
      <c r="L202" s="11" t="s">
        <v>663</v>
      </c>
      <c r="M202" s="21" t="e">
        <f>VLOOKUP(L202,Packaging!$B$3:$C$21,2,0)</f>
        <v>#N/A</v>
      </c>
      <c r="N202" s="11" t="s">
        <v>659</v>
      </c>
      <c r="O202" s="11">
        <v>10</v>
      </c>
      <c r="P202" s="11" t="s">
        <v>55</v>
      </c>
    </row>
    <row r="203" customHeight="1" spans="1:16">
      <c r="A203" s="7" t="s">
        <v>664</v>
      </c>
      <c r="B203" s="11">
        <v>949805</v>
      </c>
      <c r="C203" s="9" t="s">
        <v>665</v>
      </c>
      <c r="D203" s="11" t="s">
        <v>569</v>
      </c>
      <c r="E203" s="18">
        <v>10</v>
      </c>
      <c r="F203" s="19"/>
      <c r="G203" s="20">
        <f t="shared" si="6"/>
        <v>91</v>
      </c>
      <c r="H203" s="11" t="s">
        <v>666</v>
      </c>
      <c r="I203" s="27"/>
      <c r="J203" s="28">
        <v>163</v>
      </c>
      <c r="K203" s="29">
        <f t="shared" si="7"/>
        <v>1.63</v>
      </c>
      <c r="L203" s="11" t="s">
        <v>663</v>
      </c>
      <c r="M203" s="21" t="e">
        <f>VLOOKUP(L203,Packaging!$B$3:$C$21,2,0)</f>
        <v>#N/A</v>
      </c>
      <c r="N203" s="11" t="s">
        <v>659</v>
      </c>
      <c r="O203" s="11">
        <v>10</v>
      </c>
      <c r="P203" s="11" t="s">
        <v>55</v>
      </c>
    </row>
    <row r="204" customHeight="1" spans="1:16">
      <c r="A204" s="7" t="s">
        <v>667</v>
      </c>
      <c r="B204" s="11">
        <v>953757</v>
      </c>
      <c r="C204" s="9" t="s">
        <v>668</v>
      </c>
      <c r="D204" s="11" t="s">
        <v>569</v>
      </c>
      <c r="E204" s="18"/>
      <c r="F204" s="19"/>
      <c r="G204" s="20">
        <f t="shared" si="6"/>
        <v>91</v>
      </c>
      <c r="H204" s="11" t="s">
        <v>669</v>
      </c>
      <c r="I204" s="27"/>
      <c r="J204" s="28">
        <v>44</v>
      </c>
      <c r="K204" s="29">
        <f t="shared" si="7"/>
        <v>0</v>
      </c>
      <c r="L204" s="11"/>
      <c r="M204" s="21" t="e">
        <f>VLOOKUP(L204,Packaging!$B$3:$C$21,2,0)</f>
        <v>#N/A</v>
      </c>
      <c r="N204" s="11"/>
      <c r="O204" s="11">
        <v>10</v>
      </c>
      <c r="P204" s="11" t="s">
        <v>55</v>
      </c>
    </row>
    <row r="205" customHeight="1" spans="1:16">
      <c r="A205" s="7" t="s">
        <v>670</v>
      </c>
      <c r="B205" s="11">
        <v>950587</v>
      </c>
      <c r="C205" s="9" t="s">
        <v>671</v>
      </c>
      <c r="D205" s="11" t="s">
        <v>569</v>
      </c>
      <c r="E205" s="18">
        <v>1000</v>
      </c>
      <c r="F205" s="19"/>
      <c r="G205" s="20">
        <f t="shared" si="6"/>
        <v>91</v>
      </c>
      <c r="H205" s="11" t="s">
        <v>672</v>
      </c>
      <c r="I205" s="27">
        <v>244</v>
      </c>
      <c r="J205" s="28">
        <v>10.8</v>
      </c>
      <c r="K205" s="29">
        <f t="shared" si="7"/>
        <v>11.044</v>
      </c>
      <c r="L205" s="144" t="s">
        <v>274</v>
      </c>
      <c r="M205" s="142" t="str">
        <f>VLOOKUP(L205,Packaging!$B$3:$C$21,2,0)</f>
        <v>290 X 200 X 100</v>
      </c>
      <c r="N205" s="11"/>
      <c r="O205" s="11">
        <v>250</v>
      </c>
      <c r="P205" s="11" t="s">
        <v>55</v>
      </c>
    </row>
    <row r="206" customHeight="1" spans="1:16">
      <c r="A206" s="7" t="s">
        <v>673</v>
      </c>
      <c r="B206" s="11">
        <v>950588</v>
      </c>
      <c r="C206" s="9" t="s">
        <v>674</v>
      </c>
      <c r="D206" s="11" t="s">
        <v>569</v>
      </c>
      <c r="E206" s="18">
        <v>1000</v>
      </c>
      <c r="F206" s="19"/>
      <c r="G206" s="20">
        <f t="shared" si="6"/>
        <v>91</v>
      </c>
      <c r="H206" s="11" t="s">
        <v>675</v>
      </c>
      <c r="I206" s="27">
        <v>244</v>
      </c>
      <c r="J206" s="28">
        <v>10.2</v>
      </c>
      <c r="K206" s="29">
        <f t="shared" si="7"/>
        <v>10.444</v>
      </c>
      <c r="L206" s="144" t="s">
        <v>274</v>
      </c>
      <c r="M206" s="142" t="str">
        <f>VLOOKUP(L206,Packaging!$B$3:$C$21,2,0)</f>
        <v>290 X 200 X 100</v>
      </c>
      <c r="N206" s="11"/>
      <c r="O206" s="11">
        <v>250</v>
      </c>
      <c r="P206" s="11" t="s">
        <v>55</v>
      </c>
    </row>
    <row r="207" customHeight="1" spans="1:16">
      <c r="A207" s="7" t="s">
        <v>676</v>
      </c>
      <c r="B207" s="11">
        <v>950589</v>
      </c>
      <c r="C207" s="9" t="s">
        <v>677</v>
      </c>
      <c r="D207" s="11" t="s">
        <v>569</v>
      </c>
      <c r="E207" s="18">
        <v>1000</v>
      </c>
      <c r="F207" s="19"/>
      <c r="G207" s="20">
        <f t="shared" si="6"/>
        <v>91</v>
      </c>
      <c r="H207" s="11" t="s">
        <v>678</v>
      </c>
      <c r="I207" s="27">
        <v>244</v>
      </c>
      <c r="J207" s="28">
        <v>8.8</v>
      </c>
      <c r="K207" s="29">
        <f t="shared" si="7"/>
        <v>9.044</v>
      </c>
      <c r="L207" s="144" t="s">
        <v>274</v>
      </c>
      <c r="M207" s="142" t="str">
        <f>VLOOKUP(L207,Packaging!$B$3:$C$21,2,0)</f>
        <v>290 X 200 X 100</v>
      </c>
      <c r="N207" s="11"/>
      <c r="O207" s="11">
        <v>250</v>
      </c>
      <c r="P207" s="11" t="s">
        <v>55</v>
      </c>
    </row>
    <row r="208" customHeight="1" spans="1:16">
      <c r="A208" s="7" t="s">
        <v>679</v>
      </c>
      <c r="B208" s="11">
        <v>950590</v>
      </c>
      <c r="C208" s="9" t="s">
        <v>680</v>
      </c>
      <c r="D208" s="11" t="s">
        <v>569</v>
      </c>
      <c r="E208" s="18">
        <v>1000</v>
      </c>
      <c r="F208" s="19"/>
      <c r="G208" s="20">
        <f t="shared" si="6"/>
        <v>91</v>
      </c>
      <c r="H208" s="11" t="s">
        <v>681</v>
      </c>
      <c r="I208" s="27">
        <v>244</v>
      </c>
      <c r="J208" s="28">
        <v>8.2</v>
      </c>
      <c r="K208" s="29">
        <f t="shared" si="7"/>
        <v>8.444</v>
      </c>
      <c r="L208" s="144" t="s">
        <v>274</v>
      </c>
      <c r="M208" s="142" t="str">
        <f>VLOOKUP(L208,Packaging!$B$3:$C$21,2,0)</f>
        <v>290 X 200 X 100</v>
      </c>
      <c r="N208" s="11"/>
      <c r="O208" s="11">
        <v>250</v>
      </c>
      <c r="P208" s="11" t="s">
        <v>55</v>
      </c>
    </row>
    <row r="209" customHeight="1" spans="1:16">
      <c r="A209" s="7" t="s">
        <v>682</v>
      </c>
      <c r="B209" s="11">
        <v>950591</v>
      </c>
      <c r="C209" s="9" t="s">
        <v>683</v>
      </c>
      <c r="D209" s="11" t="s">
        <v>569</v>
      </c>
      <c r="E209" s="18">
        <v>1000</v>
      </c>
      <c r="F209" s="19"/>
      <c r="G209" s="20">
        <f t="shared" si="6"/>
        <v>91</v>
      </c>
      <c r="H209" s="11" t="s">
        <v>684</v>
      </c>
      <c r="I209" s="27">
        <v>244</v>
      </c>
      <c r="J209" s="28">
        <v>8.2</v>
      </c>
      <c r="K209" s="29">
        <f t="shared" si="7"/>
        <v>8.444</v>
      </c>
      <c r="L209" s="144" t="s">
        <v>274</v>
      </c>
      <c r="M209" s="142" t="str">
        <f>VLOOKUP(L209,Packaging!$B$3:$C$21,2,0)</f>
        <v>290 X 200 X 100</v>
      </c>
      <c r="N209" s="11"/>
      <c r="O209" s="11">
        <v>250</v>
      </c>
      <c r="P209" s="11" t="s">
        <v>55</v>
      </c>
    </row>
    <row r="210" customHeight="1" spans="1:16">
      <c r="A210" s="7" t="s">
        <v>685</v>
      </c>
      <c r="B210" s="11">
        <v>952568</v>
      </c>
      <c r="C210" s="9" t="s">
        <v>686</v>
      </c>
      <c r="D210" s="11" t="s">
        <v>569</v>
      </c>
      <c r="E210" s="18">
        <v>1000</v>
      </c>
      <c r="F210" s="19"/>
      <c r="G210" s="20">
        <f t="shared" si="6"/>
        <v>91</v>
      </c>
      <c r="H210" s="11" t="s">
        <v>687</v>
      </c>
      <c r="I210" s="27">
        <v>244</v>
      </c>
      <c r="J210" s="28">
        <v>11.4</v>
      </c>
      <c r="K210" s="29">
        <f t="shared" si="7"/>
        <v>11.644</v>
      </c>
      <c r="L210" s="144" t="s">
        <v>274</v>
      </c>
      <c r="M210" s="142" t="str">
        <f>VLOOKUP(L210,Packaging!$B$3:$C$21,2,0)</f>
        <v>290 X 200 X 100</v>
      </c>
      <c r="N210" s="11"/>
      <c r="O210" s="11">
        <v>250</v>
      </c>
      <c r="P210" s="11" t="s">
        <v>55</v>
      </c>
    </row>
    <row r="211" customHeight="1" spans="1:16">
      <c r="A211" s="7" t="s">
        <v>688</v>
      </c>
      <c r="B211" s="11">
        <v>952566</v>
      </c>
      <c r="C211" s="9" t="s">
        <v>689</v>
      </c>
      <c r="D211" s="11" t="s">
        <v>569</v>
      </c>
      <c r="E211" s="18">
        <v>350</v>
      </c>
      <c r="F211" s="19"/>
      <c r="G211" s="20">
        <f t="shared" si="6"/>
        <v>91</v>
      </c>
      <c r="H211" s="11" t="s">
        <v>690</v>
      </c>
      <c r="I211" s="27">
        <v>280</v>
      </c>
      <c r="J211" s="28">
        <v>61.2</v>
      </c>
      <c r="K211" s="29">
        <f t="shared" si="7"/>
        <v>21.7</v>
      </c>
      <c r="L211" s="142" t="s">
        <v>54</v>
      </c>
      <c r="M211" s="142" t="str">
        <f>VLOOKUP(L211,Packaging!$B$3:$C$21,2,0)</f>
        <v>290 X 200 X 140</v>
      </c>
      <c r="N211" s="11"/>
      <c r="O211" s="11">
        <v>50</v>
      </c>
      <c r="P211" s="11" t="s">
        <v>55</v>
      </c>
    </row>
    <row r="212" customHeight="1" spans="1:16">
      <c r="A212" s="7" t="s">
        <v>691</v>
      </c>
      <c r="B212" s="11">
        <v>954190</v>
      </c>
      <c r="C212" s="9" t="s">
        <v>692</v>
      </c>
      <c r="D212" s="11" t="s">
        <v>569</v>
      </c>
      <c r="E212" s="18">
        <v>1000</v>
      </c>
      <c r="F212" s="19"/>
      <c r="G212" s="20">
        <f t="shared" si="6"/>
        <v>91</v>
      </c>
      <c r="H212" s="11" t="s">
        <v>693</v>
      </c>
      <c r="I212" s="27">
        <v>244</v>
      </c>
      <c r="J212" s="28">
        <v>11.6</v>
      </c>
      <c r="K212" s="29">
        <f t="shared" si="7"/>
        <v>11.844</v>
      </c>
      <c r="L212" s="144" t="s">
        <v>274</v>
      </c>
      <c r="M212" s="142" t="str">
        <f>VLOOKUP(L212,Packaging!$B$3:$C$21,2,0)</f>
        <v>290 X 200 X 100</v>
      </c>
      <c r="N212" s="11"/>
      <c r="O212" s="11">
        <v>250</v>
      </c>
      <c r="P212" s="11" t="s">
        <v>55</v>
      </c>
    </row>
    <row r="213" customHeight="1" spans="1:16">
      <c r="A213" s="7" t="s">
        <v>694</v>
      </c>
      <c r="B213" s="11">
        <v>954191</v>
      </c>
      <c r="C213" s="9" t="s">
        <v>695</v>
      </c>
      <c r="D213" s="11" t="s">
        <v>569</v>
      </c>
      <c r="E213" s="18">
        <v>1000</v>
      </c>
      <c r="F213" s="19"/>
      <c r="G213" s="20">
        <f t="shared" si="6"/>
        <v>91</v>
      </c>
      <c r="H213" s="11" t="s">
        <v>696</v>
      </c>
      <c r="I213" s="27">
        <v>244</v>
      </c>
      <c r="J213" s="28">
        <v>11.2</v>
      </c>
      <c r="K213" s="29">
        <f t="shared" si="7"/>
        <v>11.444</v>
      </c>
      <c r="L213" s="144" t="s">
        <v>274</v>
      </c>
      <c r="M213" s="142" t="str">
        <f>VLOOKUP(L213,Packaging!$B$3:$C$21,2,0)</f>
        <v>290 X 200 X 100</v>
      </c>
      <c r="N213" s="11"/>
      <c r="O213" s="11">
        <v>250</v>
      </c>
      <c r="P213" s="11" t="s">
        <v>55</v>
      </c>
    </row>
    <row r="214" customHeight="1" spans="1:16">
      <c r="A214" s="7" t="s">
        <v>697</v>
      </c>
      <c r="B214" s="11">
        <v>954192</v>
      </c>
      <c r="C214" s="9" t="s">
        <v>698</v>
      </c>
      <c r="D214" s="11" t="s">
        <v>569</v>
      </c>
      <c r="E214" s="18">
        <v>1000</v>
      </c>
      <c r="F214" s="19"/>
      <c r="G214" s="20">
        <f t="shared" si="6"/>
        <v>91</v>
      </c>
      <c r="H214" s="11" t="s">
        <v>699</v>
      </c>
      <c r="I214" s="27">
        <v>244</v>
      </c>
      <c r="J214" s="28">
        <v>10.4</v>
      </c>
      <c r="K214" s="29">
        <f t="shared" si="7"/>
        <v>10.644</v>
      </c>
      <c r="L214" s="144" t="s">
        <v>274</v>
      </c>
      <c r="M214" s="142" t="str">
        <f>VLOOKUP(L214,Packaging!$B$3:$C$21,2,0)</f>
        <v>290 X 200 X 100</v>
      </c>
      <c r="N214" s="11"/>
      <c r="O214" s="11">
        <v>250</v>
      </c>
      <c r="P214" s="11" t="s">
        <v>55</v>
      </c>
    </row>
    <row r="215" customHeight="1" spans="1:16">
      <c r="A215" s="7" t="s">
        <v>700</v>
      </c>
      <c r="B215" s="11">
        <v>954193</v>
      </c>
      <c r="C215" s="9" t="s">
        <v>701</v>
      </c>
      <c r="D215" s="11" t="s">
        <v>569</v>
      </c>
      <c r="E215" s="18">
        <v>1000</v>
      </c>
      <c r="F215" s="19"/>
      <c r="G215" s="20">
        <f t="shared" si="6"/>
        <v>91</v>
      </c>
      <c r="H215" s="11" t="s">
        <v>702</v>
      </c>
      <c r="I215" s="27">
        <v>244</v>
      </c>
      <c r="J215" s="28">
        <v>9.6</v>
      </c>
      <c r="K215" s="29">
        <f t="shared" si="7"/>
        <v>9.844</v>
      </c>
      <c r="L215" s="144" t="s">
        <v>274</v>
      </c>
      <c r="M215" s="142" t="str">
        <f>VLOOKUP(L215,Packaging!$B$3:$C$21,2,0)</f>
        <v>290 X 200 X 100</v>
      </c>
      <c r="N215" s="11"/>
      <c r="O215" s="11">
        <v>250</v>
      </c>
      <c r="P215" s="11" t="s">
        <v>55</v>
      </c>
    </row>
    <row r="216" customHeight="1" spans="1:16">
      <c r="A216" s="7" t="s">
        <v>703</v>
      </c>
      <c r="B216" s="11">
        <v>952772</v>
      </c>
      <c r="C216" s="9" t="s">
        <v>692</v>
      </c>
      <c r="D216" s="11" t="s">
        <v>569</v>
      </c>
      <c r="E216" s="18">
        <v>1000</v>
      </c>
      <c r="F216" s="19"/>
      <c r="G216" s="20">
        <f t="shared" si="6"/>
        <v>91</v>
      </c>
      <c r="H216" s="11" t="s">
        <v>704</v>
      </c>
      <c r="I216" s="27">
        <v>244</v>
      </c>
      <c r="J216" s="28">
        <v>12.6</v>
      </c>
      <c r="K216" s="29">
        <f t="shared" si="7"/>
        <v>12.844</v>
      </c>
      <c r="L216" s="144" t="s">
        <v>274</v>
      </c>
      <c r="M216" s="142" t="str">
        <f>VLOOKUP(L216,Packaging!$B$3:$C$21,2,0)</f>
        <v>290 X 200 X 100</v>
      </c>
      <c r="N216" s="11"/>
      <c r="O216" s="11">
        <v>250</v>
      </c>
      <c r="P216" s="11" t="s">
        <v>55</v>
      </c>
    </row>
    <row r="217" customHeight="1" spans="1:16">
      <c r="A217" s="7" t="s">
        <v>705</v>
      </c>
      <c r="B217" s="11">
        <v>952773</v>
      </c>
      <c r="C217" s="9" t="s">
        <v>706</v>
      </c>
      <c r="D217" s="11" t="s">
        <v>569</v>
      </c>
      <c r="E217" s="18">
        <v>1000</v>
      </c>
      <c r="F217" s="19"/>
      <c r="G217" s="20">
        <f t="shared" si="6"/>
        <v>91</v>
      </c>
      <c r="H217" s="11" t="s">
        <v>707</v>
      </c>
      <c r="I217" s="27">
        <v>244</v>
      </c>
      <c r="J217" s="28">
        <v>12.4</v>
      </c>
      <c r="K217" s="29">
        <f t="shared" si="7"/>
        <v>12.644</v>
      </c>
      <c r="L217" s="144" t="s">
        <v>274</v>
      </c>
      <c r="M217" s="142" t="str">
        <f>VLOOKUP(L217,Packaging!$B$3:$C$21,2,0)</f>
        <v>290 X 200 X 100</v>
      </c>
      <c r="N217" s="11"/>
      <c r="O217" s="11">
        <v>250</v>
      </c>
      <c r="P217" s="11" t="s">
        <v>55</v>
      </c>
    </row>
    <row r="218" customHeight="1" spans="1:16">
      <c r="A218" s="7" t="s">
        <v>708</v>
      </c>
      <c r="B218" s="11">
        <v>952774</v>
      </c>
      <c r="C218" s="9" t="s">
        <v>698</v>
      </c>
      <c r="D218" s="11" t="s">
        <v>569</v>
      </c>
      <c r="E218" s="18">
        <v>1000</v>
      </c>
      <c r="F218" s="19"/>
      <c r="G218" s="20">
        <f t="shared" si="6"/>
        <v>91</v>
      </c>
      <c r="H218" s="11" t="s">
        <v>709</v>
      </c>
      <c r="I218" s="27">
        <v>244</v>
      </c>
      <c r="J218" s="28">
        <v>11.6</v>
      </c>
      <c r="K218" s="29">
        <f t="shared" si="7"/>
        <v>11.844</v>
      </c>
      <c r="L218" s="144" t="s">
        <v>274</v>
      </c>
      <c r="M218" s="142" t="str">
        <f>VLOOKUP(L218,Packaging!$B$3:$C$21,2,0)</f>
        <v>290 X 200 X 100</v>
      </c>
      <c r="N218" s="11"/>
      <c r="O218" s="11">
        <v>250</v>
      </c>
      <c r="P218" s="11" t="s">
        <v>55</v>
      </c>
    </row>
    <row r="219" customHeight="1" spans="1:16">
      <c r="A219" s="7" t="s">
        <v>710</v>
      </c>
      <c r="B219" s="11">
        <v>952775</v>
      </c>
      <c r="C219" s="9" t="s">
        <v>711</v>
      </c>
      <c r="D219" s="11" t="s">
        <v>569</v>
      </c>
      <c r="E219" s="18">
        <v>1000</v>
      </c>
      <c r="F219" s="19"/>
      <c r="G219" s="20">
        <f t="shared" si="6"/>
        <v>91</v>
      </c>
      <c r="H219" s="11" t="s">
        <v>712</v>
      </c>
      <c r="I219" s="27">
        <v>244</v>
      </c>
      <c r="J219" s="28">
        <v>10.4</v>
      </c>
      <c r="K219" s="29">
        <f t="shared" si="7"/>
        <v>10.644</v>
      </c>
      <c r="L219" s="144" t="s">
        <v>274</v>
      </c>
      <c r="M219" s="142" t="str">
        <f>VLOOKUP(L219,Packaging!$B$3:$C$21,2,0)</f>
        <v>290 X 200 X 100</v>
      </c>
      <c r="N219" s="11"/>
      <c r="O219" s="11">
        <v>250</v>
      </c>
      <c r="P219" s="11" t="s">
        <v>55</v>
      </c>
    </row>
    <row r="220" customHeight="1" spans="1:16">
      <c r="A220" s="7" t="s">
        <v>713</v>
      </c>
      <c r="B220" s="11">
        <v>816717</v>
      </c>
      <c r="C220" s="9" t="s">
        <v>714</v>
      </c>
      <c r="D220" s="11" t="s">
        <v>569</v>
      </c>
      <c r="E220" s="18">
        <v>800</v>
      </c>
      <c r="F220" s="19"/>
      <c r="G220" s="20">
        <f t="shared" si="6"/>
        <v>91</v>
      </c>
      <c r="H220" s="11" t="s">
        <v>715</v>
      </c>
      <c r="I220" s="27">
        <v>244</v>
      </c>
      <c r="J220" s="28">
        <v>22.2</v>
      </c>
      <c r="K220" s="29">
        <f t="shared" si="7"/>
        <v>18.004</v>
      </c>
      <c r="L220" s="144" t="s">
        <v>274</v>
      </c>
      <c r="M220" s="142" t="str">
        <f>VLOOKUP(L220,Packaging!$B$3:$C$21,2,0)</f>
        <v>290 X 200 X 100</v>
      </c>
      <c r="N220" s="11"/>
      <c r="O220" s="11">
        <v>50</v>
      </c>
      <c r="P220" s="11" t="s">
        <v>55</v>
      </c>
    </row>
    <row r="221" customHeight="1" spans="1:16">
      <c r="A221" s="7" t="s">
        <v>716</v>
      </c>
      <c r="B221" s="11">
        <v>816718</v>
      </c>
      <c r="C221" s="9" t="s">
        <v>717</v>
      </c>
      <c r="D221" s="11" t="s">
        <v>569</v>
      </c>
      <c r="E221" s="18">
        <v>800</v>
      </c>
      <c r="F221" s="19"/>
      <c r="G221" s="20">
        <f t="shared" si="6"/>
        <v>91</v>
      </c>
      <c r="H221" s="11" t="s">
        <v>718</v>
      </c>
      <c r="I221" s="27">
        <v>244</v>
      </c>
      <c r="J221" s="28">
        <v>20.8</v>
      </c>
      <c r="K221" s="29">
        <f t="shared" si="7"/>
        <v>16.884</v>
      </c>
      <c r="L221" s="144" t="s">
        <v>274</v>
      </c>
      <c r="M221" s="142" t="str">
        <f>VLOOKUP(L221,Packaging!$B$3:$C$21,2,0)</f>
        <v>290 X 200 X 100</v>
      </c>
      <c r="N221" s="11"/>
      <c r="O221" s="11">
        <v>50</v>
      </c>
      <c r="P221" s="11" t="s">
        <v>55</v>
      </c>
    </row>
    <row r="222" customHeight="1" spans="1:16">
      <c r="A222" s="7" t="s">
        <v>719</v>
      </c>
      <c r="B222" s="11">
        <v>816719</v>
      </c>
      <c r="C222" s="9" t="s">
        <v>720</v>
      </c>
      <c r="D222" s="11" t="s">
        <v>569</v>
      </c>
      <c r="E222" s="18">
        <v>800</v>
      </c>
      <c r="F222" s="19"/>
      <c r="G222" s="20">
        <f t="shared" si="6"/>
        <v>91</v>
      </c>
      <c r="H222" s="11" t="s">
        <v>721</v>
      </c>
      <c r="I222" s="27">
        <v>244</v>
      </c>
      <c r="J222" s="28">
        <v>19.2</v>
      </c>
      <c r="K222" s="29">
        <f t="shared" si="7"/>
        <v>15.604</v>
      </c>
      <c r="L222" s="144" t="s">
        <v>274</v>
      </c>
      <c r="M222" s="142" t="str">
        <f>VLOOKUP(L222,Packaging!$B$3:$C$21,2,0)</f>
        <v>290 X 200 X 100</v>
      </c>
      <c r="N222" s="11"/>
      <c r="O222" s="11">
        <v>50</v>
      </c>
      <c r="P222" s="11" t="s">
        <v>55</v>
      </c>
    </row>
    <row r="223" customHeight="1" spans="1:16">
      <c r="A223" s="7" t="s">
        <v>722</v>
      </c>
      <c r="B223" s="11">
        <v>818042</v>
      </c>
      <c r="C223" s="9" t="s">
        <v>723</v>
      </c>
      <c r="D223" s="11" t="s">
        <v>569</v>
      </c>
      <c r="E223" s="18">
        <v>800</v>
      </c>
      <c r="F223" s="19"/>
      <c r="G223" s="20">
        <f t="shared" si="6"/>
        <v>91</v>
      </c>
      <c r="H223" s="11" t="s">
        <v>724</v>
      </c>
      <c r="I223" s="27">
        <v>244</v>
      </c>
      <c r="J223" s="28">
        <v>27.6</v>
      </c>
      <c r="K223" s="29">
        <f t="shared" si="7"/>
        <v>22.324</v>
      </c>
      <c r="L223" s="144" t="s">
        <v>274</v>
      </c>
      <c r="M223" s="142" t="str">
        <f>VLOOKUP(L223,Packaging!$B$3:$C$21,2,0)</f>
        <v>290 X 200 X 100</v>
      </c>
      <c r="N223" s="11"/>
      <c r="O223" s="11">
        <v>50</v>
      </c>
      <c r="P223" s="11" t="s">
        <v>55</v>
      </c>
    </row>
    <row r="224" customHeight="1" spans="1:16">
      <c r="A224" s="7" t="s">
        <v>725</v>
      </c>
      <c r="B224" s="11">
        <v>818043</v>
      </c>
      <c r="C224" s="9" t="s">
        <v>726</v>
      </c>
      <c r="D224" s="11" t="s">
        <v>569</v>
      </c>
      <c r="E224" s="18">
        <v>800</v>
      </c>
      <c r="F224" s="19"/>
      <c r="G224" s="20">
        <f t="shared" si="6"/>
        <v>91</v>
      </c>
      <c r="H224" s="11" t="s">
        <v>727</v>
      </c>
      <c r="I224" s="27">
        <v>244</v>
      </c>
      <c r="J224" s="28">
        <v>23.6</v>
      </c>
      <c r="K224" s="29">
        <f t="shared" si="7"/>
        <v>19.124</v>
      </c>
      <c r="L224" s="144" t="s">
        <v>274</v>
      </c>
      <c r="M224" s="142" t="str">
        <f>VLOOKUP(L224,Packaging!$B$3:$C$21,2,0)</f>
        <v>290 X 200 X 100</v>
      </c>
      <c r="N224" s="11"/>
      <c r="O224" s="11">
        <v>50</v>
      </c>
      <c r="P224" s="11" t="s">
        <v>55</v>
      </c>
    </row>
    <row r="225" customHeight="1" spans="1:16">
      <c r="A225" s="7" t="s">
        <v>728</v>
      </c>
      <c r="B225" s="11">
        <v>818677</v>
      </c>
      <c r="C225" s="9" t="s">
        <v>729</v>
      </c>
      <c r="D225" s="11" t="s">
        <v>569</v>
      </c>
      <c r="E225" s="18">
        <v>1000</v>
      </c>
      <c r="F225" s="19"/>
      <c r="G225" s="20">
        <f t="shared" si="6"/>
        <v>91</v>
      </c>
      <c r="H225" s="11" t="s">
        <v>730</v>
      </c>
      <c r="I225" s="27">
        <v>244</v>
      </c>
      <c r="J225" s="28">
        <v>13.2</v>
      </c>
      <c r="K225" s="29">
        <f t="shared" si="7"/>
        <v>13.444</v>
      </c>
      <c r="L225" s="144" t="s">
        <v>274</v>
      </c>
      <c r="M225" s="142" t="str">
        <f>VLOOKUP(L225,Packaging!$B$3:$C$21,2,0)</f>
        <v>290 X 200 X 100</v>
      </c>
      <c r="N225" s="11"/>
      <c r="O225" s="11">
        <v>250</v>
      </c>
      <c r="P225" s="11" t="s">
        <v>55</v>
      </c>
    </row>
    <row r="226" customHeight="1" spans="1:16">
      <c r="A226" s="7" t="s">
        <v>731</v>
      </c>
      <c r="B226" s="11">
        <v>818678</v>
      </c>
      <c r="C226" s="9" t="s">
        <v>695</v>
      </c>
      <c r="D226" s="11" t="s">
        <v>569</v>
      </c>
      <c r="E226" s="18">
        <v>1000</v>
      </c>
      <c r="F226" s="19"/>
      <c r="G226" s="20">
        <f t="shared" si="6"/>
        <v>91</v>
      </c>
      <c r="H226" s="11" t="s">
        <v>732</v>
      </c>
      <c r="I226" s="27">
        <v>244</v>
      </c>
      <c r="J226" s="28">
        <v>12.2</v>
      </c>
      <c r="K226" s="29">
        <f t="shared" si="7"/>
        <v>12.444</v>
      </c>
      <c r="L226" s="144" t="s">
        <v>274</v>
      </c>
      <c r="M226" s="142" t="str">
        <f>VLOOKUP(L226,Packaging!$B$3:$C$21,2,0)</f>
        <v>290 X 200 X 100</v>
      </c>
      <c r="N226" s="11"/>
      <c r="O226" s="11">
        <v>250</v>
      </c>
      <c r="P226" s="11" t="s">
        <v>55</v>
      </c>
    </row>
    <row r="227" customHeight="1" spans="1:16">
      <c r="A227" s="7" t="s">
        <v>733</v>
      </c>
      <c r="B227" s="11">
        <v>818679</v>
      </c>
      <c r="C227" s="9" t="s">
        <v>698</v>
      </c>
      <c r="D227" s="11" t="s">
        <v>569</v>
      </c>
      <c r="E227" s="18">
        <v>1000</v>
      </c>
      <c r="F227" s="19"/>
      <c r="G227" s="20">
        <f t="shared" si="6"/>
        <v>91</v>
      </c>
      <c r="H227" s="11" t="s">
        <v>734</v>
      </c>
      <c r="I227" s="27">
        <v>244</v>
      </c>
      <c r="J227" s="28">
        <v>12</v>
      </c>
      <c r="K227" s="29">
        <f t="shared" si="7"/>
        <v>12.244</v>
      </c>
      <c r="L227" s="144" t="s">
        <v>274</v>
      </c>
      <c r="M227" s="142" t="str">
        <f>VLOOKUP(L227,Packaging!$B$3:$C$21,2,0)</f>
        <v>290 X 200 X 100</v>
      </c>
      <c r="N227" s="11"/>
      <c r="O227" s="11">
        <v>250</v>
      </c>
      <c r="P227" s="11" t="s">
        <v>55</v>
      </c>
    </row>
    <row r="228" customHeight="1" spans="1:16">
      <c r="A228" s="7" t="s">
        <v>735</v>
      </c>
      <c r="B228" s="11">
        <v>818680</v>
      </c>
      <c r="C228" s="9" t="s">
        <v>701</v>
      </c>
      <c r="D228" s="11" t="s">
        <v>569</v>
      </c>
      <c r="E228" s="18">
        <v>1000</v>
      </c>
      <c r="F228" s="19"/>
      <c r="G228" s="20">
        <f t="shared" si="6"/>
        <v>91</v>
      </c>
      <c r="H228" s="11" t="s">
        <v>736</v>
      </c>
      <c r="I228" s="27">
        <v>244</v>
      </c>
      <c r="J228" s="28">
        <v>10.6</v>
      </c>
      <c r="K228" s="29">
        <f t="shared" si="7"/>
        <v>10.844</v>
      </c>
      <c r="L228" s="144" t="s">
        <v>274</v>
      </c>
      <c r="M228" s="142" t="str">
        <f>VLOOKUP(L228,Packaging!$B$3:$C$21,2,0)</f>
        <v>290 X 200 X 100</v>
      </c>
      <c r="N228" s="11"/>
      <c r="O228" s="11">
        <v>250</v>
      </c>
      <c r="P228" s="11" t="s">
        <v>55</v>
      </c>
    </row>
    <row r="229" customHeight="1" spans="1:16">
      <c r="A229" s="7" t="s">
        <v>737</v>
      </c>
      <c r="B229" s="11">
        <v>955981</v>
      </c>
      <c r="C229" s="9" t="s">
        <v>738</v>
      </c>
      <c r="D229" s="11" t="s">
        <v>569</v>
      </c>
      <c r="E229" s="18">
        <v>1000</v>
      </c>
      <c r="F229" s="19"/>
      <c r="G229" s="20">
        <f t="shared" si="6"/>
        <v>91</v>
      </c>
      <c r="H229" s="11" t="s">
        <v>739</v>
      </c>
      <c r="I229" s="27">
        <v>280</v>
      </c>
      <c r="J229" s="28">
        <v>3.5</v>
      </c>
      <c r="K229" s="29">
        <f t="shared" si="7"/>
        <v>3.78</v>
      </c>
      <c r="L229" s="142" t="s">
        <v>54</v>
      </c>
      <c r="M229" s="142" t="str">
        <f>VLOOKUP(L229,Packaging!$B$3:$C$21,2,0)</f>
        <v>290 X 200 X 140</v>
      </c>
      <c r="N229" s="11"/>
      <c r="O229" s="11">
        <v>200</v>
      </c>
      <c r="P229" s="11" t="s">
        <v>55</v>
      </c>
    </row>
    <row r="230" customHeight="1" spans="1:16">
      <c r="A230" s="7" t="s">
        <v>17</v>
      </c>
      <c r="B230" s="11">
        <v>955985</v>
      </c>
      <c r="C230" s="9" t="s">
        <v>740</v>
      </c>
      <c r="D230" s="11" t="s">
        <v>569</v>
      </c>
      <c r="E230" s="18">
        <v>1000</v>
      </c>
      <c r="F230" s="19"/>
      <c r="G230" s="20">
        <f t="shared" ref="G230:G273" si="8">F230+91</f>
        <v>91</v>
      </c>
      <c r="H230" s="11" t="s">
        <v>741</v>
      </c>
      <c r="I230" s="27">
        <v>280</v>
      </c>
      <c r="J230" s="28">
        <v>4.2</v>
      </c>
      <c r="K230" s="29">
        <f t="shared" si="7"/>
        <v>4.48</v>
      </c>
      <c r="L230" s="142" t="s">
        <v>54</v>
      </c>
      <c r="M230" s="142" t="str">
        <f>VLOOKUP(L230,Packaging!$B$3:$C$21,2,0)</f>
        <v>290 X 200 X 140</v>
      </c>
      <c r="N230" s="11"/>
      <c r="O230" s="11">
        <v>200</v>
      </c>
      <c r="P230" s="11" t="s">
        <v>55</v>
      </c>
    </row>
    <row r="231" customHeight="1" spans="1:16">
      <c r="A231" s="7" t="s">
        <v>742</v>
      </c>
      <c r="B231" s="11">
        <v>955989</v>
      </c>
      <c r="C231" s="9" t="s">
        <v>743</v>
      </c>
      <c r="D231" s="11" t="s">
        <v>569</v>
      </c>
      <c r="E231" s="18">
        <v>8</v>
      </c>
      <c r="F231" s="19"/>
      <c r="G231" s="20">
        <f t="shared" si="8"/>
        <v>91</v>
      </c>
      <c r="H231" s="11" t="s">
        <v>744</v>
      </c>
      <c r="I231" s="27"/>
      <c r="J231" s="28">
        <v>624.2</v>
      </c>
      <c r="K231" s="29">
        <f t="shared" si="7"/>
        <v>4.9936</v>
      </c>
      <c r="L231" s="11"/>
      <c r="M231" s="21" t="e">
        <f>VLOOKUP(L231,Packaging!$B$3:$C$21,2,0)</f>
        <v>#N/A</v>
      </c>
      <c r="N231" s="11"/>
      <c r="O231" s="11"/>
      <c r="P231" s="11" t="s">
        <v>55</v>
      </c>
    </row>
    <row r="232" customHeight="1" spans="1:16">
      <c r="A232" s="7" t="s">
        <v>745</v>
      </c>
      <c r="B232" s="11">
        <v>956052</v>
      </c>
      <c r="C232" s="9" t="s">
        <v>746</v>
      </c>
      <c r="D232" s="11" t="s">
        <v>569</v>
      </c>
      <c r="E232" s="18">
        <v>5</v>
      </c>
      <c r="F232" s="19"/>
      <c r="G232" s="20">
        <f t="shared" si="8"/>
        <v>91</v>
      </c>
      <c r="H232" s="11" t="s">
        <v>747</v>
      </c>
      <c r="I232" s="27">
        <v>766</v>
      </c>
      <c r="J232" s="28">
        <v>832.8</v>
      </c>
      <c r="K232" s="29">
        <f t="shared" si="7"/>
        <v>4.93</v>
      </c>
      <c r="L232" s="142" t="s">
        <v>72</v>
      </c>
      <c r="M232" s="142" t="str">
        <f>VLOOKUP(L232,Packaging!$B$3:$C$21,2,0)</f>
        <v>390 X 350 X 280</v>
      </c>
      <c r="N232" s="11"/>
      <c r="O232" s="11"/>
      <c r="P232" s="11" t="s">
        <v>55</v>
      </c>
    </row>
    <row r="233" customHeight="1" spans="1:16">
      <c r="A233" s="7" t="s">
        <v>748</v>
      </c>
      <c r="B233" s="11">
        <v>956004</v>
      </c>
      <c r="C233" s="9" t="s">
        <v>749</v>
      </c>
      <c r="D233" s="11" t="s">
        <v>569</v>
      </c>
      <c r="E233" s="18">
        <v>120</v>
      </c>
      <c r="F233" s="19"/>
      <c r="G233" s="20">
        <f t="shared" si="8"/>
        <v>91</v>
      </c>
      <c r="H233" s="11" t="s">
        <v>750</v>
      </c>
      <c r="I233" s="27">
        <v>280</v>
      </c>
      <c r="J233" s="28">
        <v>65.4</v>
      </c>
      <c r="K233" s="29">
        <f t="shared" si="7"/>
        <v>8.128</v>
      </c>
      <c r="L233" s="142" t="s">
        <v>54</v>
      </c>
      <c r="M233" s="142" t="str">
        <f>VLOOKUP(L233,Packaging!$B$3:$C$21,2,0)</f>
        <v>290 X 200 X 140</v>
      </c>
      <c r="N233" s="11"/>
      <c r="O233" s="11">
        <v>20</v>
      </c>
      <c r="P233" s="11" t="s">
        <v>55</v>
      </c>
    </row>
    <row r="234" customHeight="1" spans="1:16">
      <c r="A234" s="7" t="s">
        <v>751</v>
      </c>
      <c r="B234" s="11">
        <v>956213</v>
      </c>
      <c r="C234" s="9" t="s">
        <v>752</v>
      </c>
      <c r="D234" s="11" t="s">
        <v>569</v>
      </c>
      <c r="E234" s="18" t="s">
        <v>53</v>
      </c>
      <c r="F234" s="19"/>
      <c r="G234" s="20">
        <f t="shared" si="8"/>
        <v>91</v>
      </c>
      <c r="H234" s="11" t="s">
        <v>753</v>
      </c>
      <c r="I234" s="27"/>
      <c r="J234" s="28">
        <v>4.8</v>
      </c>
      <c r="K234" s="29" t="e">
        <f t="shared" si="7"/>
        <v>#VALUE!</v>
      </c>
      <c r="L234" s="11"/>
      <c r="M234" s="21" t="e">
        <f>VLOOKUP(L234,Packaging!$B$3:$C$21,2,0)</f>
        <v>#N/A</v>
      </c>
      <c r="N234" s="11"/>
      <c r="O234" s="11"/>
      <c r="P234" s="11" t="s">
        <v>55</v>
      </c>
    </row>
    <row r="235" customHeight="1" spans="1:16">
      <c r="A235" s="7" t="s">
        <v>754</v>
      </c>
      <c r="B235" s="11">
        <v>956399</v>
      </c>
      <c r="C235" s="9" t="s">
        <v>755</v>
      </c>
      <c r="D235" s="11" t="s">
        <v>569</v>
      </c>
      <c r="E235" s="18">
        <v>500</v>
      </c>
      <c r="F235" s="19"/>
      <c r="G235" s="20">
        <f t="shared" si="8"/>
        <v>91</v>
      </c>
      <c r="H235" s="11" t="s">
        <v>756</v>
      </c>
      <c r="I235" s="27">
        <v>280</v>
      </c>
      <c r="J235" s="28">
        <v>30</v>
      </c>
      <c r="K235" s="29">
        <f t="shared" si="7"/>
        <v>15.28</v>
      </c>
      <c r="L235" s="142" t="s">
        <v>54</v>
      </c>
      <c r="M235" s="142" t="str">
        <f>VLOOKUP(L235,Packaging!$B$3:$C$21,2,0)</f>
        <v>290 X 200 X 140</v>
      </c>
      <c r="N235" s="11"/>
      <c r="O235" s="11"/>
      <c r="P235" s="11" t="s">
        <v>55</v>
      </c>
    </row>
    <row r="236" customHeight="1" spans="1:16">
      <c r="A236" s="7" t="s">
        <v>757</v>
      </c>
      <c r="B236" s="11" t="s">
        <v>758</v>
      </c>
      <c r="C236" s="9" t="s">
        <v>759</v>
      </c>
      <c r="D236" s="11" t="s">
        <v>569</v>
      </c>
      <c r="E236" s="18">
        <v>20</v>
      </c>
      <c r="F236" s="19"/>
      <c r="G236" s="20">
        <f t="shared" si="8"/>
        <v>91</v>
      </c>
      <c r="H236" s="11" t="s">
        <v>760</v>
      </c>
      <c r="I236" s="27"/>
      <c r="J236" s="28">
        <v>161</v>
      </c>
      <c r="K236" s="29">
        <f t="shared" ref="K236:K299" si="9">(I236+(J236*E236))/1000</f>
        <v>3.22</v>
      </c>
      <c r="L236" s="11"/>
      <c r="M236" s="21" t="e">
        <f>VLOOKUP(L236,Packaging!$B$3:$C$21,2,0)</f>
        <v>#N/A</v>
      </c>
      <c r="N236" s="11" t="s">
        <v>761</v>
      </c>
      <c r="O236" s="11"/>
      <c r="P236" s="11" t="s">
        <v>55</v>
      </c>
    </row>
    <row r="237" customHeight="1" spans="1:16">
      <c r="A237" s="7" t="s">
        <v>762</v>
      </c>
      <c r="B237" s="11" t="s">
        <v>763</v>
      </c>
      <c r="C237" s="9" t="s">
        <v>764</v>
      </c>
      <c r="D237" s="11" t="s">
        <v>569</v>
      </c>
      <c r="E237" s="18" t="s">
        <v>53</v>
      </c>
      <c r="F237" s="19"/>
      <c r="G237" s="20">
        <f t="shared" si="8"/>
        <v>91</v>
      </c>
      <c r="H237" s="11" t="s">
        <v>765</v>
      </c>
      <c r="I237" s="27">
        <v>280</v>
      </c>
      <c r="J237" s="28">
        <v>10.8</v>
      </c>
      <c r="K237" s="29" t="e">
        <f t="shared" si="9"/>
        <v>#VALUE!</v>
      </c>
      <c r="L237" s="142" t="s">
        <v>54</v>
      </c>
      <c r="M237" s="142" t="str">
        <f>VLOOKUP(L237,Packaging!$B$3:$C$21,2,0)</f>
        <v>290 X 200 X 140</v>
      </c>
      <c r="N237" s="11"/>
      <c r="O237" s="11">
        <v>20</v>
      </c>
      <c r="P237" s="11" t="s">
        <v>55</v>
      </c>
    </row>
    <row r="238" customHeight="1" spans="1:16">
      <c r="A238" s="7" t="s">
        <v>766</v>
      </c>
      <c r="B238" s="11">
        <v>956423</v>
      </c>
      <c r="C238" s="9" t="s">
        <v>767</v>
      </c>
      <c r="D238" s="11" t="s">
        <v>569</v>
      </c>
      <c r="E238" s="18">
        <v>1000</v>
      </c>
      <c r="F238" s="19"/>
      <c r="G238" s="20">
        <f t="shared" si="8"/>
        <v>91</v>
      </c>
      <c r="H238" s="11" t="s">
        <v>768</v>
      </c>
      <c r="I238" s="27">
        <v>244</v>
      </c>
      <c r="J238" s="28">
        <v>12.6</v>
      </c>
      <c r="K238" s="29">
        <f t="shared" si="9"/>
        <v>12.844</v>
      </c>
      <c r="L238" s="144" t="s">
        <v>274</v>
      </c>
      <c r="M238" s="142" t="str">
        <f>VLOOKUP(L238,Packaging!$B$3:$C$21,2,0)</f>
        <v>290 X 200 X 100</v>
      </c>
      <c r="N238" s="11"/>
      <c r="O238" s="11">
        <v>250</v>
      </c>
      <c r="P238" s="11" t="s">
        <v>55</v>
      </c>
    </row>
    <row r="239" customHeight="1" spans="1:16">
      <c r="A239" s="7" t="s">
        <v>769</v>
      </c>
      <c r="B239" s="11">
        <v>956463</v>
      </c>
      <c r="C239" s="9" t="s">
        <v>770</v>
      </c>
      <c r="D239" s="11" t="s">
        <v>569</v>
      </c>
      <c r="E239" s="18">
        <v>1000</v>
      </c>
      <c r="F239" s="19"/>
      <c r="G239" s="20">
        <f t="shared" si="8"/>
        <v>91</v>
      </c>
      <c r="H239" s="11" t="s">
        <v>771</v>
      </c>
      <c r="I239" s="27">
        <v>244</v>
      </c>
      <c r="J239" s="28">
        <v>11.6</v>
      </c>
      <c r="K239" s="29">
        <f t="shared" si="9"/>
        <v>11.844</v>
      </c>
      <c r="L239" s="144" t="s">
        <v>274</v>
      </c>
      <c r="M239" s="142" t="str">
        <f>VLOOKUP(L239,Packaging!$B$3:$C$21,2,0)</f>
        <v>290 X 200 X 100</v>
      </c>
      <c r="N239" s="11"/>
      <c r="O239" s="11">
        <v>250</v>
      </c>
      <c r="P239" s="11" t="s">
        <v>55</v>
      </c>
    </row>
    <row r="240" customHeight="1" spans="1:16">
      <c r="A240" s="7" t="s">
        <v>772</v>
      </c>
      <c r="B240" s="37">
        <v>3000007326</v>
      </c>
      <c r="C240" s="13" t="s">
        <v>773</v>
      </c>
      <c r="D240" s="11" t="s">
        <v>569</v>
      </c>
      <c r="E240" s="18">
        <v>60</v>
      </c>
      <c r="F240" s="19"/>
      <c r="G240" s="20">
        <f t="shared" si="8"/>
        <v>91</v>
      </c>
      <c r="H240" s="11" t="s">
        <v>774</v>
      </c>
      <c r="I240" s="27">
        <v>280</v>
      </c>
      <c r="J240" s="28">
        <v>86</v>
      </c>
      <c r="K240" s="29">
        <f t="shared" si="9"/>
        <v>5.44</v>
      </c>
      <c r="L240" s="142" t="s">
        <v>54</v>
      </c>
      <c r="M240" s="142" t="str">
        <f>VLOOKUP(L240,Packaging!$B$3:$C$21,2,0)</f>
        <v>290 X 200 X 140</v>
      </c>
      <c r="N240" s="11"/>
      <c r="O240" s="11"/>
      <c r="P240" s="11" t="s">
        <v>55</v>
      </c>
    </row>
    <row r="241" customHeight="1" spans="1:16">
      <c r="A241" s="7" t="s">
        <v>775</v>
      </c>
      <c r="B241" s="11" t="s">
        <v>776</v>
      </c>
      <c r="C241" s="9" t="s">
        <v>777</v>
      </c>
      <c r="D241" s="11" t="s">
        <v>569</v>
      </c>
      <c r="E241" s="18">
        <v>30</v>
      </c>
      <c r="F241" s="19"/>
      <c r="G241" s="20">
        <f t="shared" si="8"/>
        <v>91</v>
      </c>
      <c r="H241" s="11" t="s">
        <v>778</v>
      </c>
      <c r="I241" s="27">
        <v>580</v>
      </c>
      <c r="J241" s="28">
        <v>512.4</v>
      </c>
      <c r="K241" s="29">
        <f t="shared" si="9"/>
        <v>15.952</v>
      </c>
      <c r="L241" s="144" t="s">
        <v>101</v>
      </c>
      <c r="M241" s="142" t="str">
        <f>VLOOKUP(L241,Packaging!$B$3:$C$21,2,0)</f>
        <v>1380 X 150 X 80</v>
      </c>
      <c r="N241" s="11"/>
      <c r="O241" s="11"/>
      <c r="P241" s="11" t="s">
        <v>55</v>
      </c>
    </row>
    <row r="242" customHeight="1" spans="1:16">
      <c r="A242" s="7" t="s">
        <v>779</v>
      </c>
      <c r="B242" s="11" t="s">
        <v>780</v>
      </c>
      <c r="C242" s="9" t="s">
        <v>781</v>
      </c>
      <c r="D242" s="11" t="s">
        <v>569</v>
      </c>
      <c r="E242" s="18">
        <v>100</v>
      </c>
      <c r="F242" s="19"/>
      <c r="G242" s="20">
        <f t="shared" si="8"/>
        <v>91</v>
      </c>
      <c r="H242" s="11" t="s">
        <v>782</v>
      </c>
      <c r="I242" s="27"/>
      <c r="J242" s="28">
        <v>217.2</v>
      </c>
      <c r="K242" s="29">
        <f t="shared" si="9"/>
        <v>21.72</v>
      </c>
      <c r="L242" s="11"/>
      <c r="M242" s="21" t="e">
        <f>VLOOKUP(L242,Packaging!$B$3:$C$21,2,0)</f>
        <v>#N/A</v>
      </c>
      <c r="N242" s="11"/>
      <c r="O242" s="11">
        <v>5</v>
      </c>
      <c r="P242" s="11" t="s">
        <v>55</v>
      </c>
    </row>
    <row r="243" customHeight="1" spans="1:16">
      <c r="A243" s="7" t="s">
        <v>783</v>
      </c>
      <c r="B243" s="11" t="s">
        <v>784</v>
      </c>
      <c r="C243" s="9" t="s">
        <v>785</v>
      </c>
      <c r="D243" s="11" t="s">
        <v>569</v>
      </c>
      <c r="E243" s="18">
        <v>400</v>
      </c>
      <c r="F243" s="19"/>
      <c r="G243" s="20">
        <f t="shared" si="8"/>
        <v>91</v>
      </c>
      <c r="H243" s="11" t="s">
        <v>786</v>
      </c>
      <c r="I243" s="27">
        <v>378</v>
      </c>
      <c r="J243" s="28">
        <v>13.8</v>
      </c>
      <c r="K243" s="29">
        <f t="shared" si="9"/>
        <v>5.898</v>
      </c>
      <c r="L243" s="144" t="s">
        <v>91</v>
      </c>
      <c r="M243" s="142" t="str">
        <f>VLOOKUP(L243,Packaging!$B$3:$C$21,2,0)</f>
        <v>400 X 240 X 130</v>
      </c>
      <c r="N243" s="11"/>
      <c r="O243" s="11">
        <v>50</v>
      </c>
      <c r="P243" s="11" t="s">
        <v>55</v>
      </c>
    </row>
    <row r="244" customHeight="1" spans="1:16">
      <c r="A244" s="7" t="s">
        <v>787</v>
      </c>
      <c r="B244" s="11" t="s">
        <v>788</v>
      </c>
      <c r="C244" s="9" t="s">
        <v>789</v>
      </c>
      <c r="D244" s="11" t="s">
        <v>569</v>
      </c>
      <c r="E244" s="18">
        <v>600</v>
      </c>
      <c r="F244" s="19"/>
      <c r="G244" s="20">
        <f t="shared" si="8"/>
        <v>91</v>
      </c>
      <c r="H244" s="11" t="s">
        <v>790</v>
      </c>
      <c r="I244" s="27"/>
      <c r="J244" s="28">
        <v>21.2</v>
      </c>
      <c r="K244" s="29">
        <f t="shared" si="9"/>
        <v>12.72</v>
      </c>
      <c r="L244" s="11"/>
      <c r="M244" s="21" t="e">
        <f>VLOOKUP(L244,Packaging!$B$3:$C$21,2,0)</f>
        <v>#N/A</v>
      </c>
      <c r="N244" s="11"/>
      <c r="O244" s="11"/>
      <c r="P244" s="11" t="s">
        <v>55</v>
      </c>
    </row>
    <row r="245" customHeight="1" spans="1:16">
      <c r="A245" s="7" t="s">
        <v>791</v>
      </c>
      <c r="B245" s="11" t="s">
        <v>792</v>
      </c>
      <c r="C245" s="9" t="s">
        <v>793</v>
      </c>
      <c r="D245" s="11" t="s">
        <v>569</v>
      </c>
      <c r="E245" s="18">
        <v>2000</v>
      </c>
      <c r="F245" s="19"/>
      <c r="G245" s="20">
        <f t="shared" si="8"/>
        <v>91</v>
      </c>
      <c r="H245" s="11" t="s">
        <v>794</v>
      </c>
      <c r="I245" s="27">
        <v>280</v>
      </c>
      <c r="J245" s="28">
        <v>1.6</v>
      </c>
      <c r="K245" s="29">
        <f t="shared" si="9"/>
        <v>3.48</v>
      </c>
      <c r="L245" s="144" t="s">
        <v>54</v>
      </c>
      <c r="M245" s="142" t="str">
        <f>VLOOKUP(L245,Packaging!$B$3:$C$21,2,0)</f>
        <v>290 X 200 X 140</v>
      </c>
      <c r="N245" s="11"/>
      <c r="O245" s="11">
        <v>250</v>
      </c>
      <c r="P245" s="11" t="s">
        <v>55</v>
      </c>
    </row>
    <row r="246" customHeight="1" spans="1:16">
      <c r="A246" s="7" t="s">
        <v>795</v>
      </c>
      <c r="B246" s="11" t="s">
        <v>796</v>
      </c>
      <c r="C246" s="9" t="s">
        <v>797</v>
      </c>
      <c r="D246" s="11" t="s">
        <v>569</v>
      </c>
      <c r="E246" s="18">
        <v>300</v>
      </c>
      <c r="F246" s="19"/>
      <c r="G246" s="20">
        <f t="shared" si="8"/>
        <v>91</v>
      </c>
      <c r="H246" s="11" t="s">
        <v>798</v>
      </c>
      <c r="I246" s="27">
        <v>280</v>
      </c>
      <c r="J246" s="28">
        <v>13.4</v>
      </c>
      <c r="K246" s="29">
        <f t="shared" si="9"/>
        <v>4.3</v>
      </c>
      <c r="L246" s="144" t="s">
        <v>54</v>
      </c>
      <c r="M246" s="142" t="str">
        <f>VLOOKUP(L246,Packaging!$B$3:$C$21,2,0)</f>
        <v>290 X 200 X 140</v>
      </c>
      <c r="N246" s="11"/>
      <c r="O246" s="11">
        <v>50</v>
      </c>
      <c r="P246" s="11" t="s">
        <v>55</v>
      </c>
    </row>
    <row r="247" customHeight="1" spans="1:16">
      <c r="A247" s="7" t="s">
        <v>799</v>
      </c>
      <c r="B247" s="11" t="s">
        <v>800</v>
      </c>
      <c r="C247" s="9" t="s">
        <v>801</v>
      </c>
      <c r="D247" s="11" t="s">
        <v>569</v>
      </c>
      <c r="E247" s="18">
        <v>20</v>
      </c>
      <c r="F247" s="19"/>
      <c r="G247" s="20">
        <f t="shared" si="8"/>
        <v>91</v>
      </c>
      <c r="H247" s="11" t="s">
        <v>802</v>
      </c>
      <c r="I247" s="27">
        <v>378</v>
      </c>
      <c r="J247" s="28">
        <v>185</v>
      </c>
      <c r="K247" s="29">
        <f t="shared" si="9"/>
        <v>4.078</v>
      </c>
      <c r="L247" s="144" t="s">
        <v>91</v>
      </c>
      <c r="M247" s="142" t="str">
        <f>VLOOKUP(L247,Packaging!$B$3:$C$21,2,0)</f>
        <v>400 X 240 X 130</v>
      </c>
      <c r="N247" s="11"/>
      <c r="O247" s="11">
        <v>2</v>
      </c>
      <c r="P247" s="11" t="s">
        <v>55</v>
      </c>
    </row>
    <row r="248" customHeight="1" spans="1:16">
      <c r="A248" s="7" t="s">
        <v>803</v>
      </c>
      <c r="B248" s="40">
        <v>813910</v>
      </c>
      <c r="C248" s="41" t="s">
        <v>804</v>
      </c>
      <c r="D248" s="11" t="s">
        <v>569</v>
      </c>
      <c r="E248" s="18"/>
      <c r="F248" s="19"/>
      <c r="G248" s="20">
        <f t="shared" si="8"/>
        <v>91</v>
      </c>
      <c r="H248" s="11">
        <v>813910</v>
      </c>
      <c r="I248" s="27">
        <v>244</v>
      </c>
      <c r="J248" s="28">
        <v>61</v>
      </c>
      <c r="K248" s="29">
        <f t="shared" si="9"/>
        <v>0.244</v>
      </c>
      <c r="L248" s="11"/>
      <c r="M248" s="21" t="e">
        <f>VLOOKUP(L248,Packaging!$B$3:$C$21,2,0)</f>
        <v>#N/A</v>
      </c>
      <c r="N248" s="11"/>
      <c r="O248" s="11">
        <v>5</v>
      </c>
      <c r="P248" s="11" t="s">
        <v>55</v>
      </c>
    </row>
    <row r="249" customHeight="1" spans="1:16">
      <c r="A249" s="7" t="s">
        <v>805</v>
      </c>
      <c r="B249" s="11" t="s">
        <v>806</v>
      </c>
      <c r="C249" s="9" t="s">
        <v>807</v>
      </c>
      <c r="D249" s="11" t="s">
        <v>569</v>
      </c>
      <c r="E249" s="18">
        <v>100</v>
      </c>
      <c r="F249" s="19"/>
      <c r="G249" s="20">
        <f t="shared" si="8"/>
        <v>91</v>
      </c>
      <c r="H249" s="11" t="s">
        <v>808</v>
      </c>
      <c r="I249" s="27"/>
      <c r="J249" s="28">
        <v>154</v>
      </c>
      <c r="K249" s="29">
        <f t="shared" si="9"/>
        <v>15.4</v>
      </c>
      <c r="L249" s="144" t="s">
        <v>91</v>
      </c>
      <c r="M249" s="142" t="str">
        <f>VLOOKUP(L249,Packaging!$B$3:$C$21,2,0)</f>
        <v>400 X 240 X 130</v>
      </c>
      <c r="N249" s="11"/>
      <c r="O249" s="11">
        <v>5</v>
      </c>
      <c r="P249" s="11" t="s">
        <v>55</v>
      </c>
    </row>
    <row r="250" customHeight="1" spans="1:16">
      <c r="A250" s="7" t="s">
        <v>809</v>
      </c>
      <c r="B250" s="11" t="s">
        <v>810</v>
      </c>
      <c r="C250" s="9" t="s">
        <v>811</v>
      </c>
      <c r="D250" s="11" t="s">
        <v>569</v>
      </c>
      <c r="E250" s="18">
        <v>180</v>
      </c>
      <c r="F250" s="19"/>
      <c r="G250" s="20">
        <f t="shared" si="8"/>
        <v>91</v>
      </c>
      <c r="H250" s="11" t="s">
        <v>812</v>
      </c>
      <c r="I250" s="27">
        <v>280</v>
      </c>
      <c r="J250" s="28">
        <v>98</v>
      </c>
      <c r="K250" s="29">
        <f t="shared" si="9"/>
        <v>17.92</v>
      </c>
      <c r="L250" s="144" t="s">
        <v>54</v>
      </c>
      <c r="M250" s="142" t="str">
        <f>VLOOKUP(L250,Packaging!$B$3:$C$21,2,0)</f>
        <v>290 X 200 X 140</v>
      </c>
      <c r="N250" s="11"/>
      <c r="O250" s="11"/>
      <c r="P250" s="11" t="s">
        <v>55</v>
      </c>
    </row>
    <row r="251" customHeight="1" spans="1:16">
      <c r="A251" s="7" t="s">
        <v>813</v>
      </c>
      <c r="B251" s="11" t="s">
        <v>814</v>
      </c>
      <c r="C251" s="9" t="s">
        <v>815</v>
      </c>
      <c r="D251" s="11" t="s">
        <v>569</v>
      </c>
      <c r="E251" s="18">
        <v>12</v>
      </c>
      <c r="F251" s="19"/>
      <c r="G251" s="20">
        <f t="shared" si="8"/>
        <v>91</v>
      </c>
      <c r="H251" s="11" t="s">
        <v>816</v>
      </c>
      <c r="I251" s="27"/>
      <c r="J251" s="28">
        <v>270</v>
      </c>
      <c r="K251" s="29">
        <f t="shared" si="9"/>
        <v>3.24</v>
      </c>
      <c r="L251" s="11"/>
      <c r="M251" s="21" t="e">
        <f>VLOOKUP(L251,Packaging!$B$3:$C$21,2,0)</f>
        <v>#N/A</v>
      </c>
      <c r="N251" s="11"/>
      <c r="O251" s="11"/>
      <c r="P251" s="11" t="s">
        <v>55</v>
      </c>
    </row>
    <row r="252" customHeight="1" spans="1:16">
      <c r="A252" s="7" t="s">
        <v>817</v>
      </c>
      <c r="B252" s="11">
        <v>951656</v>
      </c>
      <c r="C252" s="9" t="s">
        <v>818</v>
      </c>
      <c r="D252" s="11" t="s">
        <v>569</v>
      </c>
      <c r="E252" s="18">
        <v>540</v>
      </c>
      <c r="F252" s="19"/>
      <c r="G252" s="20">
        <f t="shared" si="8"/>
        <v>91</v>
      </c>
      <c r="H252" s="11" t="s">
        <v>652</v>
      </c>
      <c r="I252" s="27">
        <v>280</v>
      </c>
      <c r="J252" s="28">
        <v>35.4</v>
      </c>
      <c r="K252" s="29">
        <f t="shared" si="9"/>
        <v>19.396</v>
      </c>
      <c r="L252" s="144" t="s">
        <v>54</v>
      </c>
      <c r="M252" s="142" t="str">
        <f>VLOOKUP(L252,Packaging!$B$3:$C$21,2,0)</f>
        <v>290 X 200 X 140</v>
      </c>
      <c r="N252" s="11"/>
      <c r="O252" s="11">
        <v>15</v>
      </c>
      <c r="P252" s="11" t="s">
        <v>55</v>
      </c>
    </row>
    <row r="253" customHeight="1" spans="1:16">
      <c r="A253" s="7" t="s">
        <v>819</v>
      </c>
      <c r="B253" s="11">
        <v>951657</v>
      </c>
      <c r="C253" s="9" t="s">
        <v>820</v>
      </c>
      <c r="D253" s="11" t="s">
        <v>569</v>
      </c>
      <c r="E253" s="18">
        <v>540</v>
      </c>
      <c r="F253" s="19"/>
      <c r="G253" s="20">
        <f t="shared" si="8"/>
        <v>91</v>
      </c>
      <c r="H253" s="11" t="s">
        <v>652</v>
      </c>
      <c r="I253" s="27">
        <v>280</v>
      </c>
      <c r="J253" s="28">
        <v>35.4</v>
      </c>
      <c r="K253" s="29">
        <f t="shared" si="9"/>
        <v>19.396</v>
      </c>
      <c r="L253" s="144" t="s">
        <v>54</v>
      </c>
      <c r="M253" s="142" t="str">
        <f>VLOOKUP(L253,Packaging!$B$3:$C$21,2,0)</f>
        <v>290 X 200 X 140</v>
      </c>
      <c r="N253" s="11"/>
      <c r="O253" s="11">
        <v>15</v>
      </c>
      <c r="P253" s="11" t="s">
        <v>55</v>
      </c>
    </row>
    <row r="254" customHeight="1" spans="1:16">
      <c r="A254" s="7" t="s">
        <v>821</v>
      </c>
      <c r="B254" s="11">
        <v>3000003867</v>
      </c>
      <c r="C254" s="9" t="s">
        <v>822</v>
      </c>
      <c r="D254" s="11" t="s">
        <v>569</v>
      </c>
      <c r="E254" s="18">
        <v>28</v>
      </c>
      <c r="F254" s="19"/>
      <c r="G254" s="20">
        <f t="shared" si="8"/>
        <v>91</v>
      </c>
      <c r="H254" s="11" t="s">
        <v>823</v>
      </c>
      <c r="I254" s="27"/>
      <c r="J254" s="29">
        <v>1.064</v>
      </c>
      <c r="K254" s="29">
        <f t="shared" si="9"/>
        <v>0.029792</v>
      </c>
      <c r="L254" s="11"/>
      <c r="M254" s="21" t="e">
        <f>VLOOKUP(L254,Packaging!$B$3:$C$21,2,0)</f>
        <v>#N/A</v>
      </c>
      <c r="N254" s="11"/>
      <c r="O254" s="11"/>
      <c r="P254" s="11" t="s">
        <v>55</v>
      </c>
    </row>
    <row r="255" customHeight="1" spans="1:16">
      <c r="A255" s="7" t="s">
        <v>824</v>
      </c>
      <c r="B255" s="11">
        <v>3000004582</v>
      </c>
      <c r="C255" s="9" t="s">
        <v>825</v>
      </c>
      <c r="D255" s="11" t="s">
        <v>569</v>
      </c>
      <c r="E255" s="18">
        <v>5</v>
      </c>
      <c r="F255" s="19"/>
      <c r="G255" s="20">
        <f t="shared" si="8"/>
        <v>91</v>
      </c>
      <c r="H255" s="11" t="s">
        <v>826</v>
      </c>
      <c r="I255" s="27">
        <v>766</v>
      </c>
      <c r="J255" s="28">
        <v>1271.8</v>
      </c>
      <c r="K255" s="29">
        <f t="shared" si="9"/>
        <v>7.125</v>
      </c>
      <c r="L255" s="144" t="s">
        <v>72</v>
      </c>
      <c r="M255" s="142" t="str">
        <f>VLOOKUP(L255,Packaging!$B$3:$C$21,2,0)</f>
        <v>390 X 350 X 280</v>
      </c>
      <c r="N255" s="11"/>
      <c r="O255" s="11"/>
      <c r="P255" s="11" t="s">
        <v>55</v>
      </c>
    </row>
    <row r="256" customHeight="1" spans="1:16">
      <c r="A256" s="7" t="s">
        <v>827</v>
      </c>
      <c r="B256" s="11">
        <v>3000004578</v>
      </c>
      <c r="C256" s="9" t="s">
        <v>828</v>
      </c>
      <c r="D256" s="11" t="s">
        <v>569</v>
      </c>
      <c r="E256" s="18">
        <v>26</v>
      </c>
      <c r="F256" s="19"/>
      <c r="G256" s="20">
        <f t="shared" si="8"/>
        <v>91</v>
      </c>
      <c r="H256" s="11" t="s">
        <v>829</v>
      </c>
      <c r="I256" s="27">
        <v>280</v>
      </c>
      <c r="J256" s="28">
        <v>520.4</v>
      </c>
      <c r="K256" s="29">
        <f t="shared" si="9"/>
        <v>13.8104</v>
      </c>
      <c r="L256" s="144" t="s">
        <v>54</v>
      </c>
      <c r="M256" s="142" t="str">
        <f>VLOOKUP(L256,Packaging!$B$3:$C$21,2,0)</f>
        <v>290 X 200 X 140</v>
      </c>
      <c r="N256" s="11"/>
      <c r="O256" s="11"/>
      <c r="P256" s="11" t="s">
        <v>55</v>
      </c>
    </row>
    <row r="257" customHeight="1" spans="1:16">
      <c r="A257" s="7" t="s">
        <v>830</v>
      </c>
      <c r="B257" s="11">
        <v>3000004579</v>
      </c>
      <c r="C257" s="9" t="s">
        <v>831</v>
      </c>
      <c r="D257" s="11" t="s">
        <v>569</v>
      </c>
      <c r="E257" s="18">
        <v>70</v>
      </c>
      <c r="F257" s="19"/>
      <c r="G257" s="20">
        <f t="shared" si="8"/>
        <v>91</v>
      </c>
      <c r="H257" s="11" t="s">
        <v>832</v>
      </c>
      <c r="I257" s="27">
        <v>378</v>
      </c>
      <c r="J257" s="28">
        <v>210.4</v>
      </c>
      <c r="K257" s="29">
        <f t="shared" si="9"/>
        <v>15.106</v>
      </c>
      <c r="L257" s="144" t="s">
        <v>91</v>
      </c>
      <c r="M257" s="142" t="str">
        <f>VLOOKUP(L257,Packaging!$B$3:$C$21,2,0)</f>
        <v>400 X 240 X 130</v>
      </c>
      <c r="N257" s="11"/>
      <c r="O257" s="11">
        <v>5</v>
      </c>
      <c r="P257" s="11" t="s">
        <v>55</v>
      </c>
    </row>
    <row r="258" customHeight="1" spans="1:16">
      <c r="A258" s="7" t="s">
        <v>833</v>
      </c>
      <c r="B258" s="11">
        <v>3000004587</v>
      </c>
      <c r="C258" s="9" t="s">
        <v>834</v>
      </c>
      <c r="D258" s="11" t="s">
        <v>569</v>
      </c>
      <c r="E258" s="18">
        <v>12</v>
      </c>
      <c r="F258" s="19"/>
      <c r="G258" s="20">
        <f t="shared" si="8"/>
        <v>91</v>
      </c>
      <c r="H258" s="11" t="s">
        <v>835</v>
      </c>
      <c r="I258" s="27">
        <v>378</v>
      </c>
      <c r="J258" s="28">
        <v>164.6</v>
      </c>
      <c r="K258" s="29">
        <f t="shared" si="9"/>
        <v>2.3532</v>
      </c>
      <c r="L258" s="144" t="s">
        <v>91</v>
      </c>
      <c r="M258" s="142" t="str">
        <f>VLOOKUP(L258,Packaging!$B$3:$C$21,2,0)</f>
        <v>400 X 240 X 130</v>
      </c>
      <c r="N258" s="11"/>
      <c r="O258" s="11"/>
      <c r="P258" s="11" t="s">
        <v>55</v>
      </c>
    </row>
    <row r="259" customHeight="1" spans="1:16">
      <c r="A259" s="7" t="s">
        <v>836</v>
      </c>
      <c r="B259" s="11">
        <v>3000005012</v>
      </c>
      <c r="C259" s="9" t="s">
        <v>825</v>
      </c>
      <c r="D259" s="11" t="s">
        <v>569</v>
      </c>
      <c r="E259" s="18">
        <v>5</v>
      </c>
      <c r="F259" s="19"/>
      <c r="G259" s="20">
        <f t="shared" si="8"/>
        <v>91</v>
      </c>
      <c r="H259" s="11" t="s">
        <v>837</v>
      </c>
      <c r="I259" s="27">
        <v>766</v>
      </c>
      <c r="J259" s="47">
        <v>1.555</v>
      </c>
      <c r="K259" s="29">
        <f t="shared" si="9"/>
        <v>0.773775</v>
      </c>
      <c r="L259" s="144" t="s">
        <v>72</v>
      </c>
      <c r="M259" s="142" t="str">
        <f>VLOOKUP(L259,Packaging!$B$3:$C$21,2,0)</f>
        <v>390 X 350 X 280</v>
      </c>
      <c r="N259" s="11"/>
      <c r="O259" s="11"/>
      <c r="P259" s="11" t="s">
        <v>55</v>
      </c>
    </row>
    <row r="260" customHeight="1" spans="1:16">
      <c r="A260" s="7" t="s">
        <v>838</v>
      </c>
      <c r="B260" s="11">
        <v>3000004754</v>
      </c>
      <c r="C260" s="9" t="s">
        <v>839</v>
      </c>
      <c r="D260" s="11" t="s">
        <v>569</v>
      </c>
      <c r="E260" s="18">
        <v>100</v>
      </c>
      <c r="F260" s="19"/>
      <c r="G260" s="20">
        <f t="shared" si="8"/>
        <v>91</v>
      </c>
      <c r="H260" s="11" t="s">
        <v>840</v>
      </c>
      <c r="I260" s="27">
        <v>244</v>
      </c>
      <c r="J260" s="28">
        <v>11.2</v>
      </c>
      <c r="K260" s="29">
        <f t="shared" si="9"/>
        <v>1.364</v>
      </c>
      <c r="L260" s="11" t="s">
        <v>274</v>
      </c>
      <c r="M260" s="142" t="str">
        <f>VLOOKUP(L260,Packaging!$B$3:$C$21,2,0)</f>
        <v>290 X 200 X 100</v>
      </c>
      <c r="N260" s="11"/>
      <c r="O260" s="11">
        <v>10</v>
      </c>
      <c r="P260" s="11" t="s">
        <v>55</v>
      </c>
    </row>
    <row r="261" customHeight="1" spans="1:16">
      <c r="A261" s="7" t="s">
        <v>841</v>
      </c>
      <c r="B261" s="11">
        <v>3000005448</v>
      </c>
      <c r="C261" s="9" t="s">
        <v>842</v>
      </c>
      <c r="D261" s="11" t="s">
        <v>569</v>
      </c>
      <c r="E261" s="18">
        <v>70</v>
      </c>
      <c r="F261" s="19"/>
      <c r="G261" s="20">
        <f t="shared" si="8"/>
        <v>91</v>
      </c>
      <c r="H261" s="11" t="s">
        <v>843</v>
      </c>
      <c r="I261" s="27">
        <v>28</v>
      </c>
      <c r="J261" s="28">
        <v>65.2</v>
      </c>
      <c r="K261" s="29">
        <f t="shared" si="9"/>
        <v>4.592</v>
      </c>
      <c r="L261" s="144" t="s">
        <v>161</v>
      </c>
      <c r="M261" s="142" t="str">
        <f>VLOOKUP(L261,Packaging!$B$3:$C$21,2,0)</f>
        <v>360 X 270 X 128</v>
      </c>
      <c r="N261" s="11"/>
      <c r="O261" s="11"/>
      <c r="P261" s="11" t="s">
        <v>55</v>
      </c>
    </row>
    <row r="262" customHeight="1" spans="1:16">
      <c r="A262" s="7" t="s">
        <v>844</v>
      </c>
      <c r="B262" s="11">
        <v>3000005728</v>
      </c>
      <c r="C262" s="9" t="s">
        <v>845</v>
      </c>
      <c r="D262" s="11" t="s">
        <v>569</v>
      </c>
      <c r="E262" s="18">
        <v>440</v>
      </c>
      <c r="F262" s="19"/>
      <c r="G262" s="20">
        <f t="shared" si="8"/>
        <v>91</v>
      </c>
      <c r="H262" s="11" t="s">
        <v>846</v>
      </c>
      <c r="I262" s="27">
        <v>280</v>
      </c>
      <c r="J262" s="28">
        <v>26.4</v>
      </c>
      <c r="K262" s="29">
        <f t="shared" si="9"/>
        <v>11.896</v>
      </c>
      <c r="L262" s="11" t="s">
        <v>54</v>
      </c>
      <c r="M262" s="142" t="str">
        <f>VLOOKUP(L262,Packaging!$B$3:$C$21,2,0)</f>
        <v>290 X 200 X 140</v>
      </c>
      <c r="N262" s="11"/>
      <c r="O262" s="11">
        <v>44</v>
      </c>
      <c r="P262" s="11" t="s">
        <v>55</v>
      </c>
    </row>
    <row r="263" customHeight="1" spans="1:16">
      <c r="A263" s="7" t="s">
        <v>847</v>
      </c>
      <c r="B263" s="11">
        <v>3000005729</v>
      </c>
      <c r="C263" s="9" t="s">
        <v>613</v>
      </c>
      <c r="D263" s="11" t="s">
        <v>569</v>
      </c>
      <c r="E263" s="18">
        <v>450</v>
      </c>
      <c r="F263" s="19"/>
      <c r="G263" s="20">
        <f t="shared" si="8"/>
        <v>91</v>
      </c>
      <c r="H263" s="11" t="s">
        <v>848</v>
      </c>
      <c r="I263" s="27">
        <v>280</v>
      </c>
      <c r="J263" s="28">
        <v>24</v>
      </c>
      <c r="K263" s="29">
        <f t="shared" si="9"/>
        <v>11.08</v>
      </c>
      <c r="L263" s="11" t="s">
        <v>54</v>
      </c>
      <c r="M263" s="142" t="str">
        <f>VLOOKUP(L263,Packaging!$B$3:$C$21,2,0)</f>
        <v>290 X 200 X 140</v>
      </c>
      <c r="N263" s="11"/>
      <c r="O263" s="11">
        <v>75</v>
      </c>
      <c r="P263" s="11" t="s">
        <v>55</v>
      </c>
    </row>
    <row r="264" customHeight="1" spans="1:16">
      <c r="A264" s="7" t="s">
        <v>849</v>
      </c>
      <c r="B264" s="11">
        <v>3000005730</v>
      </c>
      <c r="C264" s="9" t="s">
        <v>850</v>
      </c>
      <c r="D264" s="11" t="s">
        <v>569</v>
      </c>
      <c r="E264" s="18">
        <v>250</v>
      </c>
      <c r="F264" s="19"/>
      <c r="G264" s="20">
        <f t="shared" si="8"/>
        <v>91</v>
      </c>
      <c r="H264" s="11" t="s">
        <v>851</v>
      </c>
      <c r="I264" s="27">
        <v>280</v>
      </c>
      <c r="J264" s="28">
        <v>52.2</v>
      </c>
      <c r="K264" s="29">
        <f t="shared" si="9"/>
        <v>13.33</v>
      </c>
      <c r="L264" s="11" t="s">
        <v>54</v>
      </c>
      <c r="M264" s="142" t="str">
        <f>VLOOKUP(L264,Packaging!$B$3:$C$21,2,0)</f>
        <v>290 X 200 X 140</v>
      </c>
      <c r="N264" s="11"/>
      <c r="O264" s="11">
        <v>50</v>
      </c>
      <c r="P264" s="11" t="s">
        <v>55</v>
      </c>
    </row>
    <row r="265" customHeight="1" spans="1:16">
      <c r="A265" s="7" t="s">
        <v>852</v>
      </c>
      <c r="B265" s="11" t="s">
        <v>853</v>
      </c>
      <c r="C265" s="9" t="s">
        <v>854</v>
      </c>
      <c r="D265" s="11" t="s">
        <v>569</v>
      </c>
      <c r="E265" s="18">
        <v>30</v>
      </c>
      <c r="F265" s="19"/>
      <c r="G265" s="20">
        <f t="shared" si="8"/>
        <v>91</v>
      </c>
      <c r="H265" s="11" t="s">
        <v>855</v>
      </c>
      <c r="I265" s="27">
        <v>580</v>
      </c>
      <c r="J265" s="28">
        <v>542.6</v>
      </c>
      <c r="K265" s="29">
        <f t="shared" si="9"/>
        <v>16.858</v>
      </c>
      <c r="L265" s="144" t="s">
        <v>101</v>
      </c>
      <c r="M265" s="142" t="str">
        <f>VLOOKUP(L265,Packaging!$B$3:$C$21,2,0)</f>
        <v>1380 X 150 X 80</v>
      </c>
      <c r="N265" s="11"/>
      <c r="O265" s="11"/>
      <c r="P265" s="11" t="s">
        <v>55</v>
      </c>
    </row>
    <row r="266" customHeight="1" spans="1:16">
      <c r="A266" s="7" t="s">
        <v>856</v>
      </c>
      <c r="B266" s="42">
        <v>3000001306</v>
      </c>
      <c r="C266" s="43" t="s">
        <v>773</v>
      </c>
      <c r="D266" s="42" t="s">
        <v>569</v>
      </c>
      <c r="E266" s="44">
        <v>60</v>
      </c>
      <c r="F266" s="45"/>
      <c r="G266" s="46">
        <f t="shared" si="8"/>
        <v>91</v>
      </c>
      <c r="H266" s="42">
        <v>3000001306</v>
      </c>
      <c r="I266" s="48">
        <v>280</v>
      </c>
      <c r="J266" s="49"/>
      <c r="K266" s="50">
        <f t="shared" si="9"/>
        <v>0.28</v>
      </c>
      <c r="L266" s="42" t="s">
        <v>54</v>
      </c>
      <c r="M266" s="145" t="str">
        <f>VLOOKUP(L266,Packaging!$B$3:$C$21,2,0)</f>
        <v>290 X 200 X 140</v>
      </c>
      <c r="N266" s="42" t="s">
        <v>857</v>
      </c>
      <c r="O266" s="11"/>
      <c r="P266" s="11" t="s">
        <v>55</v>
      </c>
    </row>
    <row r="267" customHeight="1" spans="1:16">
      <c r="A267" s="7" t="s">
        <v>858</v>
      </c>
      <c r="B267" s="11" t="s">
        <v>859</v>
      </c>
      <c r="C267" s="9" t="s">
        <v>860</v>
      </c>
      <c r="D267" s="11" t="s">
        <v>569</v>
      </c>
      <c r="E267" s="18">
        <v>40</v>
      </c>
      <c r="F267" s="19"/>
      <c r="G267" s="20">
        <f t="shared" si="8"/>
        <v>91</v>
      </c>
      <c r="H267" s="11" t="s">
        <v>861</v>
      </c>
      <c r="I267" s="27">
        <v>278</v>
      </c>
      <c r="J267" s="28">
        <v>153.5</v>
      </c>
      <c r="K267" s="29">
        <f t="shared" si="9"/>
        <v>6.418</v>
      </c>
      <c r="L267" s="144" t="s">
        <v>161</v>
      </c>
      <c r="M267" s="142" t="str">
        <f>VLOOKUP(L267,Packaging!$B$3:$C$21,2,0)</f>
        <v>360 X 270 X 128</v>
      </c>
      <c r="N267" s="11"/>
      <c r="O267" s="11">
        <v>2</v>
      </c>
      <c r="P267" s="11" t="s">
        <v>55</v>
      </c>
    </row>
    <row r="268" customHeight="1" spans="1:16">
      <c r="A268" s="7" t="s">
        <v>862</v>
      </c>
      <c r="B268" s="11">
        <v>949825</v>
      </c>
      <c r="C268" s="9" t="s">
        <v>863</v>
      </c>
      <c r="D268" s="11" t="s">
        <v>569</v>
      </c>
      <c r="E268" s="18">
        <v>600</v>
      </c>
      <c r="F268" s="19"/>
      <c r="G268" s="20">
        <f t="shared" si="8"/>
        <v>91</v>
      </c>
      <c r="H268" s="11" t="s">
        <v>864</v>
      </c>
      <c r="I268" s="27">
        <v>280</v>
      </c>
      <c r="J268" s="28">
        <v>20</v>
      </c>
      <c r="K268" s="29">
        <f t="shared" si="9"/>
        <v>12.28</v>
      </c>
      <c r="L268" s="11" t="s">
        <v>54</v>
      </c>
      <c r="M268" s="142" t="str">
        <f>VLOOKUP(L268,Packaging!$B$3:$C$21,2,0)</f>
        <v>290 X 200 X 140</v>
      </c>
      <c r="N268" s="11"/>
      <c r="O268" s="11">
        <v>100</v>
      </c>
      <c r="P268" s="11" t="s">
        <v>55</v>
      </c>
    </row>
    <row r="269" customHeight="1" spans="1:16">
      <c r="A269" s="7" t="s">
        <v>865</v>
      </c>
      <c r="B269" s="11" t="s">
        <v>866</v>
      </c>
      <c r="C269" s="9" t="s">
        <v>867</v>
      </c>
      <c r="D269" s="11" t="s">
        <v>569</v>
      </c>
      <c r="E269" s="18">
        <v>120</v>
      </c>
      <c r="F269" s="19"/>
      <c r="G269" s="20">
        <f t="shared" si="8"/>
        <v>91</v>
      </c>
      <c r="H269" s="11" t="s">
        <v>868</v>
      </c>
      <c r="I269" s="27">
        <v>378</v>
      </c>
      <c r="J269" s="28">
        <v>153.4</v>
      </c>
      <c r="K269" s="29">
        <f t="shared" si="9"/>
        <v>18.786</v>
      </c>
      <c r="L269" s="144" t="s">
        <v>91</v>
      </c>
      <c r="M269" s="142" t="str">
        <f>VLOOKUP(L269,Packaging!$B$3:$C$21,2,0)</f>
        <v>400 X 240 X 130</v>
      </c>
      <c r="N269" s="11"/>
      <c r="O269" s="11">
        <v>5</v>
      </c>
      <c r="P269" s="11" t="s">
        <v>55</v>
      </c>
    </row>
    <row r="270" customHeight="1" spans="1:16">
      <c r="A270" s="7" t="s">
        <v>869</v>
      </c>
      <c r="B270" s="11" t="s">
        <v>870</v>
      </c>
      <c r="C270" s="9" t="s">
        <v>871</v>
      </c>
      <c r="D270" s="11" t="s">
        <v>569</v>
      </c>
      <c r="E270" s="18">
        <v>120</v>
      </c>
      <c r="F270" s="19"/>
      <c r="G270" s="20">
        <f t="shared" si="8"/>
        <v>91</v>
      </c>
      <c r="H270" s="11" t="s">
        <v>868</v>
      </c>
      <c r="I270" s="27">
        <v>378</v>
      </c>
      <c r="J270" s="28">
        <v>153.4</v>
      </c>
      <c r="K270" s="29">
        <f t="shared" si="9"/>
        <v>18.786</v>
      </c>
      <c r="L270" s="144" t="s">
        <v>91</v>
      </c>
      <c r="M270" s="142" t="str">
        <f>VLOOKUP(L270,Packaging!$B$3:$C$21,2,0)</f>
        <v>400 X 240 X 130</v>
      </c>
      <c r="N270" s="11"/>
      <c r="O270" s="11">
        <v>5</v>
      </c>
      <c r="P270" s="11" t="s">
        <v>55</v>
      </c>
    </row>
    <row r="271" customHeight="1" spans="1:16">
      <c r="A271" s="7" t="s">
        <v>872</v>
      </c>
      <c r="B271" s="11" t="s">
        <v>873</v>
      </c>
      <c r="C271" s="9" t="s">
        <v>874</v>
      </c>
      <c r="D271" s="11" t="s">
        <v>569</v>
      </c>
      <c r="E271" s="18"/>
      <c r="F271" s="19"/>
      <c r="G271" s="20">
        <f t="shared" si="8"/>
        <v>91</v>
      </c>
      <c r="H271" s="11" t="s">
        <v>875</v>
      </c>
      <c r="I271" s="27"/>
      <c r="J271" s="28">
        <v>20</v>
      </c>
      <c r="K271" s="29">
        <f t="shared" si="9"/>
        <v>0</v>
      </c>
      <c r="L271" s="11"/>
      <c r="M271" s="21" t="e">
        <f>VLOOKUP(L271,Packaging!$B$3:$C$21,2,0)</f>
        <v>#N/A</v>
      </c>
      <c r="N271" s="11"/>
      <c r="O271" s="11"/>
      <c r="P271" s="11" t="s">
        <v>55</v>
      </c>
    </row>
    <row r="272" customHeight="1" spans="1:16">
      <c r="A272" s="7" t="s">
        <v>876</v>
      </c>
      <c r="B272" s="11">
        <v>953529</v>
      </c>
      <c r="C272" s="9" t="s">
        <v>877</v>
      </c>
      <c r="D272" s="11" t="s">
        <v>878</v>
      </c>
      <c r="E272" s="18">
        <v>200</v>
      </c>
      <c r="F272" s="19"/>
      <c r="G272" s="20">
        <f t="shared" si="8"/>
        <v>91</v>
      </c>
      <c r="H272" s="11" t="s">
        <v>879</v>
      </c>
      <c r="I272" s="27">
        <v>280</v>
      </c>
      <c r="J272" s="28">
        <v>74.7</v>
      </c>
      <c r="K272" s="29">
        <f t="shared" si="9"/>
        <v>15.22</v>
      </c>
      <c r="L272" s="144" t="s">
        <v>54</v>
      </c>
      <c r="M272" s="142" t="str">
        <f>VLOOKUP(L272,Packaging!$B$3:$C$21,2,0)</f>
        <v>290 X 200 X 140</v>
      </c>
      <c r="N272" s="11"/>
      <c r="O272" s="11">
        <v>5</v>
      </c>
      <c r="P272" s="11" t="s">
        <v>55</v>
      </c>
    </row>
    <row r="273" customHeight="1" spans="1:16">
      <c r="A273" s="7" t="s">
        <v>880</v>
      </c>
      <c r="B273" s="11">
        <v>953531</v>
      </c>
      <c r="C273" s="9" t="s">
        <v>881</v>
      </c>
      <c r="D273" s="11" t="s">
        <v>569</v>
      </c>
      <c r="E273" s="18"/>
      <c r="F273" s="19"/>
      <c r="G273" s="20">
        <f t="shared" si="8"/>
        <v>91</v>
      </c>
      <c r="H273" s="11" t="s">
        <v>882</v>
      </c>
      <c r="I273" s="27"/>
      <c r="J273" s="28">
        <v>212.4</v>
      </c>
      <c r="K273" s="29">
        <f t="shared" si="9"/>
        <v>0</v>
      </c>
      <c r="L273" s="11"/>
      <c r="M273" s="21" t="e">
        <f>VLOOKUP(L273,Packaging!$B$3:$C$21,2,0)</f>
        <v>#N/A</v>
      </c>
      <c r="N273" s="11"/>
      <c r="O273" s="11"/>
      <c r="P273" s="11" t="s">
        <v>55</v>
      </c>
    </row>
    <row r="274" customHeight="1" spans="1:16">
      <c r="A274" s="7" t="s">
        <v>883</v>
      </c>
      <c r="B274" s="11" t="s">
        <v>884</v>
      </c>
      <c r="C274" s="9" t="s">
        <v>885</v>
      </c>
      <c r="D274" s="11" t="s">
        <v>886</v>
      </c>
      <c r="E274" s="18">
        <v>16</v>
      </c>
      <c r="F274" s="19"/>
      <c r="G274" s="20">
        <f t="shared" ref="G274:G327" si="10">F274+91</f>
        <v>91</v>
      </c>
      <c r="H274" s="146" t="s">
        <v>53</v>
      </c>
      <c r="I274" s="27">
        <v>580</v>
      </c>
      <c r="J274" s="28">
        <v>1046.2</v>
      </c>
      <c r="K274" s="29">
        <f t="shared" si="9"/>
        <v>17.3192</v>
      </c>
      <c r="L274" s="144" t="s">
        <v>101</v>
      </c>
      <c r="M274" s="142" t="s">
        <v>887</v>
      </c>
      <c r="N274" s="11"/>
      <c r="O274" s="11"/>
      <c r="P274" s="11" t="s">
        <v>55</v>
      </c>
    </row>
    <row r="275" customHeight="1" spans="1:16">
      <c r="A275" s="7" t="s">
        <v>888</v>
      </c>
      <c r="B275" s="11" t="s">
        <v>889</v>
      </c>
      <c r="C275" s="9" t="s">
        <v>890</v>
      </c>
      <c r="D275" s="11" t="s">
        <v>886</v>
      </c>
      <c r="E275" s="18">
        <v>10</v>
      </c>
      <c r="F275" s="19"/>
      <c r="G275" s="20">
        <f t="shared" si="10"/>
        <v>91</v>
      </c>
      <c r="H275" s="146" t="s">
        <v>53</v>
      </c>
      <c r="I275" s="27">
        <v>134</v>
      </c>
      <c r="J275" s="28">
        <v>828.2</v>
      </c>
      <c r="K275" s="29">
        <f t="shared" si="9"/>
        <v>8.416</v>
      </c>
      <c r="L275" s="144" t="s">
        <v>891</v>
      </c>
      <c r="M275" s="142" t="str">
        <f>VLOOKUP(L275,Packaging!$B$3:$C$21,2,0)</f>
        <v>280 X 90 X 150</v>
      </c>
      <c r="N275" s="11"/>
      <c r="O275" s="11">
        <v>10</v>
      </c>
      <c r="P275" s="11" t="s">
        <v>55</v>
      </c>
    </row>
    <row r="276" customHeight="1" spans="1:16">
      <c r="A276" s="7" t="s">
        <v>892</v>
      </c>
      <c r="B276" s="11" t="s">
        <v>893</v>
      </c>
      <c r="C276" s="9" t="s">
        <v>894</v>
      </c>
      <c r="D276" s="11" t="s">
        <v>886</v>
      </c>
      <c r="E276" s="18">
        <v>10</v>
      </c>
      <c r="F276" s="19"/>
      <c r="G276" s="20">
        <f t="shared" si="10"/>
        <v>91</v>
      </c>
      <c r="H276" s="146" t="s">
        <v>53</v>
      </c>
      <c r="I276" s="27">
        <v>134</v>
      </c>
      <c r="J276" s="28">
        <v>824.6</v>
      </c>
      <c r="K276" s="29">
        <f t="shared" si="9"/>
        <v>8.38</v>
      </c>
      <c r="L276" s="144" t="s">
        <v>891</v>
      </c>
      <c r="M276" s="142" t="str">
        <f>VLOOKUP(L276,Packaging!$B$3:$C$21,2,0)</f>
        <v>280 X 90 X 150</v>
      </c>
      <c r="N276" s="11"/>
      <c r="O276" s="11">
        <v>10</v>
      </c>
      <c r="P276" s="11" t="s">
        <v>55</v>
      </c>
    </row>
    <row r="277" customHeight="1" spans="1:16">
      <c r="A277" s="7" t="s">
        <v>895</v>
      </c>
      <c r="B277" s="11" t="s">
        <v>896</v>
      </c>
      <c r="C277" s="9" t="s">
        <v>897</v>
      </c>
      <c r="D277" s="11" t="s">
        <v>886</v>
      </c>
      <c r="E277" s="18">
        <v>10</v>
      </c>
      <c r="F277" s="19"/>
      <c r="G277" s="20">
        <f t="shared" si="10"/>
        <v>91</v>
      </c>
      <c r="H277" s="146" t="s">
        <v>53</v>
      </c>
      <c r="I277" s="27"/>
      <c r="J277" s="28">
        <v>1287.8</v>
      </c>
      <c r="K277" s="29">
        <f t="shared" si="9"/>
        <v>12.878</v>
      </c>
      <c r="L277" s="11"/>
      <c r="M277" s="21" t="e">
        <f>VLOOKUP(L277,Packaging!$B$3:$C$21,2,0)</f>
        <v>#N/A</v>
      </c>
      <c r="N277" s="11"/>
      <c r="O277" s="11"/>
      <c r="P277" s="11" t="s">
        <v>55</v>
      </c>
    </row>
    <row r="278" customHeight="1" spans="1:16">
      <c r="A278" s="7" t="s">
        <v>898</v>
      </c>
      <c r="B278" s="11" t="s">
        <v>899</v>
      </c>
      <c r="C278" s="9" t="s">
        <v>900</v>
      </c>
      <c r="D278" s="11" t="s">
        <v>886</v>
      </c>
      <c r="E278" s="18">
        <v>100</v>
      </c>
      <c r="F278" s="19"/>
      <c r="G278" s="20">
        <f t="shared" si="10"/>
        <v>91</v>
      </c>
      <c r="H278" s="146" t="s">
        <v>53</v>
      </c>
      <c r="I278" s="27">
        <v>244</v>
      </c>
      <c r="J278" s="28">
        <v>112</v>
      </c>
      <c r="K278" s="29">
        <f t="shared" si="9"/>
        <v>11.444</v>
      </c>
      <c r="L278" s="144" t="s">
        <v>274</v>
      </c>
      <c r="M278" s="142" t="str">
        <f>VLOOKUP(L278,Packaging!$B$3:$C$21,2,0)</f>
        <v>290 X 200 X 100</v>
      </c>
      <c r="N278" s="11"/>
      <c r="O278" s="11">
        <v>10</v>
      </c>
      <c r="P278" s="11" t="s">
        <v>55</v>
      </c>
    </row>
    <row r="279" customHeight="1" spans="1:16">
      <c r="A279" s="7" t="s">
        <v>901</v>
      </c>
      <c r="B279" s="11" t="s">
        <v>902</v>
      </c>
      <c r="C279" s="9" t="s">
        <v>903</v>
      </c>
      <c r="D279" s="11" t="s">
        <v>886</v>
      </c>
      <c r="E279" s="18">
        <v>100</v>
      </c>
      <c r="F279" s="19"/>
      <c r="G279" s="20">
        <f t="shared" si="10"/>
        <v>91</v>
      </c>
      <c r="H279" s="146" t="s">
        <v>53</v>
      </c>
      <c r="I279" s="27">
        <v>244</v>
      </c>
      <c r="J279" s="28">
        <v>112.8</v>
      </c>
      <c r="K279" s="29">
        <f t="shared" si="9"/>
        <v>11.524</v>
      </c>
      <c r="L279" s="144" t="s">
        <v>274</v>
      </c>
      <c r="M279" s="142" t="str">
        <f>VLOOKUP(L279,Packaging!$B$3:$C$21,2,0)</f>
        <v>290 X 200 X 100</v>
      </c>
      <c r="N279" s="11"/>
      <c r="O279" s="11">
        <v>10</v>
      </c>
      <c r="P279" s="11" t="s">
        <v>55</v>
      </c>
    </row>
    <row r="280" customHeight="1" spans="1:16">
      <c r="A280" s="7" t="s">
        <v>904</v>
      </c>
      <c r="B280" s="11" t="s">
        <v>905</v>
      </c>
      <c r="C280" s="9" t="s">
        <v>906</v>
      </c>
      <c r="D280" s="11" t="s">
        <v>886</v>
      </c>
      <c r="E280" s="18">
        <v>100</v>
      </c>
      <c r="F280" s="19"/>
      <c r="G280" s="20">
        <f t="shared" si="10"/>
        <v>91</v>
      </c>
      <c r="H280" s="146" t="s">
        <v>53</v>
      </c>
      <c r="I280" s="27">
        <v>244</v>
      </c>
      <c r="J280" s="28">
        <v>114.2</v>
      </c>
      <c r="K280" s="29">
        <f t="shared" si="9"/>
        <v>11.664</v>
      </c>
      <c r="L280" s="144" t="s">
        <v>274</v>
      </c>
      <c r="M280" s="142" t="str">
        <f>VLOOKUP(L280,Packaging!$B$3:$C$21,2,0)</f>
        <v>290 X 200 X 100</v>
      </c>
      <c r="N280" s="11"/>
      <c r="O280" s="11">
        <v>5</v>
      </c>
      <c r="P280" s="11" t="s">
        <v>55</v>
      </c>
    </row>
    <row r="281" customHeight="1" spans="1:16">
      <c r="A281" s="7" t="s">
        <v>907</v>
      </c>
      <c r="B281" s="11" t="s">
        <v>908</v>
      </c>
      <c r="C281" s="9" t="s">
        <v>909</v>
      </c>
      <c r="D281" s="11" t="s">
        <v>886</v>
      </c>
      <c r="E281" s="18">
        <v>100</v>
      </c>
      <c r="F281" s="19"/>
      <c r="G281" s="20">
        <f t="shared" si="10"/>
        <v>91</v>
      </c>
      <c r="H281" s="146" t="s">
        <v>53</v>
      </c>
      <c r="I281" s="27">
        <v>244</v>
      </c>
      <c r="J281" s="28">
        <v>114.2</v>
      </c>
      <c r="K281" s="29">
        <f t="shared" si="9"/>
        <v>11.664</v>
      </c>
      <c r="L281" s="144" t="s">
        <v>274</v>
      </c>
      <c r="M281" s="142" t="str">
        <f>VLOOKUP(L281,Packaging!$B$3:$C$21,2,0)</f>
        <v>290 X 200 X 100</v>
      </c>
      <c r="N281" s="11"/>
      <c r="O281" s="11">
        <v>5</v>
      </c>
      <c r="P281" s="11" t="s">
        <v>55</v>
      </c>
    </row>
    <row r="282" customHeight="1" spans="1:16">
      <c r="A282" s="7" t="s">
        <v>910</v>
      </c>
      <c r="B282" s="11" t="s">
        <v>911</v>
      </c>
      <c r="C282" s="9" t="s">
        <v>912</v>
      </c>
      <c r="D282" s="11" t="s">
        <v>886</v>
      </c>
      <c r="E282" s="18">
        <v>14</v>
      </c>
      <c r="F282" s="19"/>
      <c r="G282" s="20">
        <f t="shared" si="10"/>
        <v>91</v>
      </c>
      <c r="H282" s="146" t="s">
        <v>53</v>
      </c>
      <c r="I282" s="27">
        <v>766</v>
      </c>
      <c r="J282" s="28">
        <v>504</v>
      </c>
      <c r="K282" s="29">
        <f t="shared" si="9"/>
        <v>7.822</v>
      </c>
      <c r="L282" s="144" t="s">
        <v>72</v>
      </c>
      <c r="M282" s="142" t="str">
        <f>VLOOKUP(L282,Packaging!$B$3:$C$21,2,0)</f>
        <v>390 X 350 X 280</v>
      </c>
      <c r="N282" s="11"/>
      <c r="O282" s="11">
        <v>14</v>
      </c>
      <c r="P282" s="11" t="s">
        <v>55</v>
      </c>
    </row>
    <row r="283" customHeight="1" spans="1:16">
      <c r="A283" s="7" t="s">
        <v>913</v>
      </c>
      <c r="B283" s="11" t="s">
        <v>914</v>
      </c>
      <c r="C283" s="9" t="s">
        <v>915</v>
      </c>
      <c r="D283" s="11" t="s">
        <v>886</v>
      </c>
      <c r="E283" s="18">
        <v>200</v>
      </c>
      <c r="F283" s="19"/>
      <c r="G283" s="20">
        <f t="shared" si="10"/>
        <v>91</v>
      </c>
      <c r="H283" s="146" t="s">
        <v>53</v>
      </c>
      <c r="I283" s="27">
        <v>280</v>
      </c>
      <c r="J283" s="28">
        <v>32</v>
      </c>
      <c r="K283" s="29">
        <f t="shared" si="9"/>
        <v>6.68</v>
      </c>
      <c r="L283" s="144" t="s">
        <v>54</v>
      </c>
      <c r="M283" s="142" t="str">
        <f>VLOOKUP(L283,Packaging!$B$3:$C$21,2,0)</f>
        <v>290 X 200 X 140</v>
      </c>
      <c r="N283" s="11"/>
      <c r="O283" s="11">
        <v>200</v>
      </c>
      <c r="P283" s="11" t="s">
        <v>55</v>
      </c>
    </row>
    <row r="284" customHeight="1" spans="1:16">
      <c r="A284" s="7" t="s">
        <v>916</v>
      </c>
      <c r="B284" s="11" t="s">
        <v>917</v>
      </c>
      <c r="C284" s="9" t="s">
        <v>918</v>
      </c>
      <c r="D284" s="11" t="s">
        <v>886</v>
      </c>
      <c r="E284" s="18">
        <v>150</v>
      </c>
      <c r="F284" s="19"/>
      <c r="G284" s="20">
        <f t="shared" si="10"/>
        <v>91</v>
      </c>
      <c r="H284" s="146" t="s">
        <v>53</v>
      </c>
      <c r="I284" s="27">
        <v>280</v>
      </c>
      <c r="J284" s="28">
        <v>33</v>
      </c>
      <c r="K284" s="29">
        <f t="shared" si="9"/>
        <v>5.23</v>
      </c>
      <c r="L284" s="144" t="s">
        <v>54</v>
      </c>
      <c r="M284" s="142" t="str">
        <f>VLOOKUP(L284,Packaging!$B$3:$C$21,2,0)</f>
        <v>290 X 200 X 140</v>
      </c>
      <c r="N284" s="11"/>
      <c r="O284" s="11">
        <v>150</v>
      </c>
      <c r="P284" s="11" t="s">
        <v>55</v>
      </c>
    </row>
    <row r="285" customHeight="1" spans="1:16">
      <c r="A285" s="7" t="s">
        <v>919</v>
      </c>
      <c r="B285" s="11" t="s">
        <v>920</v>
      </c>
      <c r="C285" s="9" t="s">
        <v>921</v>
      </c>
      <c r="D285" s="11" t="s">
        <v>886</v>
      </c>
      <c r="E285" s="18">
        <v>150</v>
      </c>
      <c r="F285" s="19"/>
      <c r="G285" s="20">
        <f t="shared" si="10"/>
        <v>91</v>
      </c>
      <c r="H285" s="146" t="s">
        <v>53</v>
      </c>
      <c r="I285" s="27">
        <v>280</v>
      </c>
      <c r="J285" s="28">
        <v>33</v>
      </c>
      <c r="K285" s="29">
        <f t="shared" si="9"/>
        <v>5.23</v>
      </c>
      <c r="L285" s="144" t="s">
        <v>54</v>
      </c>
      <c r="M285" s="142" t="str">
        <f>VLOOKUP(L285,Packaging!$B$3:$C$21,2,0)</f>
        <v>290 X 200 X 140</v>
      </c>
      <c r="N285" s="11"/>
      <c r="O285" s="11">
        <v>150</v>
      </c>
      <c r="P285" s="11" t="s">
        <v>55</v>
      </c>
    </row>
    <row r="286" customHeight="1" spans="1:16">
      <c r="A286" s="7" t="s">
        <v>922</v>
      </c>
      <c r="B286" s="11" t="s">
        <v>923</v>
      </c>
      <c r="C286" s="9" t="s">
        <v>924</v>
      </c>
      <c r="D286" s="11" t="s">
        <v>886</v>
      </c>
      <c r="E286" s="18">
        <v>150</v>
      </c>
      <c r="F286" s="19"/>
      <c r="G286" s="20">
        <f t="shared" si="10"/>
        <v>91</v>
      </c>
      <c r="H286" s="146" t="s">
        <v>53</v>
      </c>
      <c r="I286" s="27">
        <v>280</v>
      </c>
      <c r="J286" s="28">
        <v>31.6</v>
      </c>
      <c r="K286" s="29">
        <f t="shared" si="9"/>
        <v>5.02</v>
      </c>
      <c r="L286" s="144" t="s">
        <v>54</v>
      </c>
      <c r="M286" s="142" t="str">
        <f>VLOOKUP(L286,Packaging!$B$3:$C$21,2,0)</f>
        <v>290 X 200 X 140</v>
      </c>
      <c r="N286" s="11"/>
      <c r="O286" s="11">
        <v>150</v>
      </c>
      <c r="P286" s="11" t="s">
        <v>55</v>
      </c>
    </row>
    <row r="287" customHeight="1" spans="1:16">
      <c r="A287" s="7" t="s">
        <v>925</v>
      </c>
      <c r="B287" s="11" t="s">
        <v>926</v>
      </c>
      <c r="C287" s="9" t="s">
        <v>927</v>
      </c>
      <c r="D287" s="11" t="s">
        <v>886</v>
      </c>
      <c r="E287" s="18">
        <v>200</v>
      </c>
      <c r="F287" s="19"/>
      <c r="G287" s="20">
        <f t="shared" si="10"/>
        <v>91</v>
      </c>
      <c r="H287" s="146" t="s">
        <v>53</v>
      </c>
      <c r="I287" s="27">
        <v>280</v>
      </c>
      <c r="J287" s="28">
        <v>31.4</v>
      </c>
      <c r="K287" s="29">
        <f t="shared" si="9"/>
        <v>6.56</v>
      </c>
      <c r="L287" s="144" t="s">
        <v>54</v>
      </c>
      <c r="M287" s="142" t="str">
        <f>VLOOKUP(L287,Packaging!$B$3:$C$21,2,0)</f>
        <v>290 X 200 X 140</v>
      </c>
      <c r="N287" s="11"/>
      <c r="O287" s="11">
        <v>200</v>
      </c>
      <c r="P287" s="11" t="s">
        <v>55</v>
      </c>
    </row>
    <row r="288" customHeight="1" spans="1:16">
      <c r="A288" s="7" t="s">
        <v>928</v>
      </c>
      <c r="B288" s="11" t="s">
        <v>929</v>
      </c>
      <c r="C288" s="9" t="s">
        <v>930</v>
      </c>
      <c r="D288" s="11" t="s">
        <v>886</v>
      </c>
      <c r="E288" s="18">
        <v>12</v>
      </c>
      <c r="F288" s="19"/>
      <c r="G288" s="20">
        <f t="shared" si="10"/>
        <v>91</v>
      </c>
      <c r="H288" s="146" t="s">
        <v>53</v>
      </c>
      <c r="I288" s="27">
        <v>766</v>
      </c>
      <c r="J288" s="28">
        <v>597</v>
      </c>
      <c r="K288" s="29">
        <f t="shared" si="9"/>
        <v>7.93</v>
      </c>
      <c r="L288" s="144" t="s">
        <v>72</v>
      </c>
      <c r="M288" s="142" t="str">
        <f>VLOOKUP(L288,Packaging!$B$3:$C$21,2,0)</f>
        <v>390 X 350 X 280</v>
      </c>
      <c r="N288" s="11"/>
      <c r="O288" s="11">
        <v>12</v>
      </c>
      <c r="P288" s="11" t="s">
        <v>55</v>
      </c>
    </row>
    <row r="289" customHeight="1" spans="1:16">
      <c r="A289" s="7" t="s">
        <v>931</v>
      </c>
      <c r="B289" s="11" t="s">
        <v>932</v>
      </c>
      <c r="C289" s="9" t="s">
        <v>933</v>
      </c>
      <c r="D289" s="11" t="s">
        <v>886</v>
      </c>
      <c r="E289" s="18">
        <v>140</v>
      </c>
      <c r="F289" s="19"/>
      <c r="G289" s="20">
        <f t="shared" si="10"/>
        <v>91</v>
      </c>
      <c r="H289" s="146" t="s">
        <v>53</v>
      </c>
      <c r="I289" s="27">
        <v>280</v>
      </c>
      <c r="J289" s="28">
        <v>123.4</v>
      </c>
      <c r="K289" s="29">
        <f t="shared" si="9"/>
        <v>17.556</v>
      </c>
      <c r="L289" s="144" t="s">
        <v>54</v>
      </c>
      <c r="M289" s="142" t="str">
        <f>VLOOKUP(L289,Packaging!$B$3:$C$21,2,0)</f>
        <v>290 X 200 X 140</v>
      </c>
      <c r="N289" s="11"/>
      <c r="O289" s="11">
        <v>140</v>
      </c>
      <c r="P289" s="11" t="s">
        <v>55</v>
      </c>
    </row>
    <row r="290" customHeight="1" spans="1:16">
      <c r="A290" s="7" t="s">
        <v>934</v>
      </c>
      <c r="B290" s="11" t="s">
        <v>935</v>
      </c>
      <c r="C290" s="9" t="s">
        <v>936</v>
      </c>
      <c r="D290" s="11" t="s">
        <v>937</v>
      </c>
      <c r="E290" s="18">
        <v>1050</v>
      </c>
      <c r="F290" s="19"/>
      <c r="G290" s="20">
        <f t="shared" si="10"/>
        <v>91</v>
      </c>
      <c r="H290" s="146" t="s">
        <v>53</v>
      </c>
      <c r="I290" s="27">
        <v>280</v>
      </c>
      <c r="J290" s="28">
        <v>16.4</v>
      </c>
      <c r="K290" s="29">
        <f t="shared" si="9"/>
        <v>17.5</v>
      </c>
      <c r="L290" s="144" t="s">
        <v>54</v>
      </c>
      <c r="M290" s="142" t="str">
        <f>VLOOKUP(L290,Packaging!$B$3:$C$21,2,0)</f>
        <v>290 X 200 X 140</v>
      </c>
      <c r="N290" s="11"/>
      <c r="O290" s="11">
        <v>20</v>
      </c>
      <c r="P290" s="11" t="s">
        <v>55</v>
      </c>
    </row>
    <row r="291" customHeight="1" spans="1:16">
      <c r="A291" s="7" t="s">
        <v>938</v>
      </c>
      <c r="B291" s="11" t="s">
        <v>939</v>
      </c>
      <c r="C291" s="9" t="s">
        <v>940</v>
      </c>
      <c r="D291" s="11" t="s">
        <v>937</v>
      </c>
      <c r="E291" s="18">
        <v>48</v>
      </c>
      <c r="F291" s="19"/>
      <c r="G291" s="20">
        <f t="shared" si="10"/>
        <v>91</v>
      </c>
      <c r="H291" s="146" t="s">
        <v>53</v>
      </c>
      <c r="I291" s="27">
        <v>278</v>
      </c>
      <c r="J291" s="28">
        <v>206</v>
      </c>
      <c r="K291" s="29">
        <f t="shared" si="9"/>
        <v>10.166</v>
      </c>
      <c r="L291" s="144" t="s">
        <v>161</v>
      </c>
      <c r="M291" s="142" t="str">
        <f>VLOOKUP(L291,Packaging!$B$3:$C$21,2,0)</f>
        <v>360 X 270 X 128</v>
      </c>
      <c r="N291" s="11"/>
      <c r="O291" s="11">
        <v>48</v>
      </c>
      <c r="P291" s="11" t="s">
        <v>55</v>
      </c>
    </row>
    <row r="292" customHeight="1" spans="1:16">
      <c r="A292" s="7" t="s">
        <v>941</v>
      </c>
      <c r="B292" s="11" t="s">
        <v>942</v>
      </c>
      <c r="C292" s="9" t="s">
        <v>943</v>
      </c>
      <c r="D292" s="11" t="s">
        <v>944</v>
      </c>
      <c r="E292" s="18">
        <v>900</v>
      </c>
      <c r="F292" s="19"/>
      <c r="G292" s="20">
        <f t="shared" si="10"/>
        <v>91</v>
      </c>
      <c r="H292" s="146" t="s">
        <v>53</v>
      </c>
      <c r="I292" s="27">
        <v>280</v>
      </c>
      <c r="J292" s="28">
        <v>12.6</v>
      </c>
      <c r="K292" s="29">
        <f t="shared" si="9"/>
        <v>11.62</v>
      </c>
      <c r="L292" s="144" t="s">
        <v>54</v>
      </c>
      <c r="M292" s="142" t="str">
        <f>VLOOKUP(L292,Packaging!$B$3:$C$21,2,0)</f>
        <v>290 X 200 X 140</v>
      </c>
      <c r="N292" s="11"/>
      <c r="O292" s="11">
        <v>100</v>
      </c>
      <c r="P292" s="11" t="s">
        <v>55</v>
      </c>
    </row>
    <row r="293" customHeight="1" spans="1:16">
      <c r="A293" s="7" t="s">
        <v>945</v>
      </c>
      <c r="B293" s="11" t="s">
        <v>946</v>
      </c>
      <c r="C293" s="9" t="s">
        <v>947</v>
      </c>
      <c r="D293" s="11" t="s">
        <v>944</v>
      </c>
      <c r="E293" s="18">
        <v>300</v>
      </c>
      <c r="F293" s="19"/>
      <c r="G293" s="20">
        <f t="shared" si="10"/>
        <v>91</v>
      </c>
      <c r="H293" s="146" t="s">
        <v>53</v>
      </c>
      <c r="I293" s="27">
        <v>280</v>
      </c>
      <c r="J293" s="28">
        <v>28</v>
      </c>
      <c r="K293" s="29">
        <f t="shared" si="9"/>
        <v>8.68</v>
      </c>
      <c r="L293" s="144" t="s">
        <v>54</v>
      </c>
      <c r="M293" s="142" t="str">
        <f>VLOOKUP(L293,Packaging!$B$3:$C$21,2,0)</f>
        <v>290 X 200 X 140</v>
      </c>
      <c r="N293" s="11"/>
      <c r="O293" s="11">
        <v>50</v>
      </c>
      <c r="P293" s="11" t="s">
        <v>55</v>
      </c>
    </row>
    <row r="294" customHeight="1" spans="1:16">
      <c r="A294" s="7" t="s">
        <v>948</v>
      </c>
      <c r="B294" s="11" t="s">
        <v>949</v>
      </c>
      <c r="C294" s="9" t="s">
        <v>950</v>
      </c>
      <c r="D294" s="11" t="s">
        <v>944</v>
      </c>
      <c r="E294" s="18">
        <v>350</v>
      </c>
      <c r="F294" s="19"/>
      <c r="G294" s="20">
        <f t="shared" si="10"/>
        <v>91</v>
      </c>
      <c r="H294" s="146" t="s">
        <v>53</v>
      </c>
      <c r="I294" s="27"/>
      <c r="J294" s="28">
        <v>69.6</v>
      </c>
      <c r="K294" s="29">
        <f t="shared" si="9"/>
        <v>24.36</v>
      </c>
      <c r="L294" s="11"/>
      <c r="M294" s="21" t="e">
        <f>VLOOKUP(L294,Packaging!$B$3:$C$21,2,0)</f>
        <v>#N/A</v>
      </c>
      <c r="N294" s="11"/>
      <c r="O294" s="11">
        <v>50</v>
      </c>
      <c r="P294" s="11" t="s">
        <v>55</v>
      </c>
    </row>
    <row r="295" customHeight="1" spans="1:16">
      <c r="A295" s="7" t="s">
        <v>951</v>
      </c>
      <c r="B295" s="11" t="s">
        <v>952</v>
      </c>
      <c r="C295" s="9" t="s">
        <v>953</v>
      </c>
      <c r="D295" s="11" t="s">
        <v>944</v>
      </c>
      <c r="E295" s="18">
        <v>350</v>
      </c>
      <c r="F295" s="19"/>
      <c r="G295" s="20">
        <f t="shared" si="10"/>
        <v>91</v>
      </c>
      <c r="H295" s="146" t="s">
        <v>53</v>
      </c>
      <c r="I295" s="27">
        <v>280</v>
      </c>
      <c r="J295" s="28">
        <v>36</v>
      </c>
      <c r="K295" s="29">
        <f t="shared" si="9"/>
        <v>12.88</v>
      </c>
      <c r="L295" s="144" t="s">
        <v>54</v>
      </c>
      <c r="M295" s="142" t="str">
        <f>VLOOKUP(L295,Packaging!$B$3:$C$21,2,0)</f>
        <v>290 X 200 X 140</v>
      </c>
      <c r="N295" s="11"/>
      <c r="O295" s="11">
        <v>50</v>
      </c>
      <c r="P295" s="11" t="s">
        <v>55</v>
      </c>
    </row>
    <row r="296" customHeight="1" spans="1:16">
      <c r="A296" s="7" t="s">
        <v>954</v>
      </c>
      <c r="B296" s="11">
        <v>932945</v>
      </c>
      <c r="C296" s="9" t="s">
        <v>955</v>
      </c>
      <c r="D296" s="11" t="s">
        <v>956</v>
      </c>
      <c r="E296" s="18">
        <v>200</v>
      </c>
      <c r="F296" s="19"/>
      <c r="G296" s="20">
        <f t="shared" si="10"/>
        <v>91</v>
      </c>
      <c r="H296" s="11" t="s">
        <v>957</v>
      </c>
      <c r="I296" s="27">
        <v>278</v>
      </c>
      <c r="J296" s="28">
        <v>64.8</v>
      </c>
      <c r="K296" s="29">
        <f t="shared" si="9"/>
        <v>13.238</v>
      </c>
      <c r="L296" s="144" t="s">
        <v>161</v>
      </c>
      <c r="M296" s="142" t="str">
        <f>VLOOKUP(L296,Packaging!$B$3:$C$21,2,0)</f>
        <v>360 X 270 X 128</v>
      </c>
      <c r="N296" s="11"/>
      <c r="O296" s="11"/>
      <c r="P296" s="11" t="s">
        <v>55</v>
      </c>
    </row>
    <row r="297" customHeight="1" spans="1:16">
      <c r="A297" s="7" t="s">
        <v>958</v>
      </c>
      <c r="B297" s="11">
        <v>933075</v>
      </c>
      <c r="C297" s="41" t="s">
        <v>959</v>
      </c>
      <c r="D297" s="11" t="s">
        <v>956</v>
      </c>
      <c r="E297" s="18">
        <v>450</v>
      </c>
      <c r="F297" s="19"/>
      <c r="G297" s="20">
        <f t="shared" si="10"/>
        <v>91</v>
      </c>
      <c r="H297" s="146" t="s">
        <v>960</v>
      </c>
      <c r="I297" s="27">
        <v>280</v>
      </c>
      <c r="J297" s="28">
        <v>18</v>
      </c>
      <c r="K297" s="29">
        <f t="shared" si="9"/>
        <v>8.38</v>
      </c>
      <c r="L297" s="144" t="s">
        <v>54</v>
      </c>
      <c r="M297" s="142" t="str">
        <f>VLOOKUP(L297,Packaging!$B$3:$C$21,2,0)</f>
        <v>290 X 200 X 140</v>
      </c>
      <c r="N297" s="11"/>
      <c r="O297" s="11"/>
      <c r="P297" s="11" t="s">
        <v>55</v>
      </c>
    </row>
    <row r="298" customHeight="1" spans="1:16">
      <c r="A298" s="7" t="s">
        <v>961</v>
      </c>
      <c r="B298" s="11">
        <v>933080</v>
      </c>
      <c r="C298" s="41" t="s">
        <v>962</v>
      </c>
      <c r="D298" s="11" t="s">
        <v>956</v>
      </c>
      <c r="E298" s="18">
        <v>450</v>
      </c>
      <c r="F298" s="19"/>
      <c r="G298" s="20">
        <f t="shared" si="10"/>
        <v>91</v>
      </c>
      <c r="H298" s="146" t="s">
        <v>960</v>
      </c>
      <c r="I298" s="27">
        <v>280</v>
      </c>
      <c r="J298" s="28">
        <v>18</v>
      </c>
      <c r="K298" s="29">
        <f t="shared" si="9"/>
        <v>8.38</v>
      </c>
      <c r="L298" s="144" t="s">
        <v>54</v>
      </c>
      <c r="M298" s="142" t="str">
        <f>VLOOKUP(L298,Packaging!$B$3:$C$21,2,0)</f>
        <v>290 X 200 X 140</v>
      </c>
      <c r="N298" s="11"/>
      <c r="O298" s="11"/>
      <c r="P298" s="11" t="s">
        <v>55</v>
      </c>
    </row>
    <row r="299" customHeight="1" spans="1:16">
      <c r="A299" s="7" t="s">
        <v>963</v>
      </c>
      <c r="B299" s="11">
        <v>947584</v>
      </c>
      <c r="C299" s="9" t="s">
        <v>964</v>
      </c>
      <c r="D299" s="11" t="s">
        <v>956</v>
      </c>
      <c r="E299" s="18">
        <v>100</v>
      </c>
      <c r="F299" s="19"/>
      <c r="G299" s="20">
        <f t="shared" si="10"/>
        <v>91</v>
      </c>
      <c r="H299" s="11" t="s">
        <v>965</v>
      </c>
      <c r="I299" s="27"/>
      <c r="J299" s="28">
        <v>160.8</v>
      </c>
      <c r="K299" s="29">
        <f t="shared" si="9"/>
        <v>16.08</v>
      </c>
      <c r="L299" s="11"/>
      <c r="M299" s="21" t="e">
        <f>VLOOKUP(L299,Packaging!$B$3:$C$21,2,0)</f>
        <v>#N/A</v>
      </c>
      <c r="N299" s="11"/>
      <c r="O299" s="11"/>
      <c r="P299" s="11" t="s">
        <v>55</v>
      </c>
    </row>
    <row r="300" customHeight="1" spans="1:16">
      <c r="A300" s="7" t="s">
        <v>966</v>
      </c>
      <c r="B300" s="11" t="s">
        <v>967</v>
      </c>
      <c r="C300" s="9" t="s">
        <v>968</v>
      </c>
      <c r="D300" s="11" t="s">
        <v>969</v>
      </c>
      <c r="E300" s="18">
        <v>50000</v>
      </c>
      <c r="F300" s="19"/>
      <c r="G300" s="20">
        <f t="shared" si="10"/>
        <v>91</v>
      </c>
      <c r="H300" s="146" t="s">
        <v>53</v>
      </c>
      <c r="I300" s="27">
        <v>280</v>
      </c>
      <c r="J300" s="29">
        <v>0.22</v>
      </c>
      <c r="K300" s="29">
        <f>(I300+(J300*E300))/1000</f>
        <v>11.28</v>
      </c>
      <c r="L300" s="144" t="s">
        <v>54</v>
      </c>
      <c r="M300" s="142" t="str">
        <f>VLOOKUP(L300,Packaging!$B$3:$C$21,2,0)</f>
        <v>290 X 200 X 140</v>
      </c>
      <c r="N300" s="11"/>
      <c r="O300" s="11">
        <v>2000</v>
      </c>
      <c r="P300" s="11" t="s">
        <v>55</v>
      </c>
    </row>
    <row r="301" customHeight="1" spans="1:16">
      <c r="A301" s="7" t="s">
        <v>970</v>
      </c>
      <c r="B301" s="11" t="s">
        <v>971</v>
      </c>
      <c r="C301" s="9" t="s">
        <v>972</v>
      </c>
      <c r="D301" s="11" t="s">
        <v>969</v>
      </c>
      <c r="E301" s="18">
        <v>50000</v>
      </c>
      <c r="F301" s="19"/>
      <c r="G301" s="20">
        <f t="shared" si="10"/>
        <v>91</v>
      </c>
      <c r="H301" s="146" t="s">
        <v>53</v>
      </c>
      <c r="I301" s="27">
        <v>280</v>
      </c>
      <c r="J301" s="29">
        <v>0.25</v>
      </c>
      <c r="K301" s="29">
        <f t="shared" ref="K301:K327" si="11">(I301+(J301*E301))/1000</f>
        <v>12.78</v>
      </c>
      <c r="L301" s="144" t="s">
        <v>54</v>
      </c>
      <c r="M301" s="142" t="str">
        <f>VLOOKUP(L301,Packaging!$B$3:$C$21,2,0)</f>
        <v>290 X 200 X 140</v>
      </c>
      <c r="N301" s="11"/>
      <c r="O301" s="11">
        <v>2000</v>
      </c>
      <c r="P301" s="11" t="s">
        <v>55</v>
      </c>
    </row>
    <row r="302" customHeight="1" spans="1:16">
      <c r="A302" s="7" t="s">
        <v>973</v>
      </c>
      <c r="B302" s="11" t="s">
        <v>974</v>
      </c>
      <c r="C302" s="9" t="s">
        <v>975</v>
      </c>
      <c r="D302" s="11" t="s">
        <v>969</v>
      </c>
      <c r="E302" s="18">
        <v>50000</v>
      </c>
      <c r="F302" s="19"/>
      <c r="G302" s="20">
        <f t="shared" si="10"/>
        <v>91</v>
      </c>
      <c r="H302" s="146" t="s">
        <v>53</v>
      </c>
      <c r="I302" s="27">
        <v>280</v>
      </c>
      <c r="J302" s="29">
        <v>0.278</v>
      </c>
      <c r="K302" s="29">
        <f t="shared" si="11"/>
        <v>14.18</v>
      </c>
      <c r="L302" s="144" t="s">
        <v>54</v>
      </c>
      <c r="M302" s="142" t="str">
        <f>VLOOKUP(L302,Packaging!$B$3:$C$21,2,0)</f>
        <v>290 X 200 X 140</v>
      </c>
      <c r="N302" s="11"/>
      <c r="O302" s="11">
        <v>2000</v>
      </c>
      <c r="P302" s="11" t="s">
        <v>55</v>
      </c>
    </row>
    <row r="303" customHeight="1" spans="1:16">
      <c r="A303" s="7" t="s">
        <v>976</v>
      </c>
      <c r="B303" s="11">
        <v>814997</v>
      </c>
      <c r="C303" s="9" t="s">
        <v>977</v>
      </c>
      <c r="D303" s="11" t="s">
        <v>978</v>
      </c>
      <c r="E303" s="18">
        <v>1000</v>
      </c>
      <c r="F303" s="19"/>
      <c r="G303" s="20">
        <f t="shared" si="10"/>
        <v>91</v>
      </c>
      <c r="H303" s="11" t="s">
        <v>979</v>
      </c>
      <c r="I303" s="27"/>
      <c r="J303" s="28">
        <v>3.2</v>
      </c>
      <c r="K303" s="29">
        <f t="shared" si="11"/>
        <v>3.2</v>
      </c>
      <c r="L303" s="11"/>
      <c r="M303" s="21" t="e">
        <f>VLOOKUP(L303,Packaging!$B$3:$C$21,2,0)</f>
        <v>#N/A</v>
      </c>
      <c r="N303" s="11"/>
      <c r="O303" s="11"/>
      <c r="P303" s="11" t="s">
        <v>55</v>
      </c>
    </row>
    <row r="304" customHeight="1" spans="1:16">
      <c r="A304" s="7" t="s">
        <v>980</v>
      </c>
      <c r="B304" s="40">
        <v>932975</v>
      </c>
      <c r="C304" s="41" t="s">
        <v>981</v>
      </c>
      <c r="D304" s="11" t="s">
        <v>978</v>
      </c>
      <c r="E304" s="18">
        <v>700</v>
      </c>
      <c r="F304" s="19"/>
      <c r="G304" s="20">
        <f t="shared" si="10"/>
        <v>91</v>
      </c>
      <c r="H304" s="146" t="s">
        <v>982</v>
      </c>
      <c r="I304" s="27">
        <v>280</v>
      </c>
      <c r="J304" s="28">
        <v>12.4</v>
      </c>
      <c r="K304" s="29">
        <f t="shared" si="11"/>
        <v>8.96</v>
      </c>
      <c r="L304" s="144" t="s">
        <v>54</v>
      </c>
      <c r="M304" s="142" t="str">
        <f>VLOOKUP(L304,Packaging!$B$3:$C$21,2,0)</f>
        <v>290 X 200 X 140</v>
      </c>
      <c r="N304" s="11"/>
      <c r="O304" s="11">
        <v>100</v>
      </c>
      <c r="P304" s="11" t="s">
        <v>55</v>
      </c>
    </row>
    <row r="305" customHeight="1" spans="1:16">
      <c r="A305" s="7" t="s">
        <v>983</v>
      </c>
      <c r="B305" s="40">
        <v>933075</v>
      </c>
      <c r="C305" s="41" t="s">
        <v>984</v>
      </c>
      <c r="D305" s="11" t="s">
        <v>978</v>
      </c>
      <c r="E305" s="18">
        <v>450</v>
      </c>
      <c r="F305" s="19"/>
      <c r="G305" s="20">
        <f t="shared" si="10"/>
        <v>91</v>
      </c>
      <c r="H305" s="146" t="s">
        <v>960</v>
      </c>
      <c r="I305" s="27">
        <v>280</v>
      </c>
      <c r="J305" s="28">
        <v>18</v>
      </c>
      <c r="K305" s="29">
        <f t="shared" si="11"/>
        <v>8.38</v>
      </c>
      <c r="L305" s="144" t="s">
        <v>54</v>
      </c>
      <c r="M305" s="142" t="str">
        <f>VLOOKUP(L305,Packaging!$B$3:$C$21,2,0)</f>
        <v>290 X 200 X 140</v>
      </c>
      <c r="N305" s="11"/>
      <c r="O305" s="11"/>
      <c r="P305" s="11" t="s">
        <v>55</v>
      </c>
    </row>
    <row r="306" customHeight="1" spans="1:16">
      <c r="A306" s="7" t="s">
        <v>985</v>
      </c>
      <c r="B306" s="40">
        <v>933080</v>
      </c>
      <c r="C306" s="41" t="s">
        <v>986</v>
      </c>
      <c r="D306" s="11" t="s">
        <v>978</v>
      </c>
      <c r="E306" s="18">
        <v>450</v>
      </c>
      <c r="F306" s="19"/>
      <c r="G306" s="20">
        <f t="shared" si="10"/>
        <v>91</v>
      </c>
      <c r="H306" s="146" t="s">
        <v>960</v>
      </c>
      <c r="I306" s="27">
        <v>280</v>
      </c>
      <c r="J306" s="28">
        <v>18</v>
      </c>
      <c r="K306" s="29">
        <f t="shared" si="11"/>
        <v>8.38</v>
      </c>
      <c r="L306" s="144" t="s">
        <v>54</v>
      </c>
      <c r="M306" s="142" t="str">
        <f>VLOOKUP(L306,Packaging!$B$3:$C$21,2,0)</f>
        <v>290 X 200 X 140</v>
      </c>
      <c r="N306" s="11"/>
      <c r="O306" s="11"/>
      <c r="P306" s="11" t="s">
        <v>55</v>
      </c>
    </row>
    <row r="307" customHeight="1" spans="1:16">
      <c r="A307" s="7" t="s">
        <v>987</v>
      </c>
      <c r="B307" s="11">
        <v>935090</v>
      </c>
      <c r="C307" s="9" t="s">
        <v>988</v>
      </c>
      <c r="D307" s="11" t="s">
        <v>978</v>
      </c>
      <c r="E307" s="18">
        <v>450</v>
      </c>
      <c r="F307" s="19"/>
      <c r="G307" s="20">
        <f t="shared" si="10"/>
        <v>91</v>
      </c>
      <c r="H307" s="11" t="s">
        <v>989</v>
      </c>
      <c r="I307" s="27">
        <v>280</v>
      </c>
      <c r="J307" s="28">
        <v>14.6</v>
      </c>
      <c r="K307" s="29">
        <f t="shared" si="11"/>
        <v>6.85</v>
      </c>
      <c r="L307" s="144" t="s">
        <v>54</v>
      </c>
      <c r="M307" s="142" t="str">
        <f>VLOOKUP(L307,Packaging!$B$3:$C$21,2,0)</f>
        <v>290 X 200 X 140</v>
      </c>
      <c r="N307" s="11"/>
      <c r="O307" s="11">
        <v>50</v>
      </c>
      <c r="P307" s="11" t="s">
        <v>55</v>
      </c>
    </row>
    <row r="308" customHeight="1" spans="1:16">
      <c r="A308" s="7" t="s">
        <v>990</v>
      </c>
      <c r="B308" s="11">
        <v>954407</v>
      </c>
      <c r="C308" s="9" t="s">
        <v>991</v>
      </c>
      <c r="D308" s="11" t="s">
        <v>978</v>
      </c>
      <c r="E308" s="18">
        <v>1000</v>
      </c>
      <c r="F308" s="19"/>
      <c r="G308" s="20">
        <f t="shared" si="10"/>
        <v>91</v>
      </c>
      <c r="H308" s="11" t="s">
        <v>992</v>
      </c>
      <c r="I308" s="27">
        <v>280</v>
      </c>
      <c r="J308" s="28">
        <v>3.2</v>
      </c>
      <c r="K308" s="29">
        <f t="shared" si="11"/>
        <v>3.48</v>
      </c>
      <c r="L308" s="144" t="s">
        <v>54</v>
      </c>
      <c r="M308" s="142" t="str">
        <f>VLOOKUP(L308,Packaging!$B$3:$C$21,2,0)</f>
        <v>290 X 200 X 140</v>
      </c>
      <c r="N308" s="11" t="s">
        <v>993</v>
      </c>
      <c r="O308" s="11">
        <v>250</v>
      </c>
      <c r="P308" s="11" t="s">
        <v>55</v>
      </c>
    </row>
    <row r="309" customHeight="1" spans="1:16">
      <c r="A309" s="7" t="s">
        <v>994</v>
      </c>
      <c r="B309" s="11">
        <v>954419</v>
      </c>
      <c r="C309" s="9" t="s">
        <v>995</v>
      </c>
      <c r="D309" s="11" t="s">
        <v>978</v>
      </c>
      <c r="E309" s="18">
        <v>800</v>
      </c>
      <c r="F309" s="19"/>
      <c r="G309" s="20">
        <f t="shared" si="10"/>
        <v>91</v>
      </c>
      <c r="H309" s="11" t="s">
        <v>996</v>
      </c>
      <c r="I309" s="27"/>
      <c r="J309" s="28">
        <v>20.2</v>
      </c>
      <c r="K309" s="29">
        <f t="shared" si="11"/>
        <v>16.16</v>
      </c>
      <c r="L309" s="11"/>
      <c r="M309" s="21" t="e">
        <f>VLOOKUP(L309,Packaging!$B$3:$C$21,2,0)</f>
        <v>#N/A</v>
      </c>
      <c r="N309" s="11"/>
      <c r="O309" s="11">
        <v>100</v>
      </c>
      <c r="P309" s="11" t="s">
        <v>55</v>
      </c>
    </row>
    <row r="310" customHeight="1" spans="1:16">
      <c r="A310" s="7" t="s">
        <v>997</v>
      </c>
      <c r="B310" s="11" t="s">
        <v>998</v>
      </c>
      <c r="C310" s="9" t="s">
        <v>850</v>
      </c>
      <c r="D310" s="11" t="s">
        <v>978</v>
      </c>
      <c r="E310" s="18">
        <v>300</v>
      </c>
      <c r="F310" s="19"/>
      <c r="G310" s="20">
        <f t="shared" si="10"/>
        <v>91</v>
      </c>
      <c r="H310" s="11" t="s">
        <v>999</v>
      </c>
      <c r="I310" s="27">
        <v>280</v>
      </c>
      <c r="J310" s="28">
        <v>8.4</v>
      </c>
      <c r="K310" s="29">
        <f t="shared" si="11"/>
        <v>2.8</v>
      </c>
      <c r="L310" s="144" t="s">
        <v>54</v>
      </c>
      <c r="M310" s="142" t="str">
        <f>VLOOKUP(L310,Packaging!$B$3:$C$21,2,0)</f>
        <v>290 X 200 X 140</v>
      </c>
      <c r="N310" s="11"/>
      <c r="O310" s="11">
        <v>30</v>
      </c>
      <c r="P310" s="11" t="s">
        <v>55</v>
      </c>
    </row>
    <row r="311" customHeight="1" spans="1:16">
      <c r="A311" s="7" t="s">
        <v>1000</v>
      </c>
      <c r="B311" s="11" t="s">
        <v>1001</v>
      </c>
      <c r="C311" s="9" t="s">
        <v>1002</v>
      </c>
      <c r="D311" s="11" t="s">
        <v>1003</v>
      </c>
      <c r="E311" s="18">
        <v>28</v>
      </c>
      <c r="F311" s="19"/>
      <c r="G311" s="20">
        <f t="shared" si="10"/>
        <v>91</v>
      </c>
      <c r="H311" s="11" t="s">
        <v>1004</v>
      </c>
      <c r="I311" s="27">
        <v>580</v>
      </c>
      <c r="J311" s="28">
        <v>697</v>
      </c>
      <c r="K311" s="29">
        <f t="shared" si="11"/>
        <v>20.096</v>
      </c>
      <c r="L311" s="144" t="s">
        <v>101</v>
      </c>
      <c r="M311" s="142" t="str">
        <f>VLOOKUP(L311,Packaging!$B$3:$C$21,2,0)</f>
        <v>1380 X 150 X 80</v>
      </c>
      <c r="N311" s="11"/>
      <c r="O311" s="11"/>
      <c r="P311" s="11" t="s">
        <v>55</v>
      </c>
    </row>
    <row r="312" customHeight="1" spans="1:16">
      <c r="A312" s="7" t="s">
        <v>1005</v>
      </c>
      <c r="B312" s="42" t="s">
        <v>1006</v>
      </c>
      <c r="C312" s="43" t="s">
        <v>1007</v>
      </c>
      <c r="D312" s="42" t="s">
        <v>1003</v>
      </c>
      <c r="E312" s="44">
        <v>4</v>
      </c>
      <c r="F312" s="19"/>
      <c r="G312" s="20">
        <f t="shared" si="10"/>
        <v>91</v>
      </c>
      <c r="H312" s="146" t="s">
        <v>53</v>
      </c>
      <c r="I312" s="27"/>
      <c r="J312" s="28">
        <v>1023</v>
      </c>
      <c r="K312" s="29">
        <f t="shared" si="11"/>
        <v>4.092</v>
      </c>
      <c r="L312" s="11"/>
      <c r="M312" s="21" t="e">
        <f>VLOOKUP(L312,Packaging!$B$3:$C$21,2,0)</f>
        <v>#N/A</v>
      </c>
      <c r="N312" s="11"/>
      <c r="O312" s="11"/>
      <c r="P312" s="11" t="s">
        <v>55</v>
      </c>
    </row>
    <row r="313" customHeight="1" spans="1:16">
      <c r="A313" s="7" t="s">
        <v>1008</v>
      </c>
      <c r="B313" s="42" t="s">
        <v>1009</v>
      </c>
      <c r="C313" s="43" t="s">
        <v>1010</v>
      </c>
      <c r="D313" s="42" t="s">
        <v>1003</v>
      </c>
      <c r="E313" s="44">
        <v>4</v>
      </c>
      <c r="F313" s="19"/>
      <c r="G313" s="20">
        <f t="shared" si="10"/>
        <v>91</v>
      </c>
      <c r="H313" s="146" t="s">
        <v>53</v>
      </c>
      <c r="I313" s="27"/>
      <c r="J313" s="28">
        <v>1000</v>
      </c>
      <c r="K313" s="29">
        <f t="shared" si="11"/>
        <v>4</v>
      </c>
      <c r="L313" s="11"/>
      <c r="M313" s="21" t="e">
        <f>VLOOKUP(L313,Packaging!$B$3:$C$21,2,0)</f>
        <v>#N/A</v>
      </c>
      <c r="N313" s="11"/>
      <c r="O313" s="11"/>
      <c r="P313" s="11" t="s">
        <v>55</v>
      </c>
    </row>
    <row r="314" customHeight="1" spans="1:16">
      <c r="A314" s="7" t="s">
        <v>1011</v>
      </c>
      <c r="B314" s="37" t="s">
        <v>1012</v>
      </c>
      <c r="C314" s="13" t="s">
        <v>1013</v>
      </c>
      <c r="D314" s="42" t="s">
        <v>1014</v>
      </c>
      <c r="E314" s="18">
        <v>150</v>
      </c>
      <c r="F314" s="19"/>
      <c r="G314" s="20">
        <f t="shared" si="10"/>
        <v>91</v>
      </c>
      <c r="H314" s="146" t="s">
        <v>53</v>
      </c>
      <c r="I314" s="27">
        <v>280</v>
      </c>
      <c r="J314" s="28"/>
      <c r="K314" s="29">
        <f t="shared" si="11"/>
        <v>0.28</v>
      </c>
      <c r="L314" s="144" t="s">
        <v>54</v>
      </c>
      <c r="M314" s="142" t="str">
        <f>VLOOKUP(L314,Packaging!$B$3:$C$21,2,0)</f>
        <v>290 X 200 X 140</v>
      </c>
      <c r="N314" s="11"/>
      <c r="O314" s="11"/>
      <c r="P314" s="11" t="s">
        <v>55</v>
      </c>
    </row>
    <row r="315" customHeight="1" spans="1:16">
      <c r="A315" s="7" t="s">
        <v>1015</v>
      </c>
      <c r="B315" s="11" t="s">
        <v>1016</v>
      </c>
      <c r="C315" s="9" t="s">
        <v>1017</v>
      </c>
      <c r="D315" s="11" t="s">
        <v>1018</v>
      </c>
      <c r="E315" s="18">
        <v>250</v>
      </c>
      <c r="F315" s="19"/>
      <c r="G315" s="20">
        <f t="shared" si="10"/>
        <v>91</v>
      </c>
      <c r="H315" s="146" t="s">
        <v>53</v>
      </c>
      <c r="I315" s="27">
        <v>280</v>
      </c>
      <c r="J315" s="28">
        <v>36</v>
      </c>
      <c r="K315" s="29">
        <f t="shared" si="11"/>
        <v>9.28</v>
      </c>
      <c r="L315" s="144" t="s">
        <v>54</v>
      </c>
      <c r="M315" s="142" t="str">
        <f>VLOOKUP(L315,Packaging!$B$3:$C$21,2,0)</f>
        <v>290 X 200 X 140</v>
      </c>
      <c r="N315" s="11"/>
      <c r="O315" s="11">
        <v>50</v>
      </c>
      <c r="P315" s="11" t="s">
        <v>55</v>
      </c>
    </row>
    <row r="316" customHeight="1" spans="1:16">
      <c r="A316" s="7" t="s">
        <v>1019</v>
      </c>
      <c r="B316" s="11" t="s">
        <v>1020</v>
      </c>
      <c r="C316" s="9" t="s">
        <v>1021</v>
      </c>
      <c r="D316" s="11" t="s">
        <v>1018</v>
      </c>
      <c r="E316" s="18">
        <v>20</v>
      </c>
      <c r="F316" s="19"/>
      <c r="G316" s="20">
        <f t="shared" si="10"/>
        <v>91</v>
      </c>
      <c r="H316" s="146" t="s">
        <v>53</v>
      </c>
      <c r="I316" s="27">
        <v>278</v>
      </c>
      <c r="J316" s="28">
        <v>60.6</v>
      </c>
      <c r="K316" s="29">
        <f t="shared" si="11"/>
        <v>1.49</v>
      </c>
      <c r="L316" s="144" t="s">
        <v>161</v>
      </c>
      <c r="M316" s="142" t="str">
        <f>VLOOKUP(L316,Packaging!$B$3:$C$21,2,0)</f>
        <v>360 X 270 X 128</v>
      </c>
      <c r="N316" s="11"/>
      <c r="O316" s="11"/>
      <c r="P316" s="11" t="s">
        <v>55</v>
      </c>
    </row>
    <row r="317" customHeight="1" spans="1:16">
      <c r="A317" s="7" t="s">
        <v>1022</v>
      </c>
      <c r="B317" s="11" t="s">
        <v>1023</v>
      </c>
      <c r="C317" s="9" t="s">
        <v>1024</v>
      </c>
      <c r="D317" s="11" t="s">
        <v>1018</v>
      </c>
      <c r="E317" s="18">
        <v>60</v>
      </c>
      <c r="F317" s="19"/>
      <c r="G317" s="20">
        <f t="shared" si="10"/>
        <v>91</v>
      </c>
      <c r="H317" s="146" t="s">
        <v>53</v>
      </c>
      <c r="I317" s="27">
        <v>766</v>
      </c>
      <c r="J317" s="28">
        <v>171.2</v>
      </c>
      <c r="K317" s="29">
        <f t="shared" si="11"/>
        <v>11.038</v>
      </c>
      <c r="L317" s="144" t="s">
        <v>72</v>
      </c>
      <c r="M317" s="142" t="str">
        <f>VLOOKUP(L317,Packaging!$B$3:$C$21,2,0)</f>
        <v>390 X 350 X 280</v>
      </c>
      <c r="N317" s="11"/>
      <c r="O317" s="11"/>
      <c r="P317" s="11" t="s">
        <v>55</v>
      </c>
    </row>
    <row r="318" customHeight="1" spans="1:16">
      <c r="A318" s="7" t="s">
        <v>1025</v>
      </c>
      <c r="B318" s="11" t="s">
        <v>1026</v>
      </c>
      <c r="C318" s="9" t="s">
        <v>1027</v>
      </c>
      <c r="D318" s="11" t="s">
        <v>1018</v>
      </c>
      <c r="E318" s="18">
        <v>120</v>
      </c>
      <c r="F318" s="19"/>
      <c r="G318" s="20">
        <f t="shared" si="10"/>
        <v>91</v>
      </c>
      <c r="H318" s="146" t="s">
        <v>53</v>
      </c>
      <c r="I318" s="27"/>
      <c r="J318" s="28">
        <v>67</v>
      </c>
      <c r="K318" s="29">
        <f t="shared" si="11"/>
        <v>8.04</v>
      </c>
      <c r="L318" s="11"/>
      <c r="M318" s="21" t="e">
        <f>VLOOKUP(L318,Packaging!$B$3:$C$21,2,0)</f>
        <v>#N/A</v>
      </c>
      <c r="N318" s="11"/>
      <c r="O318" s="11">
        <v>10</v>
      </c>
      <c r="P318" s="11" t="s">
        <v>55</v>
      </c>
    </row>
    <row r="319" customHeight="1" spans="1:16">
      <c r="A319" s="7" t="s">
        <v>1028</v>
      </c>
      <c r="B319" s="11" t="s">
        <v>1029</v>
      </c>
      <c r="C319" s="9" t="s">
        <v>1030</v>
      </c>
      <c r="D319" s="11" t="s">
        <v>1018</v>
      </c>
      <c r="E319" s="18">
        <v>84</v>
      </c>
      <c r="F319" s="19"/>
      <c r="G319" s="20">
        <f t="shared" si="10"/>
        <v>91</v>
      </c>
      <c r="H319" s="146" t="s">
        <v>53</v>
      </c>
      <c r="I319" s="27">
        <v>766</v>
      </c>
      <c r="J319" s="28">
        <v>143.2</v>
      </c>
      <c r="K319" s="29">
        <f t="shared" si="11"/>
        <v>12.7948</v>
      </c>
      <c r="L319" s="144" t="s">
        <v>72</v>
      </c>
      <c r="M319" s="142" t="str">
        <f>VLOOKUP(L319,Packaging!$B$3:$C$21,2,0)</f>
        <v>390 X 350 X 280</v>
      </c>
      <c r="N319" s="11"/>
      <c r="O319" s="11">
        <v>2</v>
      </c>
      <c r="P319" s="11" t="s">
        <v>55</v>
      </c>
    </row>
    <row r="320" customHeight="1" spans="1:16">
      <c r="A320" s="7" t="s">
        <v>1031</v>
      </c>
      <c r="B320" s="11" t="s">
        <v>1032</v>
      </c>
      <c r="C320" s="9" t="s">
        <v>1033</v>
      </c>
      <c r="D320" s="11" t="s">
        <v>1018</v>
      </c>
      <c r="E320" s="18">
        <v>32</v>
      </c>
      <c r="F320" s="19"/>
      <c r="G320" s="20">
        <f t="shared" si="10"/>
        <v>91</v>
      </c>
      <c r="H320" s="146" t="s">
        <v>53</v>
      </c>
      <c r="I320" s="27">
        <v>278</v>
      </c>
      <c r="J320" s="28">
        <v>164.2</v>
      </c>
      <c r="K320" s="29">
        <f t="shared" si="11"/>
        <v>5.5324</v>
      </c>
      <c r="L320" s="144" t="s">
        <v>161</v>
      </c>
      <c r="M320" s="142" t="str">
        <f>VLOOKUP(L320,Packaging!$B$3:$C$21,2,0)</f>
        <v>360 X 270 X 128</v>
      </c>
      <c r="N320" s="11"/>
      <c r="O320" s="11"/>
      <c r="P320" s="11" t="s">
        <v>55</v>
      </c>
    </row>
    <row r="321" customHeight="1" spans="1:16">
      <c r="A321" s="7" t="s">
        <v>1034</v>
      </c>
      <c r="B321" s="11" t="s">
        <v>1035</v>
      </c>
      <c r="C321" s="9" t="s">
        <v>1036</v>
      </c>
      <c r="D321" s="11" t="s">
        <v>1018</v>
      </c>
      <c r="E321" s="18">
        <v>2000</v>
      </c>
      <c r="F321" s="19"/>
      <c r="G321" s="20">
        <f t="shared" si="10"/>
        <v>91</v>
      </c>
      <c r="H321" s="146" t="s">
        <v>53</v>
      </c>
      <c r="I321" s="27"/>
      <c r="J321" s="28">
        <v>1.6</v>
      </c>
      <c r="K321" s="29">
        <f t="shared" si="11"/>
        <v>3.2</v>
      </c>
      <c r="L321" s="144" t="s">
        <v>54</v>
      </c>
      <c r="M321" s="142" t="str">
        <f>VLOOKUP(L321,Packaging!$B$3:$C$21,2,0)</f>
        <v>290 X 200 X 140</v>
      </c>
      <c r="N321" s="11"/>
      <c r="O321" s="11">
        <v>500</v>
      </c>
      <c r="P321" s="11" t="s">
        <v>55</v>
      </c>
    </row>
    <row r="322" customHeight="1" spans="1:16">
      <c r="A322" s="7" t="s">
        <v>1037</v>
      </c>
      <c r="B322" s="11" t="s">
        <v>1038</v>
      </c>
      <c r="C322" s="9" t="s">
        <v>1039</v>
      </c>
      <c r="D322" s="11" t="s">
        <v>1040</v>
      </c>
      <c r="E322" s="18">
        <v>400</v>
      </c>
      <c r="F322" s="19"/>
      <c r="G322" s="20">
        <f t="shared" si="10"/>
        <v>91</v>
      </c>
      <c r="H322" s="146" t="s">
        <v>53</v>
      </c>
      <c r="I322" s="27"/>
      <c r="J322" s="28">
        <v>33.6</v>
      </c>
      <c r="K322" s="29">
        <f t="shared" si="11"/>
        <v>13.44</v>
      </c>
      <c r="L322" s="11"/>
      <c r="M322" s="21" t="e">
        <f>VLOOKUP(L322,Packaging!$B$3:$C$21,2,0)</f>
        <v>#N/A</v>
      </c>
      <c r="N322" s="11"/>
      <c r="O322" s="11">
        <v>100</v>
      </c>
      <c r="P322" s="11" t="s">
        <v>55</v>
      </c>
    </row>
    <row r="323" customHeight="1" spans="1:16">
      <c r="A323" s="7" t="s">
        <v>1041</v>
      </c>
      <c r="B323" s="11" t="s">
        <v>1042</v>
      </c>
      <c r="C323" s="9" t="s">
        <v>1043</v>
      </c>
      <c r="D323" s="11" t="s">
        <v>1040</v>
      </c>
      <c r="E323" s="18">
        <v>252</v>
      </c>
      <c r="F323" s="19"/>
      <c r="G323" s="20">
        <f t="shared" si="10"/>
        <v>91</v>
      </c>
      <c r="H323" s="146" t="s">
        <v>53</v>
      </c>
      <c r="I323" s="27">
        <v>378</v>
      </c>
      <c r="J323" s="28">
        <v>64.6</v>
      </c>
      <c r="K323" s="29">
        <f t="shared" si="11"/>
        <v>16.6572</v>
      </c>
      <c r="L323" s="144" t="s">
        <v>91</v>
      </c>
      <c r="M323" s="142" t="str">
        <f>VLOOKUP(L323,Packaging!$B$3:$C$21,2,0)</f>
        <v>400 X 240 X 130</v>
      </c>
      <c r="N323" s="11"/>
      <c r="O323" s="11"/>
      <c r="P323" s="11" t="s">
        <v>55</v>
      </c>
    </row>
    <row r="324" customHeight="1" spans="1:16">
      <c r="A324" s="7" t="s">
        <v>1044</v>
      </c>
      <c r="B324" s="11" t="s">
        <v>1045</v>
      </c>
      <c r="C324" s="9" t="s">
        <v>1046</v>
      </c>
      <c r="D324" s="11" t="s">
        <v>1040</v>
      </c>
      <c r="E324" s="18">
        <v>200</v>
      </c>
      <c r="F324" s="19"/>
      <c r="G324" s="20">
        <f t="shared" si="10"/>
        <v>91</v>
      </c>
      <c r="H324" s="146" t="s">
        <v>53</v>
      </c>
      <c r="I324" s="27">
        <v>280</v>
      </c>
      <c r="J324" s="28">
        <v>59.8</v>
      </c>
      <c r="K324" s="29">
        <f t="shared" si="11"/>
        <v>12.24</v>
      </c>
      <c r="L324" s="144" t="s">
        <v>54</v>
      </c>
      <c r="M324" s="142" t="str">
        <f>VLOOKUP(L324,Packaging!$B$3:$C$21,2,0)</f>
        <v>290 X 200 X 140</v>
      </c>
      <c r="N324" s="11"/>
      <c r="O324" s="11"/>
      <c r="P324" s="11" t="s">
        <v>55</v>
      </c>
    </row>
    <row r="325" customHeight="1" spans="1:16">
      <c r="A325" s="7" t="s">
        <v>1047</v>
      </c>
      <c r="B325" s="11" t="s">
        <v>1048</v>
      </c>
      <c r="C325" s="9" t="s">
        <v>1049</v>
      </c>
      <c r="D325" s="11" t="s">
        <v>1040</v>
      </c>
      <c r="E325" s="18">
        <v>1000</v>
      </c>
      <c r="F325" s="19"/>
      <c r="G325" s="20">
        <f t="shared" si="10"/>
        <v>91</v>
      </c>
      <c r="H325" s="146" t="s">
        <v>53</v>
      </c>
      <c r="I325" s="27">
        <v>280</v>
      </c>
      <c r="J325" s="28">
        <v>3.6</v>
      </c>
      <c r="K325" s="29">
        <f t="shared" si="11"/>
        <v>3.88</v>
      </c>
      <c r="L325" s="144" t="s">
        <v>54</v>
      </c>
      <c r="M325" s="142" t="str">
        <f>VLOOKUP(L325,Packaging!$B$3:$C$21,2,0)</f>
        <v>290 X 200 X 140</v>
      </c>
      <c r="N325" s="11"/>
      <c r="O325" s="11"/>
      <c r="P325" s="11" t="s">
        <v>55</v>
      </c>
    </row>
    <row r="326" customHeight="1" spans="1:16">
      <c r="A326" s="7" t="s">
        <v>1050</v>
      </c>
      <c r="B326" s="11" t="s">
        <v>1051</v>
      </c>
      <c r="C326" s="9" t="s">
        <v>1052</v>
      </c>
      <c r="D326" s="11" t="s">
        <v>1040</v>
      </c>
      <c r="E326" s="18">
        <v>84</v>
      </c>
      <c r="F326" s="19"/>
      <c r="G326" s="20">
        <f t="shared" si="10"/>
        <v>91</v>
      </c>
      <c r="H326" s="146" t="s">
        <v>53</v>
      </c>
      <c r="I326" s="27"/>
      <c r="J326" s="28">
        <v>79.8</v>
      </c>
      <c r="K326" s="29">
        <f t="shared" si="11"/>
        <v>6.7032</v>
      </c>
      <c r="L326" s="11"/>
      <c r="M326" s="21" t="e">
        <f>VLOOKUP(L326,Packaging!$B$3:$C$21,2,0)</f>
        <v>#N/A</v>
      </c>
      <c r="N326" s="11"/>
      <c r="O326" s="11"/>
      <c r="P326" s="11" t="s">
        <v>55</v>
      </c>
    </row>
    <row r="327" customHeight="1" spans="1:16">
      <c r="A327" s="143" t="s">
        <v>1053</v>
      </c>
      <c r="B327" s="11" t="s">
        <v>1054</v>
      </c>
      <c r="C327" s="9" t="s">
        <v>1055</v>
      </c>
      <c r="D327" s="11" t="s">
        <v>1056</v>
      </c>
      <c r="E327" s="18">
        <v>40</v>
      </c>
      <c r="F327" s="19"/>
      <c r="G327" s="20">
        <f t="shared" si="10"/>
        <v>91</v>
      </c>
      <c r="H327" s="146" t="s">
        <v>53</v>
      </c>
      <c r="I327" s="29">
        <v>0.68</v>
      </c>
      <c r="J327" s="28">
        <v>19.8</v>
      </c>
      <c r="K327" s="29">
        <f t="shared" si="11"/>
        <v>0.79268</v>
      </c>
      <c r="L327" s="11"/>
      <c r="M327" s="21" t="e">
        <f>VLOOKUP(L327,Packaging!$B$3:$C$21,2,0)</f>
        <v>#N/A</v>
      </c>
      <c r="N327" s="11"/>
      <c r="O327" s="11">
        <v>40</v>
      </c>
      <c r="P327" s="11" t="s">
        <v>55</v>
      </c>
    </row>
    <row r="328" customHeight="1" spans="1:16">
      <c r="A328" s="143" t="s">
        <v>1057</v>
      </c>
      <c r="B328" s="11" t="s">
        <v>1058</v>
      </c>
      <c r="C328" s="9" t="s">
        <v>1059</v>
      </c>
      <c r="D328" s="11" t="s">
        <v>1018</v>
      </c>
      <c r="E328" s="18">
        <v>250</v>
      </c>
      <c r="F328" s="19"/>
      <c r="G328" s="20">
        <f t="shared" ref="G328:G342" si="12">F328+91</f>
        <v>91</v>
      </c>
      <c r="H328" s="146" t="s">
        <v>53</v>
      </c>
      <c r="I328" s="27">
        <v>280</v>
      </c>
      <c r="J328" s="28">
        <v>37</v>
      </c>
      <c r="K328" s="29">
        <f t="shared" ref="K328:K345" si="13">(I328+(J328*E328))/1000</f>
        <v>9.53</v>
      </c>
      <c r="L328" s="144" t="s">
        <v>54</v>
      </c>
      <c r="M328" s="142" t="str">
        <f>VLOOKUP(L328,Packaging!$B$3:$C$21,2,0)</f>
        <v>290 X 200 X 140</v>
      </c>
      <c r="N328" s="11"/>
      <c r="O328" s="11">
        <v>50</v>
      </c>
      <c r="P328" s="11" t="s">
        <v>55</v>
      </c>
    </row>
    <row r="329" customHeight="1" spans="1:16">
      <c r="A329" s="143" t="s">
        <v>1060</v>
      </c>
      <c r="B329" s="11">
        <v>3000011884</v>
      </c>
      <c r="C329" s="9" t="s">
        <v>1061</v>
      </c>
      <c r="D329" s="11" t="s">
        <v>878</v>
      </c>
      <c r="E329" s="18">
        <v>675</v>
      </c>
      <c r="F329" s="19"/>
      <c r="G329" s="20">
        <f t="shared" si="12"/>
        <v>91</v>
      </c>
      <c r="H329" s="11" t="s">
        <v>1062</v>
      </c>
      <c r="I329" s="27">
        <v>244</v>
      </c>
      <c r="J329" s="28">
        <v>28.8</v>
      </c>
      <c r="K329" s="29">
        <f t="shared" si="13"/>
        <v>19.684</v>
      </c>
      <c r="L329" s="144" t="s">
        <v>274</v>
      </c>
      <c r="M329" s="142" t="str">
        <f>VLOOKUP(L329,Packaging!$B$3:$C$21,2,0)</f>
        <v>290 X 200 X 100</v>
      </c>
      <c r="N329" s="11"/>
      <c r="O329" s="11">
        <v>15</v>
      </c>
      <c r="P329" s="11" t="s">
        <v>55</v>
      </c>
    </row>
    <row r="330" customHeight="1" spans="1:16">
      <c r="A330" s="143" t="s">
        <v>1063</v>
      </c>
      <c r="B330" s="11">
        <v>3000011883</v>
      </c>
      <c r="C330" s="9" t="s">
        <v>619</v>
      </c>
      <c r="D330" s="11" t="s">
        <v>878</v>
      </c>
      <c r="E330" s="18">
        <v>240</v>
      </c>
      <c r="F330" s="19"/>
      <c r="G330" s="20">
        <f t="shared" si="12"/>
        <v>91</v>
      </c>
      <c r="H330" s="11" t="s">
        <v>1064</v>
      </c>
      <c r="I330" s="27">
        <v>280</v>
      </c>
      <c r="J330" s="28">
        <v>59.6</v>
      </c>
      <c r="K330" s="29">
        <f t="shared" si="13"/>
        <v>14.584</v>
      </c>
      <c r="L330" s="144" t="s">
        <v>54</v>
      </c>
      <c r="M330" s="142" t="str">
        <f>VLOOKUP(L330,Packaging!$B$3:$C$21,2,0)</f>
        <v>290 X 200 X 140</v>
      </c>
      <c r="N330" s="11"/>
      <c r="O330" s="11">
        <v>10</v>
      </c>
      <c r="P330" s="11" t="s">
        <v>55</v>
      </c>
    </row>
    <row r="331" customHeight="1" spans="1:16">
      <c r="A331" s="143" t="s">
        <v>1065</v>
      </c>
      <c r="B331" s="11" t="s">
        <v>1066</v>
      </c>
      <c r="C331" s="9" t="s">
        <v>1067</v>
      </c>
      <c r="D331" s="11" t="s">
        <v>569</v>
      </c>
      <c r="E331" s="18"/>
      <c r="F331" s="19"/>
      <c r="G331" s="20">
        <f t="shared" si="12"/>
        <v>91</v>
      </c>
      <c r="H331" s="11" t="s">
        <v>1068</v>
      </c>
      <c r="I331" s="27">
        <v>580</v>
      </c>
      <c r="J331" s="28">
        <v>462</v>
      </c>
      <c r="K331" s="29">
        <f t="shared" si="13"/>
        <v>0.58</v>
      </c>
      <c r="L331" s="144" t="s">
        <v>101</v>
      </c>
      <c r="M331" s="142" t="str">
        <f>VLOOKUP(L331,Packaging!$B$3:$C$21,2,0)</f>
        <v>1380 X 150 X 80</v>
      </c>
      <c r="N331" s="11"/>
      <c r="O331" s="11"/>
      <c r="P331" s="11" t="s">
        <v>55</v>
      </c>
    </row>
    <row r="332" customHeight="1" spans="1:16">
      <c r="A332" s="143" t="s">
        <v>1069</v>
      </c>
      <c r="B332" s="11" t="s">
        <v>1070</v>
      </c>
      <c r="C332" s="9" t="s">
        <v>1071</v>
      </c>
      <c r="D332" s="11" t="s">
        <v>569</v>
      </c>
      <c r="E332" s="18"/>
      <c r="F332" s="19"/>
      <c r="G332" s="20">
        <f t="shared" si="12"/>
        <v>91</v>
      </c>
      <c r="H332" s="11" t="s">
        <v>1072</v>
      </c>
      <c r="I332" s="27">
        <v>580</v>
      </c>
      <c r="J332" s="28">
        <v>802</v>
      </c>
      <c r="K332" s="29">
        <f t="shared" si="13"/>
        <v>0.58</v>
      </c>
      <c r="L332" s="144" t="s">
        <v>101</v>
      </c>
      <c r="M332" s="142" t="str">
        <f>VLOOKUP(L332,Packaging!$B$3:$C$21,2,0)</f>
        <v>1380 X 150 X 80</v>
      </c>
      <c r="N332" s="11"/>
      <c r="O332" s="11"/>
      <c r="P332" s="11" t="s">
        <v>55</v>
      </c>
    </row>
    <row r="333" customHeight="1" spans="1:16">
      <c r="A333" s="143" t="s">
        <v>1073</v>
      </c>
      <c r="B333" s="11" t="s">
        <v>1074</v>
      </c>
      <c r="C333" s="9" t="s">
        <v>1075</v>
      </c>
      <c r="D333" s="11" t="s">
        <v>1076</v>
      </c>
      <c r="E333" s="18">
        <v>8</v>
      </c>
      <c r="F333" s="19"/>
      <c r="G333" s="20">
        <f t="shared" si="12"/>
        <v>91</v>
      </c>
      <c r="H333" s="11" t="s">
        <v>53</v>
      </c>
      <c r="I333" s="27">
        <v>2112</v>
      </c>
      <c r="J333" s="28"/>
      <c r="K333" s="29">
        <f t="shared" si="13"/>
        <v>2.112</v>
      </c>
      <c r="L333" s="144" t="s">
        <v>1077</v>
      </c>
      <c r="M333" s="142" t="str">
        <f>VLOOKUP(L333,Packaging!$B$3:$C$21,2,0)</f>
        <v>1460 X 200 X 160</v>
      </c>
      <c r="N333" s="11"/>
      <c r="O333" s="11"/>
      <c r="P333" s="11" t="s">
        <v>55</v>
      </c>
    </row>
    <row r="334" customHeight="1" spans="1:16">
      <c r="A334" s="143" t="s">
        <v>1078</v>
      </c>
      <c r="B334" s="11" t="s">
        <v>1079</v>
      </c>
      <c r="C334" s="9" t="s">
        <v>1080</v>
      </c>
      <c r="D334" s="11" t="s">
        <v>1081</v>
      </c>
      <c r="E334" s="18" t="s">
        <v>53</v>
      </c>
      <c r="F334" s="19"/>
      <c r="G334" s="20">
        <f t="shared" si="12"/>
        <v>91</v>
      </c>
      <c r="H334" s="11" t="s">
        <v>1082</v>
      </c>
      <c r="I334" s="27"/>
      <c r="J334" s="28"/>
      <c r="K334" s="29" t="e">
        <f t="shared" si="13"/>
        <v>#VALUE!</v>
      </c>
      <c r="L334" s="36"/>
      <c r="M334" s="21" t="e">
        <f>VLOOKUP(L334,Packaging!$B$3:$C$21,2,0)</f>
        <v>#N/A</v>
      </c>
      <c r="N334" s="11"/>
      <c r="O334" s="11"/>
      <c r="P334" s="11" t="s">
        <v>55</v>
      </c>
    </row>
    <row r="335" customHeight="1" spans="1:16">
      <c r="A335" s="143" t="s">
        <v>1083</v>
      </c>
      <c r="B335" s="11" t="s">
        <v>1084</v>
      </c>
      <c r="C335" s="9" t="s">
        <v>1085</v>
      </c>
      <c r="D335" s="11" t="s">
        <v>1081</v>
      </c>
      <c r="E335" s="18" t="s">
        <v>53</v>
      </c>
      <c r="F335" s="19"/>
      <c r="G335" s="20">
        <f t="shared" si="12"/>
        <v>91</v>
      </c>
      <c r="H335" s="11" t="s">
        <v>1082</v>
      </c>
      <c r="I335" s="27"/>
      <c r="J335" s="28"/>
      <c r="K335" s="29" t="e">
        <f t="shared" si="13"/>
        <v>#VALUE!</v>
      </c>
      <c r="L335" s="36"/>
      <c r="M335" s="21" t="e">
        <f>VLOOKUP(L335,Packaging!$B$3:$C$21,2,0)</f>
        <v>#N/A</v>
      </c>
      <c r="N335" s="11"/>
      <c r="O335" s="11"/>
      <c r="P335" s="11" t="s">
        <v>55</v>
      </c>
    </row>
    <row r="336" customHeight="1" spans="1:16">
      <c r="A336" s="143" t="s">
        <v>1086</v>
      </c>
      <c r="B336" s="11" t="s">
        <v>1087</v>
      </c>
      <c r="C336" s="9" t="s">
        <v>1088</v>
      </c>
      <c r="D336" s="11" t="s">
        <v>1081</v>
      </c>
      <c r="E336" s="18">
        <v>1450</v>
      </c>
      <c r="F336" s="19"/>
      <c r="G336" s="20">
        <f t="shared" si="12"/>
        <v>91</v>
      </c>
      <c r="H336" s="11" t="s">
        <v>1089</v>
      </c>
      <c r="I336" s="27"/>
      <c r="J336" s="28"/>
      <c r="K336" s="29">
        <f t="shared" si="13"/>
        <v>0</v>
      </c>
      <c r="L336" s="36"/>
      <c r="M336" s="21" t="e">
        <f>VLOOKUP(L336,Packaging!$B$3:$C$21,2,0)</f>
        <v>#N/A</v>
      </c>
      <c r="N336" s="11"/>
      <c r="O336" s="11"/>
      <c r="P336" s="11" t="s">
        <v>55</v>
      </c>
    </row>
    <row r="337" customHeight="1" spans="1:16">
      <c r="A337" s="143" t="s">
        <v>1090</v>
      </c>
      <c r="B337" s="11" t="s">
        <v>1091</v>
      </c>
      <c r="C337" s="9" t="s">
        <v>1092</v>
      </c>
      <c r="D337" s="11" t="s">
        <v>1093</v>
      </c>
      <c r="E337" s="18">
        <v>30</v>
      </c>
      <c r="F337" s="19"/>
      <c r="G337" s="20">
        <f t="shared" si="12"/>
        <v>91</v>
      </c>
      <c r="H337" s="11" t="s">
        <v>53</v>
      </c>
      <c r="I337" s="27">
        <v>430</v>
      </c>
      <c r="J337" s="28">
        <v>262</v>
      </c>
      <c r="K337" s="29">
        <f t="shared" si="13"/>
        <v>8.29</v>
      </c>
      <c r="L337" s="144" t="s">
        <v>83</v>
      </c>
      <c r="M337" s="142" t="str">
        <f>VLOOKUP(L337,Packaging!$B$3:$C$21,2,0)</f>
        <v>560 X 175 X 155</v>
      </c>
      <c r="N337" s="11" t="s">
        <v>53</v>
      </c>
      <c r="O337" s="11">
        <v>2</v>
      </c>
      <c r="P337" s="11" t="s">
        <v>55</v>
      </c>
    </row>
    <row r="338" customHeight="1" spans="1:16">
      <c r="A338" s="143" t="s">
        <v>1094</v>
      </c>
      <c r="B338" s="11">
        <v>3000003318</v>
      </c>
      <c r="C338" s="9" t="s">
        <v>1095</v>
      </c>
      <c r="D338" s="11" t="s">
        <v>1096</v>
      </c>
      <c r="E338" s="18">
        <v>1</v>
      </c>
      <c r="F338" s="19"/>
      <c r="G338" s="20">
        <f t="shared" si="12"/>
        <v>91</v>
      </c>
      <c r="H338" s="11" t="s">
        <v>1097</v>
      </c>
      <c r="I338" s="27">
        <v>157</v>
      </c>
      <c r="J338" s="28">
        <v>2863</v>
      </c>
      <c r="K338" s="29">
        <f t="shared" si="13"/>
        <v>3.02</v>
      </c>
      <c r="L338" s="144" t="s">
        <v>1098</v>
      </c>
      <c r="M338" s="142" t="str">
        <f>VLOOKUP(L338,Packaging!$B$3:$C$21,2,0)</f>
        <v>620 X 120 X 150</v>
      </c>
      <c r="N338" s="11"/>
      <c r="O338" s="11">
        <v>1</v>
      </c>
      <c r="P338" s="11" t="s">
        <v>55</v>
      </c>
    </row>
    <row r="339" customHeight="1" spans="1:16">
      <c r="A339" s="143" t="s">
        <v>1099</v>
      </c>
      <c r="B339" s="11">
        <v>3000003864</v>
      </c>
      <c r="C339" s="9" t="s">
        <v>1100</v>
      </c>
      <c r="D339" s="11" t="s">
        <v>1096</v>
      </c>
      <c r="E339" s="18"/>
      <c r="F339" s="19"/>
      <c r="G339" s="20">
        <f t="shared" si="12"/>
        <v>91</v>
      </c>
      <c r="H339" s="11" t="s">
        <v>1101</v>
      </c>
      <c r="I339" s="28">
        <v>13.4</v>
      </c>
      <c r="J339" s="28"/>
      <c r="K339" s="29">
        <f t="shared" si="13"/>
        <v>0.0134</v>
      </c>
      <c r="L339" s="144" t="s">
        <v>54</v>
      </c>
      <c r="M339" s="142" t="str">
        <f>VLOOKUP(L339,Packaging!$B$3:$C$21,2,0)</f>
        <v>290 X 200 X 140</v>
      </c>
      <c r="N339" s="11"/>
      <c r="O339" s="11">
        <v>20</v>
      </c>
      <c r="P339" s="11" t="s">
        <v>55</v>
      </c>
    </row>
    <row r="340" customHeight="1" spans="1:16">
      <c r="A340" s="143" t="s">
        <v>1102</v>
      </c>
      <c r="B340" s="11" t="s">
        <v>1103</v>
      </c>
      <c r="C340" s="9" t="s">
        <v>1088</v>
      </c>
      <c r="D340" s="11" t="s">
        <v>1081</v>
      </c>
      <c r="E340" s="18">
        <v>1450</v>
      </c>
      <c r="F340" s="19"/>
      <c r="G340" s="20">
        <f t="shared" si="12"/>
        <v>91</v>
      </c>
      <c r="H340" s="11" t="s">
        <v>53</v>
      </c>
      <c r="I340" s="27" t="s">
        <v>53</v>
      </c>
      <c r="J340" s="28">
        <v>16.3</v>
      </c>
      <c r="K340" s="29" t="e">
        <f t="shared" si="13"/>
        <v>#VALUE!</v>
      </c>
      <c r="L340" s="36"/>
      <c r="M340" s="21" t="e">
        <f>VLOOKUP(L340,Packaging!$B$3:$C$21,2,0)</f>
        <v>#N/A</v>
      </c>
      <c r="N340" s="11"/>
      <c r="O340" s="11">
        <v>15</v>
      </c>
      <c r="P340" s="11" t="s">
        <v>55</v>
      </c>
    </row>
    <row r="341" customHeight="1" spans="1:16">
      <c r="A341" s="143" t="s">
        <v>1104</v>
      </c>
      <c r="B341" s="11" t="s">
        <v>1105</v>
      </c>
      <c r="C341" s="147" t="s">
        <v>1106</v>
      </c>
      <c r="D341" s="11" t="s">
        <v>1107</v>
      </c>
      <c r="E341" s="18">
        <v>480</v>
      </c>
      <c r="F341" s="19"/>
      <c r="G341" s="20">
        <f t="shared" si="12"/>
        <v>91</v>
      </c>
      <c r="H341" s="11" t="s">
        <v>53</v>
      </c>
      <c r="I341" s="27">
        <v>244</v>
      </c>
      <c r="J341" s="28">
        <v>20</v>
      </c>
      <c r="K341" s="29">
        <f t="shared" si="13"/>
        <v>9.844</v>
      </c>
      <c r="L341" s="144" t="s">
        <v>274</v>
      </c>
      <c r="M341" s="142" t="str">
        <f>VLOOKUP(L341,Packaging!$B$3:$C$21,2,0)</f>
        <v>290 X 200 X 100</v>
      </c>
      <c r="N341" s="11"/>
      <c r="O341" s="11">
        <v>24</v>
      </c>
      <c r="P341" s="11" t="s">
        <v>55</v>
      </c>
    </row>
    <row r="342" customHeight="1" spans="1:16">
      <c r="A342" s="143" t="s">
        <v>1108</v>
      </c>
      <c r="B342" s="11" t="s">
        <v>1109</v>
      </c>
      <c r="C342" s="9" t="s">
        <v>1092</v>
      </c>
      <c r="D342" s="11" t="s">
        <v>1093</v>
      </c>
      <c r="E342" s="18">
        <v>30</v>
      </c>
      <c r="F342" s="19"/>
      <c r="G342" s="20">
        <f t="shared" si="12"/>
        <v>91</v>
      </c>
      <c r="H342" s="11" t="s">
        <v>53</v>
      </c>
      <c r="I342" s="27">
        <v>430</v>
      </c>
      <c r="J342" s="28">
        <v>262</v>
      </c>
      <c r="K342" s="29">
        <f t="shared" si="13"/>
        <v>8.29</v>
      </c>
      <c r="L342" s="144" t="s">
        <v>83</v>
      </c>
      <c r="M342" s="142" t="str">
        <f>VLOOKUP(L342,Packaging!$B$3:$C$21,2,0)</f>
        <v>560 X 175 X 155</v>
      </c>
      <c r="N342" s="11"/>
      <c r="O342" s="11">
        <v>2</v>
      </c>
      <c r="P342" s="11" t="s">
        <v>55</v>
      </c>
    </row>
    <row r="343" customHeight="1" spans="1:16">
      <c r="A343" s="143" t="s">
        <v>1110</v>
      </c>
      <c r="B343" s="11" t="s">
        <v>1111</v>
      </c>
      <c r="C343" s="9" t="s">
        <v>1100</v>
      </c>
      <c r="D343" s="11" t="s">
        <v>1096</v>
      </c>
      <c r="E343" s="18"/>
      <c r="F343" s="19"/>
      <c r="G343" s="20">
        <f t="shared" ref="G343:G350" si="14">F343+91</f>
        <v>91</v>
      </c>
      <c r="H343" s="11" t="s">
        <v>1112</v>
      </c>
      <c r="I343" s="27">
        <v>244</v>
      </c>
      <c r="J343" s="28">
        <v>76</v>
      </c>
      <c r="K343" s="29">
        <f t="shared" si="13"/>
        <v>0.244</v>
      </c>
      <c r="L343" s="144" t="s">
        <v>274</v>
      </c>
      <c r="M343" s="142" t="str">
        <f>VLOOKUP(L343,Packaging!$B$3:$C$21,2,0)</f>
        <v>290 X 200 X 100</v>
      </c>
      <c r="N343" s="11" t="s">
        <v>1113</v>
      </c>
      <c r="O343" s="11"/>
      <c r="P343" s="11" t="s">
        <v>55</v>
      </c>
    </row>
    <row r="344" customHeight="1" spans="1:16">
      <c r="A344" s="143" t="s">
        <v>1114</v>
      </c>
      <c r="B344" s="11" t="s">
        <v>1115</v>
      </c>
      <c r="C344" s="9" t="s">
        <v>1116</v>
      </c>
      <c r="D344" s="11" t="s">
        <v>1096</v>
      </c>
      <c r="E344" s="18"/>
      <c r="F344" s="19"/>
      <c r="G344" s="20">
        <f t="shared" si="14"/>
        <v>91</v>
      </c>
      <c r="H344" s="11" t="s">
        <v>1117</v>
      </c>
      <c r="I344" s="27">
        <v>244</v>
      </c>
      <c r="J344" s="28">
        <v>72</v>
      </c>
      <c r="K344" s="29">
        <f t="shared" si="13"/>
        <v>0.244</v>
      </c>
      <c r="L344" s="144" t="s">
        <v>274</v>
      </c>
      <c r="M344" s="142" t="str">
        <f>VLOOKUP(L344,Packaging!$B$3:$C$21,2,0)</f>
        <v>290 X 200 X 100</v>
      </c>
      <c r="N344" s="11" t="s">
        <v>1113</v>
      </c>
      <c r="O344" s="11"/>
      <c r="P344" s="11" t="s">
        <v>55</v>
      </c>
    </row>
    <row r="345" customHeight="1" spans="1:16">
      <c r="A345" s="143" t="s">
        <v>1118</v>
      </c>
      <c r="B345" s="11" t="s">
        <v>1119</v>
      </c>
      <c r="C345" s="9" t="s">
        <v>1120</v>
      </c>
      <c r="D345" s="11" t="s">
        <v>1121</v>
      </c>
      <c r="E345" s="18">
        <v>800</v>
      </c>
      <c r="F345" s="19"/>
      <c r="G345" s="20">
        <f t="shared" si="14"/>
        <v>91</v>
      </c>
      <c r="H345" s="11" t="s">
        <v>53</v>
      </c>
      <c r="I345" s="27">
        <v>280</v>
      </c>
      <c r="J345" s="28">
        <v>28.5</v>
      </c>
      <c r="K345" s="29">
        <f t="shared" si="13"/>
        <v>23.08</v>
      </c>
      <c r="L345" s="144" t="s">
        <v>54</v>
      </c>
      <c r="M345" s="142" t="str">
        <f>VLOOKUP(L345,Packaging!$B$3:$C$21,2,0)</f>
        <v>290 X 200 X 140</v>
      </c>
      <c r="N345" s="11"/>
      <c r="O345" s="11">
        <v>100</v>
      </c>
      <c r="P345" s="11" t="s">
        <v>55</v>
      </c>
    </row>
    <row r="346" customHeight="1" spans="1:16">
      <c r="A346" s="143" t="s">
        <v>1122</v>
      </c>
      <c r="B346" s="11">
        <v>954966</v>
      </c>
      <c r="C346" s="9" t="s">
        <v>867</v>
      </c>
      <c r="D346" s="11" t="s">
        <v>1096</v>
      </c>
      <c r="E346" s="18">
        <v>100</v>
      </c>
      <c r="F346" s="19"/>
      <c r="G346" s="20">
        <f t="shared" si="14"/>
        <v>91</v>
      </c>
      <c r="H346" s="11" t="s">
        <v>1123</v>
      </c>
      <c r="I346" s="27">
        <v>280</v>
      </c>
      <c r="J346" s="28">
        <v>152.6</v>
      </c>
      <c r="K346" s="29">
        <v>0.28</v>
      </c>
      <c r="L346" s="144" t="s">
        <v>54</v>
      </c>
      <c r="M346" s="142" t="str">
        <f>VLOOKUP(L346,Packaging!$B$3:$C$21,2,0)</f>
        <v>290 X 200 X 140</v>
      </c>
      <c r="N346" s="11"/>
      <c r="O346" s="11">
        <v>5</v>
      </c>
      <c r="P346" s="11" t="s">
        <v>55</v>
      </c>
    </row>
    <row r="347" customHeight="1" spans="1:16">
      <c r="A347" s="143" t="s">
        <v>1124</v>
      </c>
      <c r="B347" s="11">
        <v>954967</v>
      </c>
      <c r="C347" s="9" t="s">
        <v>871</v>
      </c>
      <c r="D347" s="11" t="s">
        <v>1096</v>
      </c>
      <c r="E347" s="18">
        <v>100</v>
      </c>
      <c r="F347" s="19"/>
      <c r="G347" s="20">
        <f t="shared" si="14"/>
        <v>91</v>
      </c>
      <c r="H347" s="11" t="s">
        <v>1123</v>
      </c>
      <c r="I347" s="27">
        <v>280</v>
      </c>
      <c r="J347" s="28">
        <v>152.6</v>
      </c>
      <c r="K347" s="29">
        <v>0.28</v>
      </c>
      <c r="L347" s="144" t="s">
        <v>54</v>
      </c>
      <c r="M347" s="142" t="str">
        <f>VLOOKUP(L347,Packaging!$B$3:$C$21,2,0)</f>
        <v>290 X 200 X 140</v>
      </c>
      <c r="N347" s="11"/>
      <c r="O347" s="11">
        <v>5</v>
      </c>
      <c r="P347" s="11" t="s">
        <v>55</v>
      </c>
    </row>
    <row r="348" customHeight="1" spans="1:16">
      <c r="A348" s="143" t="s">
        <v>1125</v>
      </c>
      <c r="B348" s="11">
        <v>3000013624</v>
      </c>
      <c r="C348" s="9" t="s">
        <v>1126</v>
      </c>
      <c r="D348" s="11" t="s">
        <v>1096</v>
      </c>
      <c r="E348" s="18">
        <v>20</v>
      </c>
      <c r="F348" s="19"/>
      <c r="G348" s="20">
        <v>91</v>
      </c>
      <c r="H348" s="11" t="s">
        <v>1127</v>
      </c>
      <c r="I348" s="27">
        <v>580</v>
      </c>
      <c r="J348" s="28">
        <v>459</v>
      </c>
      <c r="K348" s="29">
        <v>0.58</v>
      </c>
      <c r="L348" s="144" t="s">
        <v>101</v>
      </c>
      <c r="M348" s="142" t="s">
        <v>887</v>
      </c>
      <c r="N348" s="11"/>
      <c r="O348" s="11">
        <v>1</v>
      </c>
      <c r="P348" s="11" t="s">
        <v>55</v>
      </c>
    </row>
    <row r="349" customHeight="1" spans="1:16">
      <c r="A349" s="143" t="s">
        <v>1128</v>
      </c>
      <c r="B349" s="11" t="s">
        <v>1129</v>
      </c>
      <c r="C349" s="9" t="s">
        <v>1130</v>
      </c>
      <c r="D349" s="11" t="s">
        <v>1107</v>
      </c>
      <c r="E349" s="18">
        <v>400</v>
      </c>
      <c r="F349" s="19"/>
      <c r="G349" s="20">
        <f t="shared" si="14"/>
        <v>91</v>
      </c>
      <c r="H349" s="11" t="s">
        <v>53</v>
      </c>
      <c r="I349" s="27">
        <v>280</v>
      </c>
      <c r="J349" s="28">
        <v>19.5</v>
      </c>
      <c r="K349" s="29">
        <f t="shared" ref="K349:K356" si="15">(I349+(J349*E349))/1000</f>
        <v>8.08</v>
      </c>
      <c r="L349" s="144" t="s">
        <v>54</v>
      </c>
      <c r="M349" s="142" t="str">
        <f>VLOOKUP(L349,Packaging!$B$3:$C$21,2,0)</f>
        <v>290 X 200 X 140</v>
      </c>
      <c r="N349" s="11"/>
      <c r="O349" s="11">
        <v>20</v>
      </c>
      <c r="P349" s="11" t="s">
        <v>55</v>
      </c>
    </row>
    <row r="350" customHeight="1" spans="1:16">
      <c r="A350" s="143" t="s">
        <v>1131</v>
      </c>
      <c r="B350" s="11" t="s">
        <v>1132</v>
      </c>
      <c r="C350" s="9" t="s">
        <v>1133</v>
      </c>
      <c r="D350" s="11" t="s">
        <v>1107</v>
      </c>
      <c r="E350" s="18">
        <v>400</v>
      </c>
      <c r="F350" s="19"/>
      <c r="G350" s="20">
        <f t="shared" si="14"/>
        <v>91</v>
      </c>
      <c r="H350" s="11" t="s">
        <v>53</v>
      </c>
      <c r="I350" s="27">
        <v>280</v>
      </c>
      <c r="J350" s="28">
        <v>19.5</v>
      </c>
      <c r="K350" s="29">
        <f t="shared" si="15"/>
        <v>8.08</v>
      </c>
      <c r="L350" s="144" t="s">
        <v>54</v>
      </c>
      <c r="M350" s="142" t="str">
        <f>VLOOKUP(L350,Packaging!$B$3:$C$21,2,0)</f>
        <v>290 X 200 X 140</v>
      </c>
      <c r="N350" s="11"/>
      <c r="O350" s="11">
        <v>20</v>
      </c>
      <c r="P350" s="11" t="s">
        <v>55</v>
      </c>
    </row>
    <row r="351" customHeight="1" spans="1:16">
      <c r="A351" s="143" t="s">
        <v>1134</v>
      </c>
      <c r="B351" s="146" t="s">
        <v>1135</v>
      </c>
      <c r="C351" s="9" t="s">
        <v>1120</v>
      </c>
      <c r="D351" s="11" t="s">
        <v>1121</v>
      </c>
      <c r="E351" s="18">
        <v>250</v>
      </c>
      <c r="F351" s="19"/>
      <c r="G351" s="20">
        <f t="shared" ref="G351:G356" si="16">F351+91</f>
        <v>91</v>
      </c>
      <c r="H351" s="11" t="s">
        <v>53</v>
      </c>
      <c r="I351" s="27">
        <v>244</v>
      </c>
      <c r="J351" s="28">
        <v>76.5</v>
      </c>
      <c r="K351" s="29">
        <f t="shared" si="15"/>
        <v>19.369</v>
      </c>
      <c r="L351" s="144" t="s">
        <v>274</v>
      </c>
      <c r="M351" s="142" t="str">
        <f>VLOOKUP(L351,Packaging!$B$3:$C$21,2,0)</f>
        <v>290 X 200 X 100</v>
      </c>
      <c r="N351" s="11"/>
      <c r="O351" s="11">
        <v>50</v>
      </c>
      <c r="P351" s="11" t="s">
        <v>55</v>
      </c>
    </row>
    <row r="352" customHeight="1" spans="1:16">
      <c r="A352" s="143" t="s">
        <v>1136</v>
      </c>
      <c r="B352" s="146" t="s">
        <v>1137</v>
      </c>
      <c r="C352" s="9" t="s">
        <v>90</v>
      </c>
      <c r="D352" s="11" t="s">
        <v>1138</v>
      </c>
      <c r="E352" s="18">
        <v>28</v>
      </c>
      <c r="F352" s="19"/>
      <c r="G352" s="20">
        <f t="shared" si="16"/>
        <v>91</v>
      </c>
      <c r="H352" s="11" t="s">
        <v>53</v>
      </c>
      <c r="I352" s="27">
        <v>378</v>
      </c>
      <c r="J352" s="28">
        <v>438</v>
      </c>
      <c r="K352" s="29">
        <f t="shared" si="15"/>
        <v>12.642</v>
      </c>
      <c r="L352" s="144" t="s">
        <v>91</v>
      </c>
      <c r="M352" s="142" t="str">
        <f>VLOOKUP(L352,Packaging!$B$3:$C$21,2,0)</f>
        <v>400 X 240 X 130</v>
      </c>
      <c r="N352" s="11"/>
      <c r="O352" s="11">
        <v>2</v>
      </c>
      <c r="P352" s="11" t="s">
        <v>55</v>
      </c>
    </row>
    <row r="353" customHeight="1" spans="1:16">
      <c r="A353" s="143" t="s">
        <v>1139</v>
      </c>
      <c r="B353" s="146" t="s">
        <v>1140</v>
      </c>
      <c r="C353" s="9" t="s">
        <v>1141</v>
      </c>
      <c r="D353" s="11" t="s">
        <v>1107</v>
      </c>
      <c r="E353" s="18">
        <v>40</v>
      </c>
      <c r="F353" s="19"/>
      <c r="G353" s="20">
        <f t="shared" si="16"/>
        <v>91</v>
      </c>
      <c r="H353" s="11" t="s">
        <v>53</v>
      </c>
      <c r="I353" s="27">
        <v>378</v>
      </c>
      <c r="J353" s="28">
        <v>82.5</v>
      </c>
      <c r="K353" s="29">
        <f t="shared" si="15"/>
        <v>3.678</v>
      </c>
      <c r="L353" s="144" t="s">
        <v>91</v>
      </c>
      <c r="M353" s="142" t="str">
        <f>VLOOKUP(L353,Packaging!$B$3:$C$21,2,0)</f>
        <v>400 X 240 X 130</v>
      </c>
      <c r="N353" s="11"/>
      <c r="O353" s="11">
        <v>1</v>
      </c>
      <c r="P353" s="11" t="s">
        <v>55</v>
      </c>
    </row>
    <row r="354" customHeight="1" spans="1:16">
      <c r="A354" s="143" t="s">
        <v>1142</v>
      </c>
      <c r="B354" s="146" t="s">
        <v>1143</v>
      </c>
      <c r="C354" s="9" t="s">
        <v>1075</v>
      </c>
      <c r="D354" s="11" t="s">
        <v>1107</v>
      </c>
      <c r="E354" s="18">
        <v>84</v>
      </c>
      <c r="F354" s="19"/>
      <c r="G354" s="20">
        <f t="shared" si="16"/>
        <v>91</v>
      </c>
      <c r="H354" s="11" t="s">
        <v>53</v>
      </c>
      <c r="I354" s="27">
        <v>378</v>
      </c>
      <c r="J354" s="28">
        <v>40.5</v>
      </c>
      <c r="K354" s="29">
        <f t="shared" si="15"/>
        <v>3.78</v>
      </c>
      <c r="L354" s="144" t="s">
        <v>91</v>
      </c>
      <c r="M354" s="142" t="str">
        <f>VLOOKUP(L354,Packaging!$B$3:$C$21,2,0)</f>
        <v>400 X 240 X 130</v>
      </c>
      <c r="N354" s="11"/>
      <c r="O354" s="11">
        <v>2</v>
      </c>
      <c r="P354" s="11" t="s">
        <v>55</v>
      </c>
    </row>
    <row r="355" customHeight="1" spans="1:16">
      <c r="A355" s="143" t="s">
        <v>1144</v>
      </c>
      <c r="B355" s="146" t="s">
        <v>1145</v>
      </c>
      <c r="C355" s="9" t="s">
        <v>1146</v>
      </c>
      <c r="D355" s="11" t="s">
        <v>1107</v>
      </c>
      <c r="E355" s="18">
        <v>80</v>
      </c>
      <c r="F355" s="19"/>
      <c r="G355" s="20">
        <f t="shared" si="16"/>
        <v>91</v>
      </c>
      <c r="H355" s="11" t="s">
        <v>53</v>
      </c>
      <c r="I355" s="27">
        <v>244</v>
      </c>
      <c r="J355" s="28">
        <v>76</v>
      </c>
      <c r="K355" s="29">
        <f t="shared" si="15"/>
        <v>6.324</v>
      </c>
      <c r="L355" s="144" t="s">
        <v>274</v>
      </c>
      <c r="M355" s="142" t="str">
        <f>VLOOKUP(L355,Packaging!$B$3:$C$21,2,0)</f>
        <v>290 X 200 X 100</v>
      </c>
      <c r="N355" s="11"/>
      <c r="O355" s="11">
        <v>2</v>
      </c>
      <c r="P355" s="11" t="s">
        <v>55</v>
      </c>
    </row>
    <row r="356" customHeight="1" spans="1:16">
      <c r="A356" s="143" t="s">
        <v>1147</v>
      </c>
      <c r="B356" s="146" t="s">
        <v>1148</v>
      </c>
      <c r="C356" s="9" t="s">
        <v>1149</v>
      </c>
      <c r="D356" s="11" t="s">
        <v>1107</v>
      </c>
      <c r="E356" s="18">
        <v>500</v>
      </c>
      <c r="F356" s="19"/>
      <c r="G356" s="20">
        <f t="shared" si="16"/>
        <v>91</v>
      </c>
      <c r="H356" s="11" t="s">
        <v>53</v>
      </c>
      <c r="I356" s="27">
        <v>244</v>
      </c>
      <c r="J356" s="28">
        <v>22</v>
      </c>
      <c r="K356" s="29">
        <f t="shared" si="15"/>
        <v>11.244</v>
      </c>
      <c r="L356" s="144" t="s">
        <v>274</v>
      </c>
      <c r="M356" s="142" t="str">
        <f>VLOOKUP(L356,Packaging!$B$3:$C$21,2,0)</f>
        <v>290 X 200 X 100</v>
      </c>
      <c r="N356" s="11"/>
      <c r="O356" s="11">
        <v>50</v>
      </c>
      <c r="P356" s="11" t="s">
        <v>55</v>
      </c>
    </row>
    <row r="357" customHeight="1" spans="1:16">
      <c r="A357" s="143" t="s">
        <v>1150</v>
      </c>
      <c r="B357" s="146" t="s">
        <v>1151</v>
      </c>
      <c r="C357" s="9" t="s">
        <v>1152</v>
      </c>
      <c r="D357" s="11" t="s">
        <v>1107</v>
      </c>
      <c r="E357" s="18">
        <v>120</v>
      </c>
      <c r="F357" s="19"/>
      <c r="G357" s="20">
        <f t="shared" ref="G357:G368" si="17">F357+91</f>
        <v>91</v>
      </c>
      <c r="H357" s="11" t="s">
        <v>53</v>
      </c>
      <c r="I357" s="27">
        <v>244</v>
      </c>
      <c r="J357" s="28">
        <v>16.5</v>
      </c>
      <c r="K357" s="29">
        <f t="shared" ref="K357:K368" si="18">(I357+(J357*E357))/1000</f>
        <v>2.224</v>
      </c>
      <c r="L357" s="144" t="s">
        <v>274</v>
      </c>
      <c r="M357" s="142" t="str">
        <f>VLOOKUP(L357,Packaging!$B$3:$C$21,2,0)</f>
        <v>290 X 200 X 100</v>
      </c>
      <c r="N357" s="11"/>
      <c r="O357" s="11">
        <v>10</v>
      </c>
      <c r="P357" s="11" t="s">
        <v>55</v>
      </c>
    </row>
    <row r="358" customHeight="1" spans="1:16">
      <c r="A358" s="143" t="s">
        <v>1153</v>
      </c>
      <c r="B358" s="146" t="s">
        <v>1154</v>
      </c>
      <c r="C358" s="9" t="s">
        <v>1155</v>
      </c>
      <c r="D358" s="11" t="s">
        <v>1107</v>
      </c>
      <c r="E358" s="18">
        <v>35</v>
      </c>
      <c r="F358" s="19"/>
      <c r="G358" s="20">
        <f t="shared" si="17"/>
        <v>91</v>
      </c>
      <c r="H358" s="11" t="s">
        <v>53</v>
      </c>
      <c r="I358" s="27">
        <v>378</v>
      </c>
      <c r="J358" s="28">
        <v>20</v>
      </c>
      <c r="K358" s="29">
        <f t="shared" si="18"/>
        <v>1.078</v>
      </c>
      <c r="L358" s="144" t="s">
        <v>91</v>
      </c>
      <c r="M358" s="142" t="str">
        <f>VLOOKUP(L358,Packaging!$B$3:$C$21,2,0)</f>
        <v>400 X 240 X 130</v>
      </c>
      <c r="N358" s="11"/>
      <c r="O358" s="11">
        <v>5</v>
      </c>
      <c r="P358" s="11" t="s">
        <v>55</v>
      </c>
    </row>
    <row r="359" customHeight="1" spans="1:16">
      <c r="A359" s="143" t="s">
        <v>1156</v>
      </c>
      <c r="B359" s="146" t="s">
        <v>1157</v>
      </c>
      <c r="C359" s="9" t="s">
        <v>1158</v>
      </c>
      <c r="D359" s="11" t="s">
        <v>1107</v>
      </c>
      <c r="E359" s="18">
        <v>500</v>
      </c>
      <c r="F359" s="19"/>
      <c r="G359" s="20">
        <f t="shared" si="17"/>
        <v>91</v>
      </c>
      <c r="H359" s="11" t="s">
        <v>53</v>
      </c>
      <c r="I359" s="27">
        <v>278</v>
      </c>
      <c r="J359" s="28">
        <v>8</v>
      </c>
      <c r="K359" s="29">
        <f t="shared" si="18"/>
        <v>4.278</v>
      </c>
      <c r="L359" s="144" t="s">
        <v>161</v>
      </c>
      <c r="M359" s="142" t="str">
        <f>VLOOKUP(L359,Packaging!$B$3:$C$21,2,0)</f>
        <v>360 X 270 X 128</v>
      </c>
      <c r="N359" s="11"/>
      <c r="O359" s="11">
        <v>50</v>
      </c>
      <c r="P359" s="11" t="s">
        <v>55</v>
      </c>
    </row>
    <row r="360" customHeight="1" spans="1:16">
      <c r="A360" s="143" t="s">
        <v>1159</v>
      </c>
      <c r="B360" s="146" t="s">
        <v>1160</v>
      </c>
      <c r="C360" s="9" t="s">
        <v>1161</v>
      </c>
      <c r="D360" s="11" t="s">
        <v>1107</v>
      </c>
      <c r="E360" s="18">
        <v>40</v>
      </c>
      <c r="F360" s="19"/>
      <c r="G360" s="20">
        <f t="shared" si="17"/>
        <v>91</v>
      </c>
      <c r="H360" s="11" t="s">
        <v>53</v>
      </c>
      <c r="I360" s="27">
        <v>244</v>
      </c>
      <c r="J360" s="28">
        <v>98</v>
      </c>
      <c r="K360" s="29">
        <f t="shared" si="18"/>
        <v>4.164</v>
      </c>
      <c r="L360" s="144" t="s">
        <v>274</v>
      </c>
      <c r="M360" s="142" t="str">
        <f>VLOOKUP(L360,Packaging!$B$3:$C$21,2,0)</f>
        <v>290 X 200 X 100</v>
      </c>
      <c r="N360" s="11"/>
      <c r="O360" s="11">
        <v>1</v>
      </c>
      <c r="P360" s="11" t="s">
        <v>55</v>
      </c>
    </row>
    <row r="361" customHeight="1" spans="1:16">
      <c r="A361" s="143" t="s">
        <v>1162</v>
      </c>
      <c r="B361" s="146" t="s">
        <v>1163</v>
      </c>
      <c r="C361" s="9" t="s">
        <v>1164</v>
      </c>
      <c r="D361" s="11" t="s">
        <v>1107</v>
      </c>
      <c r="E361" s="18">
        <v>1000</v>
      </c>
      <c r="F361" s="19"/>
      <c r="G361" s="20">
        <f t="shared" si="17"/>
        <v>91</v>
      </c>
      <c r="H361" s="11" t="s">
        <v>53</v>
      </c>
      <c r="I361" s="27">
        <v>280</v>
      </c>
      <c r="J361" s="28">
        <v>8</v>
      </c>
      <c r="K361" s="29">
        <f t="shared" si="18"/>
        <v>8.28</v>
      </c>
      <c r="L361" s="144" t="s">
        <v>54</v>
      </c>
      <c r="M361" s="142" t="str">
        <f>VLOOKUP(L361,Packaging!$B$3:$C$21,2,0)</f>
        <v>290 X 200 X 140</v>
      </c>
      <c r="N361" s="11"/>
      <c r="O361" s="11">
        <v>250</v>
      </c>
      <c r="P361" s="11" t="s">
        <v>55</v>
      </c>
    </row>
    <row r="362" customHeight="1" spans="1:16">
      <c r="A362" s="143" t="s">
        <v>1165</v>
      </c>
      <c r="B362" s="146" t="s">
        <v>1166</v>
      </c>
      <c r="C362" s="9" t="s">
        <v>1167</v>
      </c>
      <c r="D362" s="11" t="s">
        <v>1107</v>
      </c>
      <c r="E362" s="18">
        <v>10</v>
      </c>
      <c r="F362" s="19"/>
      <c r="G362" s="20">
        <f t="shared" si="17"/>
        <v>91</v>
      </c>
      <c r="H362" s="11" t="s">
        <v>53</v>
      </c>
      <c r="I362" s="27">
        <v>278</v>
      </c>
      <c r="J362" s="28">
        <v>264</v>
      </c>
      <c r="K362" s="29">
        <f t="shared" si="18"/>
        <v>2.918</v>
      </c>
      <c r="L362" s="144" t="s">
        <v>161</v>
      </c>
      <c r="M362" s="142" t="str">
        <f>VLOOKUP(L362,Packaging!$B$3:$C$21,2,0)</f>
        <v>360 X 270 X 128</v>
      </c>
      <c r="N362" s="11"/>
      <c r="O362" s="11">
        <v>1</v>
      </c>
      <c r="P362" s="11" t="s">
        <v>55</v>
      </c>
    </row>
    <row r="363" customHeight="1" spans="1:16">
      <c r="A363" s="143" t="s">
        <v>1168</v>
      </c>
      <c r="B363" s="146" t="s">
        <v>1169</v>
      </c>
      <c r="C363" s="9" t="s">
        <v>867</v>
      </c>
      <c r="D363" s="11" t="s">
        <v>1096</v>
      </c>
      <c r="E363" s="18"/>
      <c r="F363" s="19"/>
      <c r="G363" s="20">
        <f t="shared" si="17"/>
        <v>91</v>
      </c>
      <c r="H363" s="11" t="s">
        <v>53</v>
      </c>
      <c r="I363" s="27">
        <v>280</v>
      </c>
      <c r="J363" s="28">
        <v>207</v>
      </c>
      <c r="K363" s="29">
        <f t="shared" si="18"/>
        <v>0.28</v>
      </c>
      <c r="L363" s="144" t="s">
        <v>54</v>
      </c>
      <c r="M363" s="142" t="str">
        <f>VLOOKUP(L363,Packaging!$B$3:$C$21,2,0)</f>
        <v>290 X 200 X 140</v>
      </c>
      <c r="N363" s="11"/>
      <c r="O363" s="11">
        <v>5</v>
      </c>
      <c r="P363" s="11" t="s">
        <v>55</v>
      </c>
    </row>
    <row r="364" customHeight="1" spans="1:16">
      <c r="A364" s="143" t="s">
        <v>1170</v>
      </c>
      <c r="B364" s="146" t="s">
        <v>1171</v>
      </c>
      <c r="C364" s="9" t="s">
        <v>871</v>
      </c>
      <c r="D364" s="11" t="s">
        <v>1096</v>
      </c>
      <c r="E364" s="18"/>
      <c r="F364" s="19"/>
      <c r="G364" s="20">
        <f t="shared" si="17"/>
        <v>91</v>
      </c>
      <c r="H364" s="11" t="s">
        <v>53</v>
      </c>
      <c r="I364" s="27">
        <v>280</v>
      </c>
      <c r="J364" s="28">
        <v>207</v>
      </c>
      <c r="K364" s="29">
        <f t="shared" si="18"/>
        <v>0.28</v>
      </c>
      <c r="L364" s="144" t="s">
        <v>54</v>
      </c>
      <c r="M364" s="142" t="str">
        <f>VLOOKUP(L364,Packaging!$B$3:$C$21,2,0)</f>
        <v>290 X 200 X 140</v>
      </c>
      <c r="N364" s="11"/>
      <c r="O364" s="11">
        <v>5</v>
      </c>
      <c r="P364" s="11" t="s">
        <v>55</v>
      </c>
    </row>
    <row r="365" customHeight="1" spans="1:16">
      <c r="A365" s="143" t="s">
        <v>1172</v>
      </c>
      <c r="B365" s="146" t="s">
        <v>1173</v>
      </c>
      <c r="C365" s="9" t="s">
        <v>1174</v>
      </c>
      <c r="D365" s="11" t="s">
        <v>1096</v>
      </c>
      <c r="E365" s="18"/>
      <c r="F365" s="19"/>
      <c r="G365" s="20">
        <f t="shared" si="17"/>
        <v>91</v>
      </c>
      <c r="H365" s="11" t="s">
        <v>53</v>
      </c>
      <c r="I365" s="27">
        <v>244</v>
      </c>
      <c r="J365" s="28">
        <v>72</v>
      </c>
      <c r="K365" s="29">
        <f t="shared" si="18"/>
        <v>0.244</v>
      </c>
      <c r="L365" s="144" t="s">
        <v>274</v>
      </c>
      <c r="M365" s="142" t="str">
        <f>VLOOKUP(L365,Packaging!$B$3:$C$21,2,0)</f>
        <v>290 X 200 X 100</v>
      </c>
      <c r="N365" s="11"/>
      <c r="O365" s="11">
        <v>6</v>
      </c>
      <c r="P365" s="11" t="s">
        <v>55</v>
      </c>
    </row>
    <row r="366" customHeight="1" spans="1:16">
      <c r="A366" s="143" t="s">
        <v>1175</v>
      </c>
      <c r="B366" s="146" t="s">
        <v>1176</v>
      </c>
      <c r="C366" s="9" t="s">
        <v>1177</v>
      </c>
      <c r="D366" s="11" t="s">
        <v>1096</v>
      </c>
      <c r="E366" s="18"/>
      <c r="F366" s="19"/>
      <c r="G366" s="20">
        <f t="shared" si="17"/>
        <v>91</v>
      </c>
      <c r="H366" s="11" t="s">
        <v>53</v>
      </c>
      <c r="I366" s="27">
        <v>244</v>
      </c>
      <c r="J366" s="28">
        <v>124</v>
      </c>
      <c r="K366" s="29">
        <f t="shared" si="18"/>
        <v>0.244</v>
      </c>
      <c r="L366" s="144" t="s">
        <v>274</v>
      </c>
      <c r="M366" s="142" t="str">
        <f>VLOOKUP(L366,Packaging!$B$3:$C$21,2,0)</f>
        <v>290 X 200 X 100</v>
      </c>
      <c r="N366" s="11"/>
      <c r="O366" s="11">
        <v>1</v>
      </c>
      <c r="P366" s="11" t="s">
        <v>55</v>
      </c>
    </row>
    <row r="367" customHeight="1" spans="1:16">
      <c r="A367" s="143" t="s">
        <v>1178</v>
      </c>
      <c r="B367" s="146" t="s">
        <v>1179</v>
      </c>
      <c r="C367" s="9" t="s">
        <v>1180</v>
      </c>
      <c r="D367" s="11" t="s">
        <v>1096</v>
      </c>
      <c r="E367" s="18"/>
      <c r="F367" s="19"/>
      <c r="G367" s="20">
        <f t="shared" si="17"/>
        <v>91</v>
      </c>
      <c r="H367" s="11" t="s">
        <v>1181</v>
      </c>
      <c r="I367" s="27">
        <v>244</v>
      </c>
      <c r="J367" s="28">
        <v>70</v>
      </c>
      <c r="K367" s="29">
        <f t="shared" si="18"/>
        <v>0.244</v>
      </c>
      <c r="L367" s="144" t="s">
        <v>274</v>
      </c>
      <c r="M367" s="142" t="str">
        <f>VLOOKUP(L367,Packaging!$B$3:$C$21,2,0)</f>
        <v>290 X 200 X 100</v>
      </c>
      <c r="N367" s="11"/>
      <c r="O367" s="11">
        <v>1</v>
      </c>
      <c r="P367" s="11" t="s">
        <v>55</v>
      </c>
    </row>
    <row r="368" customHeight="1" spans="1:16">
      <c r="A368" s="143" t="s">
        <v>1182</v>
      </c>
      <c r="B368" s="146" t="s">
        <v>1183</v>
      </c>
      <c r="C368" s="9" t="s">
        <v>1184</v>
      </c>
      <c r="D368" s="11" t="s">
        <v>1096</v>
      </c>
      <c r="E368" s="18"/>
      <c r="F368" s="19"/>
      <c r="G368" s="20">
        <f t="shared" si="17"/>
        <v>91</v>
      </c>
      <c r="H368" s="11" t="s">
        <v>1185</v>
      </c>
      <c r="I368" s="27">
        <v>244</v>
      </c>
      <c r="J368" s="28">
        <v>70</v>
      </c>
      <c r="K368" s="29">
        <f t="shared" si="18"/>
        <v>0.244</v>
      </c>
      <c r="L368" s="144" t="s">
        <v>274</v>
      </c>
      <c r="M368" s="142" t="str">
        <f>VLOOKUP(L368,Packaging!$B$3:$C$21,2,0)</f>
        <v>290 X 200 X 100</v>
      </c>
      <c r="N368" s="11"/>
      <c r="O368" s="11">
        <v>1</v>
      </c>
      <c r="P368" s="11" t="s">
        <v>55</v>
      </c>
    </row>
    <row r="369" customHeight="1" spans="1:16">
      <c r="A369" s="143" t="s">
        <v>1186</v>
      </c>
      <c r="B369" s="146" t="s">
        <v>1187</v>
      </c>
      <c r="C369" s="9" t="s">
        <v>1188</v>
      </c>
      <c r="D369" s="11" t="s">
        <v>1096</v>
      </c>
      <c r="E369" s="18"/>
      <c r="F369" s="19"/>
      <c r="G369" s="20">
        <f t="shared" ref="G369:G375" si="19">F369+91</f>
        <v>91</v>
      </c>
      <c r="H369" s="11" t="s">
        <v>1189</v>
      </c>
      <c r="I369" s="27">
        <v>244</v>
      </c>
      <c r="J369" s="28">
        <v>37.6</v>
      </c>
      <c r="K369" s="29">
        <f t="shared" ref="K369:K375" si="20">(I369+(J369*E369))/1000</f>
        <v>0.244</v>
      </c>
      <c r="L369" s="144" t="s">
        <v>274</v>
      </c>
      <c r="M369" s="142" t="str">
        <f>VLOOKUP(L369,Packaging!$B$3:$C$21,2,0)</f>
        <v>290 X 200 X 100</v>
      </c>
      <c r="N369" s="11"/>
      <c r="O369" s="11">
        <v>1</v>
      </c>
      <c r="P369" s="11" t="s">
        <v>55</v>
      </c>
    </row>
    <row r="370" customHeight="1" spans="1:16">
      <c r="A370" s="143" t="s">
        <v>1190</v>
      </c>
      <c r="B370" s="146" t="s">
        <v>1191</v>
      </c>
      <c r="C370" s="9" t="s">
        <v>1192</v>
      </c>
      <c r="D370" s="11" t="s">
        <v>1107</v>
      </c>
      <c r="E370" s="18"/>
      <c r="F370" s="19"/>
      <c r="G370" s="20">
        <f t="shared" si="19"/>
        <v>91</v>
      </c>
      <c r="H370" s="11" t="s">
        <v>53</v>
      </c>
      <c r="I370" s="27">
        <v>244</v>
      </c>
      <c r="J370" s="28">
        <v>20</v>
      </c>
      <c r="K370" s="29">
        <f t="shared" si="20"/>
        <v>0.244</v>
      </c>
      <c r="L370" s="144" t="s">
        <v>274</v>
      </c>
      <c r="M370" s="142" t="str">
        <f>VLOOKUP(L370,Packaging!$B$3:$C$21,2,0)</f>
        <v>290 X 200 X 100</v>
      </c>
      <c r="N370" s="11"/>
      <c r="O370" s="11">
        <v>1</v>
      </c>
      <c r="P370" s="11" t="s">
        <v>55</v>
      </c>
    </row>
    <row r="371" customHeight="1" spans="1:16">
      <c r="A371" s="143" t="s">
        <v>1193</v>
      </c>
      <c r="B371" s="146" t="s">
        <v>1194</v>
      </c>
      <c r="C371" s="9" t="s">
        <v>1195</v>
      </c>
      <c r="D371" s="11" t="s">
        <v>1107</v>
      </c>
      <c r="E371" s="18">
        <v>88</v>
      </c>
      <c r="F371" s="19"/>
      <c r="G371" s="20">
        <f t="shared" si="19"/>
        <v>91</v>
      </c>
      <c r="H371" s="11" t="s">
        <v>53</v>
      </c>
      <c r="I371" s="27">
        <v>378</v>
      </c>
      <c r="J371" s="28">
        <v>31.7</v>
      </c>
      <c r="K371" s="29">
        <f t="shared" si="20"/>
        <v>3.1676</v>
      </c>
      <c r="L371" s="144" t="s">
        <v>91</v>
      </c>
      <c r="M371" s="142" t="str">
        <f>VLOOKUP(L371,Packaging!$B$3:$C$21,2,0)</f>
        <v>400 X 240 X 130</v>
      </c>
      <c r="N371" s="11"/>
      <c r="O371" s="11">
        <v>1</v>
      </c>
      <c r="P371" s="11" t="s">
        <v>55</v>
      </c>
    </row>
    <row r="372" customHeight="1" spans="1:16">
      <c r="A372" s="143" t="s">
        <v>1196</v>
      </c>
      <c r="B372" s="146" t="s">
        <v>1197</v>
      </c>
      <c r="C372" s="9" t="s">
        <v>1198</v>
      </c>
      <c r="D372" s="11" t="s">
        <v>1107</v>
      </c>
      <c r="E372" s="18">
        <v>100</v>
      </c>
      <c r="F372" s="19"/>
      <c r="G372" s="20">
        <f t="shared" si="19"/>
        <v>91</v>
      </c>
      <c r="H372" s="11" t="s">
        <v>53</v>
      </c>
      <c r="I372" s="27">
        <v>244</v>
      </c>
      <c r="J372" s="28">
        <v>87</v>
      </c>
      <c r="K372" s="29">
        <f t="shared" si="20"/>
        <v>8.944</v>
      </c>
      <c r="L372" s="144" t="s">
        <v>274</v>
      </c>
      <c r="M372" s="142" t="str">
        <f>VLOOKUP(L372,Packaging!$B$3:$C$21,2,0)</f>
        <v>290 X 200 X 100</v>
      </c>
      <c r="N372" s="11"/>
      <c r="O372" s="11">
        <v>10</v>
      </c>
      <c r="P372" s="11" t="s">
        <v>55</v>
      </c>
    </row>
    <row r="373" customHeight="1" spans="1:16">
      <c r="A373" s="143" t="s">
        <v>1199</v>
      </c>
      <c r="B373" s="146" t="s">
        <v>1200</v>
      </c>
      <c r="C373" s="9" t="s">
        <v>1201</v>
      </c>
      <c r="D373" s="11" t="s">
        <v>1107</v>
      </c>
      <c r="E373" s="18">
        <v>120</v>
      </c>
      <c r="F373" s="19"/>
      <c r="G373" s="20">
        <f t="shared" si="19"/>
        <v>91</v>
      </c>
      <c r="H373" s="11" t="s">
        <v>53</v>
      </c>
      <c r="I373" s="27">
        <v>244</v>
      </c>
      <c r="J373" s="28">
        <v>49.1</v>
      </c>
      <c r="K373" s="29">
        <f t="shared" si="20"/>
        <v>6.136</v>
      </c>
      <c r="L373" s="144" t="s">
        <v>274</v>
      </c>
      <c r="M373" s="142" t="str">
        <f>VLOOKUP(L373,Packaging!$B$3:$C$21,2,0)</f>
        <v>290 X 200 X 100</v>
      </c>
      <c r="N373" s="11"/>
      <c r="O373" s="11">
        <v>20</v>
      </c>
      <c r="P373" s="11" t="s">
        <v>55</v>
      </c>
    </row>
    <row r="374" customHeight="1" spans="1:16">
      <c r="A374" s="143" t="s">
        <v>1202</v>
      </c>
      <c r="B374" s="146" t="s">
        <v>1203</v>
      </c>
      <c r="C374" s="9" t="s">
        <v>1204</v>
      </c>
      <c r="D374" s="11" t="s">
        <v>1205</v>
      </c>
      <c r="E374" s="18">
        <v>2000</v>
      </c>
      <c r="F374" s="19"/>
      <c r="G374" s="20">
        <f t="shared" si="19"/>
        <v>91</v>
      </c>
      <c r="H374" s="11" t="s">
        <v>53</v>
      </c>
      <c r="I374" s="27">
        <v>244</v>
      </c>
      <c r="J374" s="28">
        <v>1.26</v>
      </c>
      <c r="K374" s="29">
        <f t="shared" si="20"/>
        <v>2.764</v>
      </c>
      <c r="L374" s="144" t="s">
        <v>274</v>
      </c>
      <c r="M374" s="142" t="str">
        <f>VLOOKUP(L374,Packaging!$B$3:$C$21,2,0)</f>
        <v>290 X 200 X 100</v>
      </c>
      <c r="N374" s="11"/>
      <c r="O374" s="11">
        <v>100</v>
      </c>
      <c r="P374" s="11" t="s">
        <v>55</v>
      </c>
    </row>
    <row r="375" customHeight="1" spans="1:16">
      <c r="A375" s="7"/>
      <c r="B375" s="11"/>
      <c r="C375" s="9"/>
      <c r="D375" s="11"/>
      <c r="E375" s="18"/>
      <c r="F375" s="19"/>
      <c r="G375" s="20">
        <f t="shared" si="19"/>
        <v>91</v>
      </c>
      <c r="H375" s="11" t="s">
        <v>53</v>
      </c>
      <c r="I375" s="27"/>
      <c r="J375" s="28"/>
      <c r="K375" s="29">
        <f t="shared" si="20"/>
        <v>0</v>
      </c>
      <c r="L375" s="144" t="s">
        <v>54</v>
      </c>
      <c r="M375" s="142" t="str">
        <f>VLOOKUP(L375,Packaging!$B$3:$C$21,2,0)</f>
        <v>290 X 200 X 140</v>
      </c>
      <c r="N375" s="11"/>
      <c r="O375" s="11"/>
      <c r="P375" s="11" t="s">
        <v>55</v>
      </c>
    </row>
  </sheetData>
  <autoFilter ref="A4:N327">
    <extLst/>
  </autoFilter>
  <mergeCells count="13">
    <mergeCell ref="I3:M3"/>
    <mergeCell ref="A3:A4"/>
    <mergeCell ref="B3:B4"/>
    <mergeCell ref="C3:C4"/>
    <mergeCell ref="D3:D4"/>
    <mergeCell ref="E3:E4"/>
    <mergeCell ref="F3:F4"/>
    <mergeCell ref="G3:G4"/>
    <mergeCell ref="H3:H4"/>
    <mergeCell ref="N3:N4"/>
    <mergeCell ref="O3:O4"/>
    <mergeCell ref="P3:P4"/>
    <mergeCell ref="A1:N2"/>
  </mergeCells>
  <conditionalFormatting sqref="B328">
    <cfRule type="duplicateValues" dxfId="0" priority="18"/>
  </conditionalFormatting>
  <conditionalFormatting sqref="B333">
    <cfRule type="duplicateValues" dxfId="0" priority="14"/>
    <cfRule type="duplicateValues" dxfId="0" priority="15"/>
  </conditionalFormatting>
  <conditionalFormatting sqref="B336">
    <cfRule type="duplicateValues" dxfId="0" priority="10"/>
    <cfRule type="duplicateValues" dxfId="0" priority="11"/>
  </conditionalFormatting>
  <conditionalFormatting sqref="B337">
    <cfRule type="duplicateValues" dxfId="0" priority="7"/>
    <cfRule type="duplicateValues" dxfId="0" priority="8"/>
  </conditionalFormatting>
  <conditionalFormatting sqref="B338">
    <cfRule type="duplicateValues" dxfId="0" priority="5"/>
    <cfRule type="duplicateValues" dxfId="0" priority="6"/>
  </conditionalFormatting>
  <conditionalFormatting sqref="B5:B327">
    <cfRule type="duplicateValues" dxfId="0" priority="23"/>
  </conditionalFormatting>
  <conditionalFormatting sqref="B329:B330">
    <cfRule type="duplicateValues" dxfId="0" priority="17"/>
  </conditionalFormatting>
  <conditionalFormatting sqref="B331:B332">
    <cfRule type="duplicateValues" dxfId="0" priority="16"/>
  </conditionalFormatting>
  <conditionalFormatting sqref="B334:B335">
    <cfRule type="duplicateValues" dxfId="0" priority="12"/>
    <cfRule type="duplicateValues" dxfId="0" priority="13"/>
  </conditionalFormatting>
  <conditionalFormatting sqref="B339:B375">
    <cfRule type="duplicateValues" dxfId="0" priority="30"/>
    <cfRule type="duplicateValues" dxfId="0" priority="31"/>
  </conditionalFormatting>
  <conditionalFormatting sqref="H331:H332">
    <cfRule type="duplicateValues" dxfId="0" priority="9"/>
  </conditionalFormatting>
  <conditionalFormatting sqref="H343:H348">
    <cfRule type="duplicateValues" dxfId="0" priority="34"/>
    <cfRule type="duplicateValues" dxfId="0" priority="35"/>
  </conditionalFormatting>
  <printOptions horizontalCentered="1"/>
  <pageMargins left="0.15748031496063" right="0.15748031496063" top="0.354330708661417" bottom="0.15748031496063" header="0" footer="0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9"/>
  <sheetViews>
    <sheetView workbookViewId="0">
      <selection activeCell="C9" sqref="C9"/>
    </sheetView>
  </sheetViews>
  <sheetFormatPr defaultColWidth="9" defaultRowHeight="15" outlineLevelCol="3"/>
  <cols>
    <col min="1" max="1" width="3.85333333333333" customWidth="1"/>
    <col min="2" max="2" width="24.4266666666667" customWidth="1"/>
    <col min="3" max="3" width="19.7133333333333" customWidth="1"/>
  </cols>
  <sheetData>
    <row r="2" ht="42.75" spans="1:4">
      <c r="A2" s="26" t="s">
        <v>1206</v>
      </c>
      <c r="B2" s="26" t="s">
        <v>47</v>
      </c>
      <c r="C2" s="26" t="s">
        <v>1207</v>
      </c>
      <c r="D2" s="52" t="s">
        <v>1208</v>
      </c>
    </row>
    <row r="3" ht="15.75" spans="1:4">
      <c r="A3" s="10">
        <v>1</v>
      </c>
      <c r="B3" s="144" t="s">
        <v>161</v>
      </c>
      <c r="C3" s="142" t="s">
        <v>1209</v>
      </c>
      <c r="D3" s="53">
        <v>278</v>
      </c>
    </row>
    <row r="4" ht="15.75" spans="1:4">
      <c r="A4" s="10">
        <v>2</v>
      </c>
      <c r="B4" s="144" t="s">
        <v>54</v>
      </c>
      <c r="C4" s="142" t="s">
        <v>1210</v>
      </c>
      <c r="D4" s="53">
        <v>280</v>
      </c>
    </row>
    <row r="5" ht="15.75" spans="1:4">
      <c r="A5" s="10">
        <v>3</v>
      </c>
      <c r="B5" s="144" t="s">
        <v>891</v>
      </c>
      <c r="C5" s="142" t="s">
        <v>1211</v>
      </c>
      <c r="D5" s="53">
        <v>134</v>
      </c>
    </row>
    <row r="6" ht="15.75" spans="1:4">
      <c r="A6" s="10">
        <v>4</v>
      </c>
      <c r="B6" s="144" t="s">
        <v>1212</v>
      </c>
      <c r="C6" s="142" t="s">
        <v>1213</v>
      </c>
      <c r="D6" s="53">
        <v>172</v>
      </c>
    </row>
    <row r="7" ht="15.75" spans="1:4">
      <c r="A7" s="10">
        <v>5</v>
      </c>
      <c r="B7" s="144" t="s">
        <v>72</v>
      </c>
      <c r="C7" s="142" t="s">
        <v>1214</v>
      </c>
      <c r="D7" s="53">
        <v>766</v>
      </c>
    </row>
    <row r="8" ht="15.75" spans="1:4">
      <c r="A8" s="10">
        <v>6</v>
      </c>
      <c r="B8" s="144" t="s">
        <v>1098</v>
      </c>
      <c r="C8" s="142" t="s">
        <v>1215</v>
      </c>
      <c r="D8" s="53">
        <v>157</v>
      </c>
    </row>
    <row r="9" ht="15.75" spans="1:4">
      <c r="A9" s="10">
        <v>7</v>
      </c>
      <c r="B9" s="144" t="s">
        <v>91</v>
      </c>
      <c r="C9" s="142" t="s">
        <v>1216</v>
      </c>
      <c r="D9" s="53">
        <v>378</v>
      </c>
    </row>
    <row r="10" ht="15.75" spans="1:4">
      <c r="A10" s="10">
        <v>8</v>
      </c>
      <c r="B10" s="144" t="s">
        <v>83</v>
      </c>
      <c r="C10" s="142" t="s">
        <v>1217</v>
      </c>
      <c r="D10" s="53">
        <v>430</v>
      </c>
    </row>
    <row r="11" ht="15.75" spans="1:4">
      <c r="A11" s="10">
        <v>9</v>
      </c>
      <c r="B11" s="144" t="s">
        <v>1218</v>
      </c>
      <c r="C11" s="142" t="s">
        <v>1219</v>
      </c>
      <c r="D11" s="53">
        <v>494</v>
      </c>
    </row>
    <row r="12" ht="15.75" spans="1:4">
      <c r="A12" s="10">
        <v>10</v>
      </c>
      <c r="B12" s="144" t="s">
        <v>139</v>
      </c>
      <c r="C12" s="142" t="s">
        <v>1220</v>
      </c>
      <c r="D12" s="53">
        <v>556</v>
      </c>
    </row>
    <row r="13" ht="15.75" spans="1:4">
      <c r="A13" s="10">
        <v>11</v>
      </c>
      <c r="B13" s="144" t="s">
        <v>566</v>
      </c>
      <c r="C13" s="142" t="s">
        <v>1221</v>
      </c>
      <c r="D13" s="53">
        <v>1216</v>
      </c>
    </row>
    <row r="14" ht="15.75" spans="1:4">
      <c r="A14" s="10">
        <v>12</v>
      </c>
      <c r="B14" s="144" t="s">
        <v>274</v>
      </c>
      <c r="C14" s="142" t="s">
        <v>1222</v>
      </c>
      <c r="D14" s="53">
        <v>244</v>
      </c>
    </row>
    <row r="15" ht="15.75" spans="1:4">
      <c r="A15" s="10">
        <v>13</v>
      </c>
      <c r="B15" s="144" t="s">
        <v>101</v>
      </c>
      <c r="C15" s="142" t="s">
        <v>887</v>
      </c>
      <c r="D15" s="53">
        <v>580</v>
      </c>
    </row>
    <row r="16" ht="15.75" spans="1:4">
      <c r="A16" s="10">
        <v>14</v>
      </c>
      <c r="B16" s="144" t="s">
        <v>68</v>
      </c>
      <c r="C16" s="142" t="s">
        <v>1223</v>
      </c>
      <c r="D16" s="53">
        <v>948</v>
      </c>
    </row>
    <row r="17" ht="15.75" spans="1:4">
      <c r="A17" s="10">
        <v>15</v>
      </c>
      <c r="B17" s="144" t="s">
        <v>1224</v>
      </c>
      <c r="C17" s="142" t="s">
        <v>1225</v>
      </c>
      <c r="D17" s="53">
        <v>1040</v>
      </c>
    </row>
    <row r="18" spans="1:4">
      <c r="A18" s="10">
        <v>16</v>
      </c>
      <c r="B18" s="144" t="s">
        <v>79</v>
      </c>
      <c r="C18" s="142" t="s">
        <v>1226</v>
      </c>
      <c r="D18" s="54"/>
    </row>
    <row r="19" spans="1:4">
      <c r="A19" s="10">
        <v>17</v>
      </c>
      <c r="B19" s="144" t="s">
        <v>1077</v>
      </c>
      <c r="C19" s="142" t="s">
        <v>1227</v>
      </c>
      <c r="D19" s="54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5"/>
  <sheetViews>
    <sheetView tabSelected="1" workbookViewId="0">
      <selection activeCell="K5" sqref="K5"/>
    </sheetView>
  </sheetViews>
  <sheetFormatPr defaultColWidth="8.8" defaultRowHeight="15"/>
  <sheetData>
    <row r="1" spans="1:16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1"/>
      <c r="P1" s="3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1"/>
      <c r="P2" s="31"/>
    </row>
    <row r="3" spans="9:13">
      <c r="I3" s="22"/>
      <c r="J3" s="22"/>
      <c r="K3" s="22"/>
      <c r="L3" s="22"/>
      <c r="M3" s="22"/>
    </row>
    <row r="4" ht="42.75" spans="1:16">
      <c r="A4" s="3" t="s">
        <v>33</v>
      </c>
      <c r="B4" s="4" t="s">
        <v>34</v>
      </c>
      <c r="C4" s="5" t="s">
        <v>35</v>
      </c>
      <c r="D4" s="6" t="s">
        <v>36</v>
      </c>
      <c r="E4" s="15" t="s">
        <v>1228</v>
      </c>
      <c r="F4" s="16" t="s">
        <v>38</v>
      </c>
      <c r="G4" s="17" t="s">
        <v>39</v>
      </c>
      <c r="H4" s="4" t="s">
        <v>19</v>
      </c>
      <c r="I4" s="23" t="s">
        <v>44</v>
      </c>
      <c r="J4" s="24" t="s">
        <v>45</v>
      </c>
      <c r="K4" s="25" t="s">
        <v>1229</v>
      </c>
      <c r="L4" s="26" t="s">
        <v>47</v>
      </c>
      <c r="M4" s="26" t="s">
        <v>48</v>
      </c>
      <c r="N4" s="4" t="s">
        <v>41</v>
      </c>
      <c r="O4" s="32" t="s">
        <v>42</v>
      </c>
      <c r="P4" s="32" t="s">
        <v>43</v>
      </c>
    </row>
    <row r="5" ht="17.25" spans="1:16">
      <c r="A5" s="7" t="s">
        <v>49</v>
      </c>
      <c r="B5" s="8" t="s">
        <v>50</v>
      </c>
      <c r="C5" s="9" t="s">
        <v>51</v>
      </c>
      <c r="D5" s="10" t="s">
        <v>52</v>
      </c>
      <c r="E5" s="18">
        <v>220</v>
      </c>
      <c r="F5" s="19"/>
      <c r="G5" s="20">
        <f t="shared" ref="G5:G68" si="0">F5+91</f>
        <v>91</v>
      </c>
      <c r="H5" s="142" t="s">
        <v>53</v>
      </c>
      <c r="I5" s="27">
        <v>280</v>
      </c>
      <c r="J5" s="28">
        <v>26.2</v>
      </c>
      <c r="K5" s="29">
        <f t="shared" ref="K5:K68" si="1">(I5+(J5*E5))/1000</f>
        <v>6.044</v>
      </c>
      <c r="L5" s="142" t="s">
        <v>54</v>
      </c>
      <c r="M5" s="142" t="str">
        <f>VLOOKUP(L5,Packaging!$B$3:$C$21,2,0)</f>
        <v>290 X 200 X 140</v>
      </c>
      <c r="N5" s="10"/>
      <c r="O5" s="11">
        <v>5</v>
      </c>
      <c r="P5" s="11" t="s">
        <v>55</v>
      </c>
    </row>
    <row r="6" ht="17.25" spans="1:16">
      <c r="A6" s="7" t="s">
        <v>56</v>
      </c>
      <c r="B6" s="8" t="s">
        <v>57</v>
      </c>
      <c r="C6" s="9" t="s">
        <v>58</v>
      </c>
      <c r="D6" s="10" t="s">
        <v>52</v>
      </c>
      <c r="E6" s="18">
        <v>220</v>
      </c>
      <c r="F6" s="19"/>
      <c r="G6" s="20">
        <f t="shared" si="0"/>
        <v>91</v>
      </c>
      <c r="H6" s="142" t="s">
        <v>53</v>
      </c>
      <c r="I6" s="27">
        <v>280</v>
      </c>
      <c r="J6" s="28">
        <v>38.6</v>
      </c>
      <c r="K6" s="29">
        <f t="shared" si="1"/>
        <v>8.772</v>
      </c>
      <c r="L6" s="142" t="s">
        <v>54</v>
      </c>
      <c r="M6" s="142" t="str">
        <f>VLOOKUP(L6,Packaging!$B$3:$C$21,2,0)</f>
        <v>290 X 200 X 140</v>
      </c>
      <c r="N6" s="10"/>
      <c r="O6" s="11">
        <v>5</v>
      </c>
      <c r="P6" s="11" t="s">
        <v>55</v>
      </c>
    </row>
    <row r="7" ht="17.25" spans="1:16">
      <c r="A7" s="7" t="s">
        <v>59</v>
      </c>
      <c r="B7" s="8" t="s">
        <v>60</v>
      </c>
      <c r="C7" s="9" t="s">
        <v>61</v>
      </c>
      <c r="D7" s="10" t="s">
        <v>52</v>
      </c>
      <c r="E7" s="18">
        <v>220</v>
      </c>
      <c r="F7" s="19"/>
      <c r="G7" s="20">
        <f t="shared" si="0"/>
        <v>91</v>
      </c>
      <c r="H7" s="142" t="s">
        <v>53</v>
      </c>
      <c r="I7" s="27">
        <v>280</v>
      </c>
      <c r="J7" s="28">
        <v>26.2</v>
      </c>
      <c r="K7" s="29">
        <f t="shared" si="1"/>
        <v>6.044</v>
      </c>
      <c r="L7" s="142" t="s">
        <v>54</v>
      </c>
      <c r="M7" s="142" t="str">
        <f>VLOOKUP(L7,Packaging!$B$3:$C$21,2,0)</f>
        <v>290 X 200 X 140</v>
      </c>
      <c r="N7" s="10"/>
      <c r="O7" s="11">
        <v>5</v>
      </c>
      <c r="P7" s="11" t="s">
        <v>55</v>
      </c>
    </row>
    <row r="8" ht="17.25" spans="1:16">
      <c r="A8" s="7" t="s">
        <v>62</v>
      </c>
      <c r="B8" s="8" t="s">
        <v>63</v>
      </c>
      <c r="C8" s="9" t="s">
        <v>64</v>
      </c>
      <c r="D8" s="10" t="s">
        <v>52</v>
      </c>
      <c r="E8" s="18">
        <v>220</v>
      </c>
      <c r="F8" s="19"/>
      <c r="G8" s="20">
        <f t="shared" si="0"/>
        <v>91</v>
      </c>
      <c r="H8" s="142" t="s">
        <v>53</v>
      </c>
      <c r="I8" s="27">
        <v>280</v>
      </c>
      <c r="J8" s="28">
        <v>38.6</v>
      </c>
      <c r="K8" s="29">
        <f t="shared" si="1"/>
        <v>8.772</v>
      </c>
      <c r="L8" s="142" t="s">
        <v>54</v>
      </c>
      <c r="M8" s="142" t="str">
        <f>VLOOKUP(L8,Packaging!$B$3:$C$21,2,0)</f>
        <v>290 X 200 X 140</v>
      </c>
      <c r="N8" s="10"/>
      <c r="O8" s="11">
        <v>5</v>
      </c>
      <c r="P8" s="11" t="s">
        <v>55</v>
      </c>
    </row>
    <row r="9" ht="17.25" spans="1:16">
      <c r="A9" s="7" t="s">
        <v>65</v>
      </c>
      <c r="B9" s="11" t="s">
        <v>66</v>
      </c>
      <c r="C9" s="9" t="s">
        <v>67</v>
      </c>
      <c r="D9" s="10" t="s">
        <v>52</v>
      </c>
      <c r="E9" s="18">
        <v>16</v>
      </c>
      <c r="F9" s="19"/>
      <c r="G9" s="20">
        <f t="shared" si="0"/>
        <v>91</v>
      </c>
      <c r="H9" s="142" t="s">
        <v>53</v>
      </c>
      <c r="I9" s="27">
        <v>948</v>
      </c>
      <c r="J9" s="28">
        <v>1650.4</v>
      </c>
      <c r="K9" s="29">
        <f t="shared" si="1"/>
        <v>27.3544</v>
      </c>
      <c r="L9" s="142" t="s">
        <v>68</v>
      </c>
      <c r="M9" s="142" t="str">
        <f>VLOOKUP(L9,Packaging!$B$3:$C$21,2,0)</f>
        <v>1410 X 165 X 175</v>
      </c>
      <c r="N9" s="10"/>
      <c r="O9" s="11">
        <v>1</v>
      </c>
      <c r="P9" s="11" t="s">
        <v>55</v>
      </c>
    </row>
    <row r="10" ht="17.25" spans="1:16">
      <c r="A10" s="7" t="s">
        <v>69</v>
      </c>
      <c r="B10" s="11" t="s">
        <v>70</v>
      </c>
      <c r="C10" s="9" t="s">
        <v>71</v>
      </c>
      <c r="D10" s="10" t="s">
        <v>52</v>
      </c>
      <c r="E10" s="18">
        <v>40</v>
      </c>
      <c r="F10" s="19"/>
      <c r="G10" s="20">
        <f t="shared" si="0"/>
        <v>91</v>
      </c>
      <c r="H10" s="142" t="s">
        <v>53</v>
      </c>
      <c r="I10" s="27">
        <v>766</v>
      </c>
      <c r="J10" s="28">
        <v>170</v>
      </c>
      <c r="K10" s="29">
        <f t="shared" si="1"/>
        <v>7.566</v>
      </c>
      <c r="L10" s="142" t="s">
        <v>72</v>
      </c>
      <c r="M10" s="142" t="str">
        <f>VLOOKUP(L10,Packaging!$B$3:$C$21,2,0)</f>
        <v>390 X 350 X 280</v>
      </c>
      <c r="N10" s="10"/>
      <c r="O10" s="11">
        <v>2</v>
      </c>
      <c r="P10" s="11" t="s">
        <v>55</v>
      </c>
    </row>
    <row r="11" ht="17.25" spans="1:16">
      <c r="A11" s="7" t="s">
        <v>73</v>
      </c>
      <c r="B11" s="8" t="s">
        <v>74</v>
      </c>
      <c r="C11" s="9" t="s">
        <v>75</v>
      </c>
      <c r="D11" s="10" t="s">
        <v>52</v>
      </c>
      <c r="E11" s="18">
        <v>60</v>
      </c>
      <c r="F11" s="19"/>
      <c r="G11" s="20">
        <f t="shared" si="0"/>
        <v>91</v>
      </c>
      <c r="H11" s="142" t="s">
        <v>53</v>
      </c>
      <c r="I11" s="27">
        <v>280</v>
      </c>
      <c r="J11" s="28">
        <v>68.2</v>
      </c>
      <c r="K11" s="29">
        <f t="shared" si="1"/>
        <v>4.372</v>
      </c>
      <c r="L11" s="142" t="s">
        <v>54</v>
      </c>
      <c r="M11" s="142" t="str">
        <f>VLOOKUP(L11,Packaging!$B$3:$C$21,2,0)</f>
        <v>290 X 200 X 140</v>
      </c>
      <c r="N11" s="10"/>
      <c r="O11" s="11">
        <v>5</v>
      </c>
      <c r="P11" s="11" t="s">
        <v>55</v>
      </c>
    </row>
    <row r="12" ht="17.25" spans="1:16">
      <c r="A12" s="7" t="s">
        <v>76</v>
      </c>
      <c r="B12" s="11" t="s">
        <v>77</v>
      </c>
      <c r="C12" s="9" t="s">
        <v>78</v>
      </c>
      <c r="D12" s="10" t="s">
        <v>52</v>
      </c>
      <c r="E12" s="18">
        <v>20</v>
      </c>
      <c r="F12" s="19"/>
      <c r="G12" s="20">
        <f t="shared" si="0"/>
        <v>91</v>
      </c>
      <c r="H12" s="142" t="s">
        <v>53</v>
      </c>
      <c r="I12" s="30"/>
      <c r="J12" s="28">
        <v>5076.8</v>
      </c>
      <c r="K12" s="29">
        <f t="shared" si="1"/>
        <v>101.536</v>
      </c>
      <c r="L12" s="142" t="s">
        <v>79</v>
      </c>
      <c r="M12" s="142" t="str">
        <f>VLOOKUP(L12,Packaging!$B$3:$C$21,2,0)</f>
        <v>1000 X 880 X 1230</v>
      </c>
      <c r="N12" s="10"/>
      <c r="O12" s="11">
        <v>1</v>
      </c>
      <c r="P12" s="11" t="s">
        <v>55</v>
      </c>
    </row>
    <row r="13" ht="17.25" spans="1:16">
      <c r="A13" s="7" t="s">
        <v>80</v>
      </c>
      <c r="B13" s="8" t="s">
        <v>81</v>
      </c>
      <c r="C13" s="9" t="s">
        <v>82</v>
      </c>
      <c r="D13" s="10" t="s">
        <v>52</v>
      </c>
      <c r="E13" s="18">
        <v>30</v>
      </c>
      <c r="F13" s="19"/>
      <c r="G13" s="20">
        <f t="shared" si="0"/>
        <v>91</v>
      </c>
      <c r="H13" s="142" t="s">
        <v>53</v>
      </c>
      <c r="I13" s="27">
        <v>430</v>
      </c>
      <c r="J13" s="28">
        <v>411</v>
      </c>
      <c r="K13" s="29">
        <f t="shared" si="1"/>
        <v>12.76</v>
      </c>
      <c r="L13" s="142" t="s">
        <v>83</v>
      </c>
      <c r="M13" s="142" t="str">
        <f>VLOOKUP(L13,Packaging!$B$3:$C$21,2,0)</f>
        <v>560 X 175 X 155</v>
      </c>
      <c r="N13" s="10"/>
      <c r="O13" s="11">
        <v>1</v>
      </c>
      <c r="P13" s="11" t="s">
        <v>55</v>
      </c>
    </row>
    <row r="14" ht="17.25" spans="1:16">
      <c r="A14" s="7" t="s">
        <v>84</v>
      </c>
      <c r="B14" s="8" t="s">
        <v>85</v>
      </c>
      <c r="C14" s="12" t="s">
        <v>86</v>
      </c>
      <c r="D14" s="10" t="s">
        <v>52</v>
      </c>
      <c r="E14" s="18">
        <v>30</v>
      </c>
      <c r="F14" s="19"/>
      <c r="G14" s="20">
        <f t="shared" si="0"/>
        <v>91</v>
      </c>
      <c r="H14" s="142" t="s">
        <v>53</v>
      </c>
      <c r="I14" s="27">
        <v>430</v>
      </c>
      <c r="J14" s="28">
        <v>411</v>
      </c>
      <c r="K14" s="29">
        <f t="shared" si="1"/>
        <v>12.76</v>
      </c>
      <c r="L14" s="142" t="s">
        <v>83</v>
      </c>
      <c r="M14" s="142" t="str">
        <f>VLOOKUP(L14,Packaging!$B$3:$C$21,2,0)</f>
        <v>560 X 175 X 155</v>
      </c>
      <c r="N14" s="10" t="s">
        <v>87</v>
      </c>
      <c r="O14" s="11">
        <v>1</v>
      </c>
      <c r="P14" s="11" t="s">
        <v>55</v>
      </c>
    </row>
    <row r="15" ht="17.25" spans="1:16">
      <c r="A15" s="7" t="s">
        <v>88</v>
      </c>
      <c r="B15" s="8" t="s">
        <v>89</v>
      </c>
      <c r="C15" s="12" t="s">
        <v>90</v>
      </c>
      <c r="D15" s="10" t="s">
        <v>52</v>
      </c>
      <c r="E15" s="18">
        <v>28</v>
      </c>
      <c r="F15" s="19"/>
      <c r="G15" s="20">
        <f t="shared" si="0"/>
        <v>91</v>
      </c>
      <c r="H15" s="142" t="s">
        <v>53</v>
      </c>
      <c r="I15" s="27">
        <v>378</v>
      </c>
      <c r="J15" s="28">
        <v>437.8</v>
      </c>
      <c r="K15" s="29">
        <f t="shared" si="1"/>
        <v>12.6364</v>
      </c>
      <c r="L15" s="142" t="s">
        <v>91</v>
      </c>
      <c r="M15" s="142" t="str">
        <f>VLOOKUP(L15,Packaging!$B$3:$C$21,2,0)</f>
        <v>400 X 240 X 130</v>
      </c>
      <c r="N15" s="10"/>
      <c r="O15" s="11">
        <v>2</v>
      </c>
      <c r="P15" s="11" t="s">
        <v>55</v>
      </c>
    </row>
    <row r="16" ht="17.25" spans="1:16">
      <c r="A16" s="7" t="s">
        <v>92</v>
      </c>
      <c r="B16" s="8" t="s">
        <v>93</v>
      </c>
      <c r="C16" s="9" t="s">
        <v>94</v>
      </c>
      <c r="D16" s="10" t="s">
        <v>52</v>
      </c>
      <c r="E16" s="18">
        <v>100</v>
      </c>
      <c r="F16" s="19"/>
      <c r="G16" s="20">
        <f t="shared" si="0"/>
        <v>91</v>
      </c>
      <c r="H16" s="142" t="s">
        <v>53</v>
      </c>
      <c r="I16" s="27">
        <v>280</v>
      </c>
      <c r="J16" s="28">
        <v>91</v>
      </c>
      <c r="K16" s="29">
        <f t="shared" si="1"/>
        <v>9.38</v>
      </c>
      <c r="L16" s="142" t="s">
        <v>54</v>
      </c>
      <c r="M16" s="142" t="str">
        <f>VLOOKUP(L16,Packaging!$B$3:$C$21,2,0)</f>
        <v>290 X 200 X 140</v>
      </c>
      <c r="N16" s="10"/>
      <c r="O16" s="11">
        <v>5</v>
      </c>
      <c r="P16" s="11" t="s">
        <v>55</v>
      </c>
    </row>
    <row r="17" ht="17.25" spans="1:16">
      <c r="A17" s="7" t="s">
        <v>95</v>
      </c>
      <c r="B17" s="8" t="s">
        <v>96</v>
      </c>
      <c r="C17" s="9" t="s">
        <v>97</v>
      </c>
      <c r="D17" s="10" t="s">
        <v>52</v>
      </c>
      <c r="E17" s="18">
        <v>100</v>
      </c>
      <c r="F17" s="19"/>
      <c r="G17" s="20">
        <f t="shared" si="0"/>
        <v>91</v>
      </c>
      <c r="H17" s="142" t="s">
        <v>53</v>
      </c>
      <c r="I17" s="27">
        <v>280</v>
      </c>
      <c r="J17" s="28">
        <v>91</v>
      </c>
      <c r="K17" s="29">
        <f t="shared" si="1"/>
        <v>9.38</v>
      </c>
      <c r="L17" s="142" t="s">
        <v>54</v>
      </c>
      <c r="M17" s="142" t="str">
        <f>VLOOKUP(L17,Packaging!$B$3:$C$21,2,0)</f>
        <v>290 X 200 X 140</v>
      </c>
      <c r="N17" s="10"/>
      <c r="O17" s="11">
        <v>5</v>
      </c>
      <c r="P17" s="11" t="s">
        <v>55</v>
      </c>
    </row>
    <row r="18" ht="17.25" spans="1:16">
      <c r="A18" s="7" t="s">
        <v>98</v>
      </c>
      <c r="B18" s="8" t="s">
        <v>99</v>
      </c>
      <c r="C18" s="9" t="s">
        <v>100</v>
      </c>
      <c r="D18" s="10" t="s">
        <v>52</v>
      </c>
      <c r="E18" s="18">
        <v>20</v>
      </c>
      <c r="F18" s="19"/>
      <c r="G18" s="20">
        <f t="shared" si="0"/>
        <v>91</v>
      </c>
      <c r="H18" s="142" t="s">
        <v>53</v>
      </c>
      <c r="I18" s="27">
        <v>580</v>
      </c>
      <c r="J18" s="28">
        <v>1034</v>
      </c>
      <c r="K18" s="29">
        <f t="shared" si="1"/>
        <v>21.26</v>
      </c>
      <c r="L18" s="142" t="s">
        <v>101</v>
      </c>
      <c r="M18" s="142" t="str">
        <f>VLOOKUP(L18,Packaging!$B$3:$C$21,2,0)</f>
        <v>1380 X 150 X 80</v>
      </c>
      <c r="N18" s="10"/>
      <c r="O18" s="11">
        <v>1</v>
      </c>
      <c r="P18" s="11" t="s">
        <v>55</v>
      </c>
    </row>
    <row r="19" ht="17.25" spans="1:16">
      <c r="A19" s="7" t="s">
        <v>102</v>
      </c>
      <c r="B19" s="8" t="s">
        <v>103</v>
      </c>
      <c r="C19" s="9" t="s">
        <v>104</v>
      </c>
      <c r="D19" s="10" t="s">
        <v>52</v>
      </c>
      <c r="E19" s="18">
        <v>20</v>
      </c>
      <c r="F19" s="19"/>
      <c r="G19" s="20">
        <f t="shared" si="0"/>
        <v>91</v>
      </c>
      <c r="H19" s="142" t="s">
        <v>53</v>
      </c>
      <c r="I19" s="27">
        <v>580</v>
      </c>
      <c r="J19" s="28">
        <v>1034</v>
      </c>
      <c r="K19" s="29">
        <f t="shared" si="1"/>
        <v>21.26</v>
      </c>
      <c r="L19" s="142" t="s">
        <v>101</v>
      </c>
      <c r="M19" s="142" t="str">
        <f>VLOOKUP(L19,Packaging!$B$3:$C$21,2,0)</f>
        <v>1380 X 150 X 80</v>
      </c>
      <c r="N19" s="10"/>
      <c r="O19" s="11">
        <v>1</v>
      </c>
      <c r="P19" s="11" t="s">
        <v>55</v>
      </c>
    </row>
    <row r="20" ht="17.25" spans="1:16">
      <c r="A20" s="7" t="s">
        <v>105</v>
      </c>
      <c r="B20" s="8" t="s">
        <v>106</v>
      </c>
      <c r="C20" s="9" t="s">
        <v>107</v>
      </c>
      <c r="D20" s="10" t="s">
        <v>52</v>
      </c>
      <c r="E20" s="18">
        <v>12</v>
      </c>
      <c r="F20" s="19"/>
      <c r="G20" s="20">
        <f t="shared" si="0"/>
        <v>91</v>
      </c>
      <c r="H20" s="142" t="s">
        <v>53</v>
      </c>
      <c r="I20" s="27">
        <v>766</v>
      </c>
      <c r="J20" s="28">
        <v>610</v>
      </c>
      <c r="K20" s="29">
        <f t="shared" si="1"/>
        <v>8.086</v>
      </c>
      <c r="L20" s="142" t="s">
        <v>72</v>
      </c>
      <c r="M20" s="142" t="str">
        <f>VLOOKUP(L20,Packaging!$B$3:$C$21,2,0)</f>
        <v>390 X 350 X 280</v>
      </c>
      <c r="N20" s="10"/>
      <c r="O20" s="11">
        <v>1</v>
      </c>
      <c r="P20" s="11" t="s">
        <v>55</v>
      </c>
    </row>
    <row r="21" ht="17.25" spans="1:16">
      <c r="A21" s="7" t="s">
        <v>108</v>
      </c>
      <c r="B21" s="8" t="s">
        <v>109</v>
      </c>
      <c r="C21" s="13" t="s">
        <v>110</v>
      </c>
      <c r="D21" s="10" t="s">
        <v>52</v>
      </c>
      <c r="E21" s="18">
        <v>40</v>
      </c>
      <c r="F21" s="19"/>
      <c r="G21" s="20">
        <f t="shared" si="0"/>
        <v>91</v>
      </c>
      <c r="H21" s="142" t="s">
        <v>53</v>
      </c>
      <c r="I21" s="27">
        <v>378</v>
      </c>
      <c r="J21" s="28">
        <v>724</v>
      </c>
      <c r="K21" s="29">
        <f t="shared" si="1"/>
        <v>29.338</v>
      </c>
      <c r="L21" s="142" t="s">
        <v>91</v>
      </c>
      <c r="M21" s="142" t="str">
        <f>VLOOKUP(L21,Packaging!$B$3:$C$21,2,0)</f>
        <v>400 X 240 X 130</v>
      </c>
      <c r="N21" s="10"/>
      <c r="O21" s="11">
        <v>4</v>
      </c>
      <c r="P21" s="11" t="s">
        <v>55</v>
      </c>
    </row>
    <row r="22" ht="17.25" spans="1:16">
      <c r="A22" s="7" t="s">
        <v>111</v>
      </c>
      <c r="B22" s="8" t="s">
        <v>112</v>
      </c>
      <c r="C22" s="13" t="s">
        <v>113</v>
      </c>
      <c r="D22" s="10" t="s">
        <v>52</v>
      </c>
      <c r="E22" s="18">
        <v>360</v>
      </c>
      <c r="F22" s="19"/>
      <c r="G22" s="20">
        <f t="shared" si="0"/>
        <v>91</v>
      </c>
      <c r="H22" s="142" t="s">
        <v>53</v>
      </c>
      <c r="I22" s="27">
        <v>280</v>
      </c>
      <c r="J22" s="28">
        <v>26</v>
      </c>
      <c r="K22" s="29">
        <f t="shared" si="1"/>
        <v>9.64</v>
      </c>
      <c r="L22" s="142" t="s">
        <v>54</v>
      </c>
      <c r="M22" s="142" t="str">
        <f>VLOOKUP(L22,Packaging!$B$3:$C$21,2,0)</f>
        <v>290 X 200 X 140</v>
      </c>
      <c r="N22" s="10"/>
      <c r="O22" s="11">
        <v>20</v>
      </c>
      <c r="P22" s="11" t="s">
        <v>55</v>
      </c>
    </row>
    <row r="23" ht="17.25" spans="1:16">
      <c r="A23" s="7" t="s">
        <v>114</v>
      </c>
      <c r="B23" s="8" t="s">
        <v>115</v>
      </c>
      <c r="C23" s="13" t="s">
        <v>116</v>
      </c>
      <c r="D23" s="10" t="s">
        <v>52</v>
      </c>
      <c r="E23" s="18">
        <v>360</v>
      </c>
      <c r="F23" s="19"/>
      <c r="G23" s="20">
        <f t="shared" si="0"/>
        <v>91</v>
      </c>
      <c r="H23" s="142" t="s">
        <v>53</v>
      </c>
      <c r="I23" s="27">
        <v>280</v>
      </c>
      <c r="J23" s="28">
        <v>26.8</v>
      </c>
      <c r="K23" s="29">
        <f t="shared" si="1"/>
        <v>9.928</v>
      </c>
      <c r="L23" s="142" t="s">
        <v>54</v>
      </c>
      <c r="M23" s="142" t="str">
        <f>VLOOKUP(L23,Packaging!$B$3:$C$21,2,0)</f>
        <v>290 X 200 X 140</v>
      </c>
      <c r="N23" s="10"/>
      <c r="O23" s="11">
        <v>5</v>
      </c>
      <c r="P23" s="11" t="s">
        <v>55</v>
      </c>
    </row>
    <row r="24" ht="17.25" spans="1:16">
      <c r="A24" s="7" t="s">
        <v>117</v>
      </c>
      <c r="B24" s="8" t="s">
        <v>118</v>
      </c>
      <c r="C24" s="14" t="s">
        <v>119</v>
      </c>
      <c r="D24" s="10" t="s">
        <v>52</v>
      </c>
      <c r="E24" s="18">
        <v>360</v>
      </c>
      <c r="F24" s="19"/>
      <c r="G24" s="20">
        <f t="shared" si="0"/>
        <v>91</v>
      </c>
      <c r="H24" s="142" t="s">
        <v>53</v>
      </c>
      <c r="I24" s="27">
        <v>280</v>
      </c>
      <c r="J24" s="28">
        <v>26</v>
      </c>
      <c r="K24" s="29">
        <f t="shared" si="1"/>
        <v>9.64</v>
      </c>
      <c r="L24" s="142" t="s">
        <v>54</v>
      </c>
      <c r="M24" s="142" t="str">
        <f>VLOOKUP(L24,Packaging!$B$3:$C$21,2,0)</f>
        <v>290 X 200 X 140</v>
      </c>
      <c r="N24" s="10"/>
      <c r="O24" s="11">
        <v>20</v>
      </c>
      <c r="P24" s="11" t="s">
        <v>55</v>
      </c>
    </row>
    <row r="25" ht="17.25" spans="1:16">
      <c r="A25" s="7" t="s">
        <v>120</v>
      </c>
      <c r="B25" s="8" t="s">
        <v>121</v>
      </c>
      <c r="C25" s="13" t="s">
        <v>122</v>
      </c>
      <c r="D25" s="10" t="s">
        <v>52</v>
      </c>
      <c r="E25" s="18">
        <v>360</v>
      </c>
      <c r="F25" s="19"/>
      <c r="G25" s="20">
        <f t="shared" si="0"/>
        <v>91</v>
      </c>
      <c r="H25" s="142" t="s">
        <v>53</v>
      </c>
      <c r="I25" s="27">
        <v>280</v>
      </c>
      <c r="J25" s="28">
        <v>26.8</v>
      </c>
      <c r="K25" s="29">
        <f t="shared" si="1"/>
        <v>9.928</v>
      </c>
      <c r="L25" s="142" t="s">
        <v>54</v>
      </c>
      <c r="M25" s="142" t="str">
        <f>VLOOKUP(L25,Packaging!$B$3:$C$21,2,0)</f>
        <v>290 X 200 X 140</v>
      </c>
      <c r="N25" s="10"/>
      <c r="O25" s="11">
        <v>5</v>
      </c>
      <c r="P25" s="11" t="s">
        <v>55</v>
      </c>
    </row>
    <row r="26" ht="17.25" spans="1:16">
      <c r="A26" s="7" t="s">
        <v>123</v>
      </c>
      <c r="B26" s="11" t="s">
        <v>124</v>
      </c>
      <c r="C26" s="9" t="s">
        <v>125</v>
      </c>
      <c r="D26" s="10" t="s">
        <v>52</v>
      </c>
      <c r="E26" s="18">
        <v>20</v>
      </c>
      <c r="F26" s="19"/>
      <c r="G26" s="20">
        <f t="shared" si="0"/>
        <v>91</v>
      </c>
      <c r="H26" s="142" t="s">
        <v>53</v>
      </c>
      <c r="I26" s="27">
        <v>1128</v>
      </c>
      <c r="J26" s="27">
        <v>1076</v>
      </c>
      <c r="K26" s="29">
        <f t="shared" si="1"/>
        <v>22.648</v>
      </c>
      <c r="L26" s="142" t="s">
        <v>126</v>
      </c>
      <c r="M26" s="21" t="e">
        <f>VLOOKUP(L26,Packaging!$B$3:$C$21,2,0)</f>
        <v>#N/A</v>
      </c>
      <c r="N26" s="10"/>
      <c r="O26" s="11">
        <v>1</v>
      </c>
      <c r="P26" s="11" t="s">
        <v>55</v>
      </c>
    </row>
    <row r="27" ht="17.25" spans="1:16">
      <c r="A27" s="7" t="s">
        <v>127</v>
      </c>
      <c r="B27" s="11" t="s">
        <v>128</v>
      </c>
      <c r="C27" s="9" t="s">
        <v>129</v>
      </c>
      <c r="D27" s="10" t="s">
        <v>52</v>
      </c>
      <c r="E27" s="18">
        <v>20</v>
      </c>
      <c r="F27" s="19"/>
      <c r="G27" s="20">
        <f t="shared" si="0"/>
        <v>91</v>
      </c>
      <c r="H27" s="142" t="s">
        <v>53</v>
      </c>
      <c r="I27" s="27">
        <v>1128</v>
      </c>
      <c r="J27" s="27">
        <v>1076</v>
      </c>
      <c r="K27" s="29">
        <f t="shared" si="1"/>
        <v>22.648</v>
      </c>
      <c r="L27" s="142" t="s">
        <v>126</v>
      </c>
      <c r="M27" s="21" t="e">
        <f>VLOOKUP(L27,Packaging!$B$3:$C$21,2,0)</f>
        <v>#N/A</v>
      </c>
      <c r="N27" s="10"/>
      <c r="O27" s="11">
        <v>1</v>
      </c>
      <c r="P27" s="11" t="s">
        <v>55</v>
      </c>
    </row>
    <row r="28" ht="17.25" spans="1:16">
      <c r="A28" s="7" t="s">
        <v>130</v>
      </c>
      <c r="B28" s="8" t="s">
        <v>131</v>
      </c>
      <c r="C28" s="9" t="s">
        <v>132</v>
      </c>
      <c r="D28" s="10" t="s">
        <v>52</v>
      </c>
      <c r="E28" s="18">
        <v>150</v>
      </c>
      <c r="F28" s="19"/>
      <c r="G28" s="20">
        <f t="shared" si="0"/>
        <v>91</v>
      </c>
      <c r="H28" s="142" t="s">
        <v>53</v>
      </c>
      <c r="I28" s="27">
        <v>280</v>
      </c>
      <c r="J28" s="28">
        <v>120</v>
      </c>
      <c r="K28" s="29">
        <f t="shared" si="1"/>
        <v>18.28</v>
      </c>
      <c r="L28" s="142" t="s">
        <v>54</v>
      </c>
      <c r="M28" s="142" t="str">
        <f>VLOOKUP(L28,Packaging!$B$3:$C$21,2,0)</f>
        <v>290 X 200 X 140</v>
      </c>
      <c r="N28" s="10"/>
      <c r="O28" s="11">
        <v>10</v>
      </c>
      <c r="P28" s="11" t="s">
        <v>55</v>
      </c>
    </row>
    <row r="29" ht="17.25" spans="1:16">
      <c r="A29" s="7" t="s">
        <v>133</v>
      </c>
      <c r="B29" s="8" t="s">
        <v>134</v>
      </c>
      <c r="C29" s="9" t="s">
        <v>135</v>
      </c>
      <c r="D29" s="10" t="s">
        <v>52</v>
      </c>
      <c r="E29" s="18">
        <v>150</v>
      </c>
      <c r="F29" s="19"/>
      <c r="G29" s="20">
        <f t="shared" si="0"/>
        <v>91</v>
      </c>
      <c r="H29" s="142" t="s">
        <v>53</v>
      </c>
      <c r="I29" s="27">
        <v>280</v>
      </c>
      <c r="J29" s="28">
        <v>120</v>
      </c>
      <c r="K29" s="29">
        <f t="shared" si="1"/>
        <v>18.28</v>
      </c>
      <c r="L29" s="142" t="s">
        <v>54</v>
      </c>
      <c r="M29" s="142" t="str">
        <f>VLOOKUP(L29,Packaging!$B$3:$C$21,2,0)</f>
        <v>290 X 200 X 140</v>
      </c>
      <c r="N29" s="10"/>
      <c r="O29" s="11">
        <v>10</v>
      </c>
      <c r="P29" s="11" t="s">
        <v>55</v>
      </c>
    </row>
    <row r="30" ht="17.25" spans="1:16">
      <c r="A30" s="7" t="s">
        <v>136</v>
      </c>
      <c r="B30" s="11" t="s">
        <v>137</v>
      </c>
      <c r="C30" s="9" t="s">
        <v>138</v>
      </c>
      <c r="D30" s="10" t="s">
        <v>52</v>
      </c>
      <c r="E30" s="18">
        <v>6</v>
      </c>
      <c r="F30" s="19"/>
      <c r="G30" s="20">
        <f t="shared" si="0"/>
        <v>91</v>
      </c>
      <c r="H30" s="142" t="s">
        <v>53</v>
      </c>
      <c r="I30" s="27">
        <v>1040</v>
      </c>
      <c r="J30" s="27">
        <v>1873.4</v>
      </c>
      <c r="K30" s="29">
        <f t="shared" si="1"/>
        <v>12.2804</v>
      </c>
      <c r="L30" s="142" t="s">
        <v>139</v>
      </c>
      <c r="M30" s="142" t="str">
        <f>VLOOKUP(L30,Packaging!$B$3:$C$21,2,0)</f>
        <v>810 X 160 X180</v>
      </c>
      <c r="N30" s="10"/>
      <c r="O30" s="11">
        <v>1</v>
      </c>
      <c r="P30" s="11" t="s">
        <v>55</v>
      </c>
    </row>
    <row r="31" ht="17.25" spans="1:16">
      <c r="A31" s="7" t="s">
        <v>140</v>
      </c>
      <c r="B31" s="11" t="s">
        <v>141</v>
      </c>
      <c r="C31" s="9" t="s">
        <v>142</v>
      </c>
      <c r="D31" s="10" t="s">
        <v>52</v>
      </c>
      <c r="E31" s="18">
        <v>24</v>
      </c>
      <c r="F31" s="19"/>
      <c r="G31" s="20">
        <f t="shared" si="0"/>
        <v>91</v>
      </c>
      <c r="H31" s="142" t="s">
        <v>53</v>
      </c>
      <c r="I31" s="27">
        <v>378</v>
      </c>
      <c r="J31" s="28">
        <v>236</v>
      </c>
      <c r="K31" s="29">
        <f t="shared" si="1"/>
        <v>6.042</v>
      </c>
      <c r="L31" s="142" t="s">
        <v>91</v>
      </c>
      <c r="M31" s="142" t="str">
        <f>VLOOKUP(L31,Packaging!$B$3:$C$21,2,0)</f>
        <v>400 X 240 X 130</v>
      </c>
      <c r="N31" s="10"/>
      <c r="O31" s="11">
        <v>1</v>
      </c>
      <c r="P31" s="11" t="s">
        <v>55</v>
      </c>
    </row>
    <row r="32" ht="17.25" spans="1:16">
      <c r="A32" s="7" t="s">
        <v>143</v>
      </c>
      <c r="B32" s="8" t="s">
        <v>144</v>
      </c>
      <c r="C32" s="9" t="s">
        <v>145</v>
      </c>
      <c r="D32" s="10" t="s">
        <v>52</v>
      </c>
      <c r="E32" s="18">
        <v>240</v>
      </c>
      <c r="F32" s="19"/>
      <c r="G32" s="20">
        <f t="shared" si="0"/>
        <v>91</v>
      </c>
      <c r="H32" s="142" t="s">
        <v>53</v>
      </c>
      <c r="I32" s="27">
        <v>378</v>
      </c>
      <c r="J32" s="28">
        <v>34.6</v>
      </c>
      <c r="K32" s="29">
        <f t="shared" si="1"/>
        <v>8.682</v>
      </c>
      <c r="L32" s="142" t="s">
        <v>91</v>
      </c>
      <c r="M32" s="142" t="str">
        <f>VLOOKUP(L32,Packaging!$B$3:$C$21,2,0)</f>
        <v>400 X 240 X 130</v>
      </c>
      <c r="N32" s="10"/>
      <c r="O32" s="11">
        <v>20</v>
      </c>
      <c r="P32" s="11" t="s">
        <v>55</v>
      </c>
    </row>
    <row r="33" ht="17.25" spans="1:16">
      <c r="A33" s="7" t="s">
        <v>146</v>
      </c>
      <c r="B33" s="11" t="s">
        <v>147</v>
      </c>
      <c r="C33" s="9" t="s">
        <v>148</v>
      </c>
      <c r="D33" s="10" t="s">
        <v>52</v>
      </c>
      <c r="E33" s="18">
        <v>500</v>
      </c>
      <c r="F33" s="19"/>
      <c r="G33" s="20">
        <f t="shared" si="0"/>
        <v>91</v>
      </c>
      <c r="H33" s="142" t="s">
        <v>53</v>
      </c>
      <c r="I33" s="27">
        <v>378</v>
      </c>
      <c r="J33" s="28">
        <v>17.4</v>
      </c>
      <c r="K33" s="29">
        <f t="shared" si="1"/>
        <v>9.078</v>
      </c>
      <c r="L33" s="142" t="s">
        <v>91</v>
      </c>
      <c r="M33" s="142" t="str">
        <f>VLOOKUP(L33,Packaging!$B$3:$C$21,2,0)</f>
        <v>400 X 240 X 130</v>
      </c>
      <c r="N33" s="10"/>
      <c r="O33" s="11">
        <v>50</v>
      </c>
      <c r="P33" s="11" t="s">
        <v>55</v>
      </c>
    </row>
    <row r="34" ht="17.25" spans="1:16">
      <c r="A34" s="7" t="s">
        <v>149</v>
      </c>
      <c r="B34" s="11" t="s">
        <v>150</v>
      </c>
      <c r="C34" s="9" t="s">
        <v>151</v>
      </c>
      <c r="D34" s="10" t="s">
        <v>52</v>
      </c>
      <c r="E34" s="18">
        <v>12</v>
      </c>
      <c r="F34" s="19"/>
      <c r="G34" s="20">
        <f t="shared" si="0"/>
        <v>91</v>
      </c>
      <c r="H34" s="142" t="s">
        <v>53</v>
      </c>
      <c r="I34" s="27">
        <v>948</v>
      </c>
      <c r="J34" s="28">
        <v>1071.8</v>
      </c>
      <c r="K34" s="29">
        <f t="shared" si="1"/>
        <v>13.8096</v>
      </c>
      <c r="L34" s="142" t="s">
        <v>68</v>
      </c>
      <c r="M34" s="142" t="str">
        <f>VLOOKUP(L34,Packaging!$B$3:$C$21,2,0)</f>
        <v>1410 X 165 X 175</v>
      </c>
      <c r="N34" s="10"/>
      <c r="O34" s="11">
        <v>1</v>
      </c>
      <c r="P34" s="11" t="s">
        <v>55</v>
      </c>
    </row>
    <row r="35" ht="17.25" spans="1:16">
      <c r="A35" s="7" t="s">
        <v>152</v>
      </c>
      <c r="B35" s="11" t="s">
        <v>153</v>
      </c>
      <c r="C35" s="9" t="s">
        <v>154</v>
      </c>
      <c r="D35" s="10" t="s">
        <v>52</v>
      </c>
      <c r="E35" s="18">
        <v>60</v>
      </c>
      <c r="F35" s="19"/>
      <c r="G35" s="20">
        <f t="shared" si="0"/>
        <v>91</v>
      </c>
      <c r="H35" s="142" t="s">
        <v>53</v>
      </c>
      <c r="I35" s="27">
        <v>378</v>
      </c>
      <c r="J35" s="28">
        <v>57.6</v>
      </c>
      <c r="K35" s="29">
        <f t="shared" si="1"/>
        <v>3.834</v>
      </c>
      <c r="L35" s="142" t="s">
        <v>91</v>
      </c>
      <c r="M35" s="142" t="str">
        <f>VLOOKUP(L35,Packaging!$B$3:$C$21,2,0)</f>
        <v>400 X 240 X 130</v>
      </c>
      <c r="N35" s="10"/>
      <c r="O35" s="11">
        <v>2</v>
      </c>
      <c r="P35" s="11" t="s">
        <v>55</v>
      </c>
    </row>
    <row r="36" ht="17.25" spans="1:16">
      <c r="A36" s="7" t="s">
        <v>155</v>
      </c>
      <c r="B36" s="11" t="s">
        <v>156</v>
      </c>
      <c r="C36" s="9" t="s">
        <v>157</v>
      </c>
      <c r="D36" s="10" t="s">
        <v>52</v>
      </c>
      <c r="E36" s="18">
        <v>100</v>
      </c>
      <c r="F36" s="19"/>
      <c r="G36" s="20">
        <f t="shared" si="0"/>
        <v>91</v>
      </c>
      <c r="H36" s="142" t="s">
        <v>53</v>
      </c>
      <c r="I36" s="27">
        <v>280</v>
      </c>
      <c r="J36" s="28">
        <v>60.4</v>
      </c>
      <c r="K36" s="29">
        <f t="shared" si="1"/>
        <v>6.32</v>
      </c>
      <c r="L36" s="142" t="s">
        <v>54</v>
      </c>
      <c r="M36" s="142" t="str">
        <f>VLOOKUP(L36,Packaging!$B$3:$C$21,2,0)</f>
        <v>290 X 200 X 140</v>
      </c>
      <c r="N36" s="10"/>
      <c r="O36" s="11">
        <v>10</v>
      </c>
      <c r="P36" s="11" t="s">
        <v>55</v>
      </c>
    </row>
    <row r="37" ht="17.25" spans="1:16">
      <c r="A37" s="7" t="s">
        <v>158</v>
      </c>
      <c r="B37" s="11" t="s">
        <v>159</v>
      </c>
      <c r="C37" s="9" t="s">
        <v>160</v>
      </c>
      <c r="D37" s="10" t="s">
        <v>52</v>
      </c>
      <c r="E37" s="18">
        <v>32</v>
      </c>
      <c r="F37" s="19"/>
      <c r="G37" s="20">
        <f t="shared" si="0"/>
        <v>91</v>
      </c>
      <c r="H37" s="142" t="s">
        <v>53</v>
      </c>
      <c r="I37" s="27">
        <v>278</v>
      </c>
      <c r="J37" s="28">
        <v>75.4</v>
      </c>
      <c r="K37" s="29">
        <f t="shared" si="1"/>
        <v>2.6908</v>
      </c>
      <c r="L37" s="142" t="s">
        <v>161</v>
      </c>
      <c r="M37" s="142" t="str">
        <f>VLOOKUP(L37,Packaging!$B$3:$C$21,2,0)</f>
        <v>360 X 270 X 128</v>
      </c>
      <c r="N37" s="10"/>
      <c r="O37" s="11">
        <v>4</v>
      </c>
      <c r="P37" s="11" t="s">
        <v>55</v>
      </c>
    </row>
    <row r="38" ht="17.25" spans="1:16">
      <c r="A38" s="7" t="s">
        <v>162</v>
      </c>
      <c r="B38" s="8" t="s">
        <v>163</v>
      </c>
      <c r="C38" s="9" t="s">
        <v>164</v>
      </c>
      <c r="D38" s="10" t="s">
        <v>52</v>
      </c>
      <c r="E38" s="18">
        <v>120</v>
      </c>
      <c r="F38" s="19"/>
      <c r="G38" s="20">
        <f t="shared" si="0"/>
        <v>91</v>
      </c>
      <c r="H38" s="142" t="s">
        <v>53</v>
      </c>
      <c r="I38" s="27">
        <v>280</v>
      </c>
      <c r="J38" s="28">
        <v>66.2</v>
      </c>
      <c r="K38" s="29">
        <f t="shared" si="1"/>
        <v>8.224</v>
      </c>
      <c r="L38" s="142" t="s">
        <v>54</v>
      </c>
      <c r="M38" s="142" t="str">
        <f>VLOOKUP(L38,Packaging!$B$3:$C$21,2,0)</f>
        <v>290 X 200 X 140</v>
      </c>
      <c r="N38" s="10"/>
      <c r="O38" s="11">
        <v>24</v>
      </c>
      <c r="P38" s="11" t="s">
        <v>55</v>
      </c>
    </row>
    <row r="39" ht="17.25" spans="1:16">
      <c r="A39" s="7" t="s">
        <v>165</v>
      </c>
      <c r="B39" s="8" t="s">
        <v>166</v>
      </c>
      <c r="C39" s="9" t="s">
        <v>167</v>
      </c>
      <c r="D39" s="10" t="s">
        <v>52</v>
      </c>
      <c r="E39" s="18">
        <v>1000</v>
      </c>
      <c r="F39" s="19"/>
      <c r="G39" s="20">
        <f t="shared" si="0"/>
        <v>91</v>
      </c>
      <c r="H39" s="142" t="s">
        <v>53</v>
      </c>
      <c r="I39" s="27">
        <v>280</v>
      </c>
      <c r="J39" s="28">
        <v>19</v>
      </c>
      <c r="K39" s="29">
        <f t="shared" si="1"/>
        <v>19.28</v>
      </c>
      <c r="L39" s="142" t="s">
        <v>54</v>
      </c>
      <c r="M39" s="142" t="str">
        <f>VLOOKUP(L39,Packaging!$B$3:$C$21,2,0)</f>
        <v>290 X 200 X 140</v>
      </c>
      <c r="N39" s="10"/>
      <c r="O39" s="11">
        <v>100</v>
      </c>
      <c r="P39" s="11" t="s">
        <v>55</v>
      </c>
    </row>
    <row r="40" ht="17.25" spans="1:16">
      <c r="A40" s="7" t="s">
        <v>168</v>
      </c>
      <c r="B40" s="11" t="s">
        <v>169</v>
      </c>
      <c r="C40" s="9" t="s">
        <v>170</v>
      </c>
      <c r="D40" s="10" t="s">
        <v>52</v>
      </c>
      <c r="E40" s="18">
        <v>500</v>
      </c>
      <c r="F40" s="19"/>
      <c r="G40" s="20">
        <f t="shared" si="0"/>
        <v>91</v>
      </c>
      <c r="H40" s="142" t="s">
        <v>53</v>
      </c>
      <c r="I40" s="27">
        <v>280</v>
      </c>
      <c r="J40" s="28">
        <v>9.4</v>
      </c>
      <c r="K40" s="29">
        <f t="shared" si="1"/>
        <v>4.98</v>
      </c>
      <c r="L40" s="142" t="s">
        <v>54</v>
      </c>
      <c r="M40" s="142" t="str">
        <f>VLOOKUP(L40,Packaging!$B$3:$C$21,2,0)</f>
        <v>290 X 200 X 140</v>
      </c>
      <c r="N40" s="10"/>
      <c r="O40" s="11">
        <v>100</v>
      </c>
      <c r="P40" s="11" t="s">
        <v>55</v>
      </c>
    </row>
    <row r="41" ht="17.25" spans="1:16">
      <c r="A41" s="7" t="s">
        <v>171</v>
      </c>
      <c r="B41" s="8" t="s">
        <v>172</v>
      </c>
      <c r="C41" s="9" t="s">
        <v>173</v>
      </c>
      <c r="D41" s="10" t="s">
        <v>52</v>
      </c>
      <c r="E41" s="18">
        <v>500</v>
      </c>
      <c r="F41" s="19"/>
      <c r="G41" s="20">
        <f t="shared" si="0"/>
        <v>91</v>
      </c>
      <c r="H41" s="142" t="s">
        <v>53</v>
      </c>
      <c r="I41" s="27">
        <v>280</v>
      </c>
      <c r="J41" s="28">
        <v>21.6</v>
      </c>
      <c r="K41" s="29">
        <f t="shared" si="1"/>
        <v>11.08</v>
      </c>
      <c r="L41" s="142" t="s">
        <v>54</v>
      </c>
      <c r="M41" s="142" t="str">
        <f>VLOOKUP(L41,Packaging!$B$3:$C$21,2,0)</f>
        <v>290 X 200 X 140</v>
      </c>
      <c r="N41" s="10"/>
      <c r="O41" s="11">
        <v>100</v>
      </c>
      <c r="P41" s="11" t="s">
        <v>55</v>
      </c>
    </row>
    <row r="42" ht="17.25" spans="1:16">
      <c r="A42" s="7" t="s">
        <v>174</v>
      </c>
      <c r="B42" s="11" t="s">
        <v>175</v>
      </c>
      <c r="C42" s="9" t="s">
        <v>176</v>
      </c>
      <c r="D42" s="10" t="s">
        <v>52</v>
      </c>
      <c r="E42" s="18">
        <v>100</v>
      </c>
      <c r="F42" s="19"/>
      <c r="G42" s="20">
        <f t="shared" si="0"/>
        <v>91</v>
      </c>
      <c r="H42" s="142" t="s">
        <v>53</v>
      </c>
      <c r="I42" s="27">
        <v>280</v>
      </c>
      <c r="J42" s="28">
        <v>33.2</v>
      </c>
      <c r="K42" s="29">
        <f t="shared" si="1"/>
        <v>3.6</v>
      </c>
      <c r="L42" s="142" t="s">
        <v>54</v>
      </c>
      <c r="M42" s="142" t="str">
        <f>VLOOKUP(L42,Packaging!$B$3:$C$21,2,0)</f>
        <v>290 X 200 X 140</v>
      </c>
      <c r="N42" s="10"/>
      <c r="O42" s="11">
        <v>10</v>
      </c>
      <c r="P42" s="11" t="s">
        <v>55</v>
      </c>
    </row>
    <row r="43" ht="17.25" spans="1:16">
      <c r="A43" s="7" t="s">
        <v>177</v>
      </c>
      <c r="B43" s="11" t="s">
        <v>178</v>
      </c>
      <c r="C43" s="9" t="s">
        <v>179</v>
      </c>
      <c r="D43" s="10" t="s">
        <v>52</v>
      </c>
      <c r="E43" s="18">
        <v>32</v>
      </c>
      <c r="F43" s="19"/>
      <c r="G43" s="20">
        <f t="shared" si="0"/>
        <v>91</v>
      </c>
      <c r="H43" s="142" t="s">
        <v>53</v>
      </c>
      <c r="I43" s="27">
        <v>378</v>
      </c>
      <c r="J43" s="28">
        <v>44.4</v>
      </c>
      <c r="K43" s="29">
        <f t="shared" si="1"/>
        <v>1.7988</v>
      </c>
      <c r="L43" s="142" t="s">
        <v>91</v>
      </c>
      <c r="M43" s="142" t="str">
        <f>VLOOKUP(L43,Packaging!$B$3:$C$21,2,0)</f>
        <v>400 X 240 X 130</v>
      </c>
      <c r="N43" s="10"/>
      <c r="O43" s="11">
        <v>2</v>
      </c>
      <c r="P43" s="11" t="s">
        <v>55</v>
      </c>
    </row>
    <row r="44" ht="17.25" spans="1:16">
      <c r="A44" s="7" t="s">
        <v>180</v>
      </c>
      <c r="B44" s="11" t="s">
        <v>181</v>
      </c>
      <c r="C44" s="9" t="s">
        <v>182</v>
      </c>
      <c r="D44" s="10" t="s">
        <v>52</v>
      </c>
      <c r="E44" s="18">
        <v>250</v>
      </c>
      <c r="F44" s="19"/>
      <c r="G44" s="20">
        <f t="shared" si="0"/>
        <v>91</v>
      </c>
      <c r="H44" s="142" t="s">
        <v>53</v>
      </c>
      <c r="I44" s="27">
        <v>280</v>
      </c>
      <c r="J44" s="28">
        <v>43.2</v>
      </c>
      <c r="K44" s="29">
        <f t="shared" si="1"/>
        <v>11.08</v>
      </c>
      <c r="L44" s="142" t="s">
        <v>54</v>
      </c>
      <c r="M44" s="142" t="str">
        <f>VLOOKUP(L44,Packaging!$B$3:$C$21,2,0)</f>
        <v>290 X 200 X 140</v>
      </c>
      <c r="N44" s="10"/>
      <c r="O44" s="11">
        <v>15</v>
      </c>
      <c r="P44" s="11" t="s">
        <v>55</v>
      </c>
    </row>
    <row r="45" ht="17.25" spans="1:16">
      <c r="A45" s="7" t="s">
        <v>183</v>
      </c>
      <c r="B45" s="11" t="s">
        <v>184</v>
      </c>
      <c r="C45" s="9" t="s">
        <v>185</v>
      </c>
      <c r="D45" s="10" t="s">
        <v>52</v>
      </c>
      <c r="E45" s="18">
        <v>180</v>
      </c>
      <c r="F45" s="19"/>
      <c r="G45" s="20">
        <f t="shared" si="0"/>
        <v>91</v>
      </c>
      <c r="H45" s="142" t="s">
        <v>53</v>
      </c>
      <c r="I45" s="27">
        <v>280</v>
      </c>
      <c r="J45" s="28">
        <v>38</v>
      </c>
      <c r="K45" s="29">
        <f t="shared" si="1"/>
        <v>7.12</v>
      </c>
      <c r="L45" s="142" t="s">
        <v>54</v>
      </c>
      <c r="M45" s="142" t="str">
        <f>VLOOKUP(L45,Packaging!$B$3:$C$21,2,0)</f>
        <v>290 X 200 X 140</v>
      </c>
      <c r="N45" s="10"/>
      <c r="O45" s="11">
        <v>18</v>
      </c>
      <c r="P45" s="11" t="s">
        <v>55</v>
      </c>
    </row>
    <row r="46" ht="17.25" spans="1:16">
      <c r="A46" s="7" t="s">
        <v>186</v>
      </c>
      <c r="B46" s="8" t="s">
        <v>187</v>
      </c>
      <c r="C46" s="9" t="s">
        <v>188</v>
      </c>
      <c r="D46" s="10" t="s">
        <v>52</v>
      </c>
      <c r="E46" s="18">
        <v>20</v>
      </c>
      <c r="F46" s="19"/>
      <c r="G46" s="20">
        <f t="shared" si="0"/>
        <v>91</v>
      </c>
      <c r="H46" s="142" t="s">
        <v>53</v>
      </c>
      <c r="I46" s="27">
        <v>378</v>
      </c>
      <c r="J46" s="28">
        <v>315.4</v>
      </c>
      <c r="K46" s="29">
        <f t="shared" si="1"/>
        <v>6.686</v>
      </c>
      <c r="L46" s="142" t="s">
        <v>91</v>
      </c>
      <c r="M46" s="142" t="str">
        <f>VLOOKUP(L46,Packaging!$B$3:$C$21,2,0)</f>
        <v>400 X 240 X 130</v>
      </c>
      <c r="N46" s="10"/>
      <c r="O46" s="11">
        <v>2</v>
      </c>
      <c r="P46" s="11" t="s">
        <v>55</v>
      </c>
    </row>
    <row r="47" ht="17.25" spans="1:16">
      <c r="A47" s="7" t="s">
        <v>189</v>
      </c>
      <c r="B47" s="8" t="s">
        <v>190</v>
      </c>
      <c r="C47" s="9" t="s">
        <v>191</v>
      </c>
      <c r="D47" s="10" t="s">
        <v>52</v>
      </c>
      <c r="E47" s="18">
        <v>20</v>
      </c>
      <c r="F47" s="19"/>
      <c r="G47" s="20">
        <f t="shared" si="0"/>
        <v>91</v>
      </c>
      <c r="H47" s="142" t="s">
        <v>53</v>
      </c>
      <c r="I47" s="27">
        <v>378</v>
      </c>
      <c r="J47" s="28">
        <v>315.8</v>
      </c>
      <c r="K47" s="29">
        <f t="shared" si="1"/>
        <v>6.694</v>
      </c>
      <c r="L47" s="142" t="s">
        <v>91</v>
      </c>
      <c r="M47" s="142" t="str">
        <f>VLOOKUP(L47,Packaging!$B$3:$C$21,2,0)</f>
        <v>400 X 240 X 130</v>
      </c>
      <c r="N47" s="10"/>
      <c r="O47" s="11">
        <v>2</v>
      </c>
      <c r="P47" s="11" t="s">
        <v>55</v>
      </c>
    </row>
    <row r="48" ht="17.25" spans="1:16">
      <c r="A48" s="7" t="s">
        <v>192</v>
      </c>
      <c r="B48" s="11" t="s">
        <v>193</v>
      </c>
      <c r="C48" s="9" t="s">
        <v>194</v>
      </c>
      <c r="D48" s="10" t="s">
        <v>52</v>
      </c>
      <c r="E48" s="18">
        <v>50</v>
      </c>
      <c r="F48" s="19"/>
      <c r="G48" s="20">
        <f t="shared" si="0"/>
        <v>91</v>
      </c>
      <c r="H48" s="142" t="s">
        <v>53</v>
      </c>
      <c r="I48" s="27">
        <v>280</v>
      </c>
      <c r="J48" s="28">
        <v>128.6</v>
      </c>
      <c r="K48" s="29">
        <f t="shared" si="1"/>
        <v>6.71</v>
      </c>
      <c r="L48" s="142" t="s">
        <v>54</v>
      </c>
      <c r="M48" s="142" t="str">
        <f>VLOOKUP(L48,Packaging!$B$3:$C$21,2,0)</f>
        <v>290 X 200 X 140</v>
      </c>
      <c r="N48" s="10"/>
      <c r="O48" s="11">
        <v>10</v>
      </c>
      <c r="P48" s="11" t="s">
        <v>55</v>
      </c>
    </row>
    <row r="49" ht="17.25" spans="1:16">
      <c r="A49" s="7" t="s">
        <v>195</v>
      </c>
      <c r="B49" s="8" t="s">
        <v>196</v>
      </c>
      <c r="C49" s="9" t="s">
        <v>197</v>
      </c>
      <c r="D49" s="10" t="s">
        <v>52</v>
      </c>
      <c r="E49" s="18">
        <v>200</v>
      </c>
      <c r="F49" s="19"/>
      <c r="G49" s="20">
        <f t="shared" si="0"/>
        <v>91</v>
      </c>
      <c r="H49" s="142" t="s">
        <v>53</v>
      </c>
      <c r="I49" s="27">
        <v>280</v>
      </c>
      <c r="J49" s="28">
        <v>61.8</v>
      </c>
      <c r="K49" s="29">
        <f t="shared" si="1"/>
        <v>12.64</v>
      </c>
      <c r="L49" s="142" t="s">
        <v>54</v>
      </c>
      <c r="M49" s="142" t="str">
        <f>VLOOKUP(L49,Packaging!$B$3:$C$21,2,0)</f>
        <v>290 X 200 X 140</v>
      </c>
      <c r="N49" s="10"/>
      <c r="O49" s="11">
        <v>1</v>
      </c>
      <c r="P49" s="11" t="s">
        <v>55</v>
      </c>
    </row>
    <row r="50" ht="17.25" spans="1:16">
      <c r="A50" s="7" t="s">
        <v>198</v>
      </c>
      <c r="B50" s="8" t="s">
        <v>199</v>
      </c>
      <c r="C50" s="9" t="s">
        <v>200</v>
      </c>
      <c r="D50" s="10" t="s">
        <v>52</v>
      </c>
      <c r="E50" s="18">
        <v>200</v>
      </c>
      <c r="F50" s="19"/>
      <c r="G50" s="20">
        <f t="shared" si="0"/>
        <v>91</v>
      </c>
      <c r="H50" s="142" t="s">
        <v>53</v>
      </c>
      <c r="I50" s="27">
        <v>280</v>
      </c>
      <c r="J50" s="28">
        <v>60.2</v>
      </c>
      <c r="K50" s="29">
        <f t="shared" si="1"/>
        <v>12.32</v>
      </c>
      <c r="L50" s="142" t="s">
        <v>54</v>
      </c>
      <c r="M50" s="142" t="str">
        <f>VLOOKUP(L50,Packaging!$B$3:$C$21,2,0)</f>
        <v>290 X 200 X 140</v>
      </c>
      <c r="N50" s="10"/>
      <c r="O50" s="11">
        <v>1</v>
      </c>
      <c r="P50" s="11" t="s">
        <v>55</v>
      </c>
    </row>
    <row r="51" ht="17.25" spans="1:16">
      <c r="A51" s="7" t="s">
        <v>201</v>
      </c>
      <c r="B51" s="11" t="s">
        <v>202</v>
      </c>
      <c r="C51" s="9" t="s">
        <v>203</v>
      </c>
      <c r="D51" s="10" t="s">
        <v>52</v>
      </c>
      <c r="E51" s="18">
        <v>500</v>
      </c>
      <c r="F51" s="19"/>
      <c r="G51" s="20">
        <f t="shared" si="0"/>
        <v>91</v>
      </c>
      <c r="H51" s="142" t="s">
        <v>53</v>
      </c>
      <c r="I51" s="27">
        <v>280</v>
      </c>
      <c r="J51" s="28">
        <v>31.6</v>
      </c>
      <c r="K51" s="29">
        <f t="shared" si="1"/>
        <v>16.08</v>
      </c>
      <c r="L51" s="142" t="s">
        <v>54</v>
      </c>
      <c r="M51" s="142" t="str">
        <f>VLOOKUP(L51,Packaging!$B$3:$C$21,2,0)</f>
        <v>290 X 200 X 140</v>
      </c>
      <c r="N51" s="10"/>
      <c r="O51" s="11">
        <v>100</v>
      </c>
      <c r="P51" s="11" t="s">
        <v>55</v>
      </c>
    </row>
    <row r="52" ht="17.25" spans="1:16">
      <c r="A52" s="7" t="s">
        <v>204</v>
      </c>
      <c r="B52" s="8" t="s">
        <v>205</v>
      </c>
      <c r="C52" s="9" t="s">
        <v>206</v>
      </c>
      <c r="D52" s="10" t="s">
        <v>52</v>
      </c>
      <c r="E52" s="18">
        <v>100</v>
      </c>
      <c r="F52" s="19"/>
      <c r="G52" s="20">
        <f t="shared" si="0"/>
        <v>91</v>
      </c>
      <c r="H52" s="142" t="s">
        <v>53</v>
      </c>
      <c r="I52" s="27">
        <v>280</v>
      </c>
      <c r="J52" s="28">
        <v>33.8</v>
      </c>
      <c r="K52" s="29">
        <f t="shared" si="1"/>
        <v>3.66</v>
      </c>
      <c r="L52" s="142" t="s">
        <v>54</v>
      </c>
      <c r="M52" s="142" t="str">
        <f>VLOOKUP(L52,Packaging!$B$3:$C$21,2,0)</f>
        <v>290 X 200 X 140</v>
      </c>
      <c r="N52" s="10"/>
      <c r="O52" s="11">
        <v>10</v>
      </c>
      <c r="P52" s="11" t="s">
        <v>55</v>
      </c>
    </row>
    <row r="53" ht="17.25" spans="1:16">
      <c r="A53" s="7" t="s">
        <v>207</v>
      </c>
      <c r="B53" s="8" t="s">
        <v>208</v>
      </c>
      <c r="C53" s="12" t="s">
        <v>209</v>
      </c>
      <c r="D53" s="10" t="s">
        <v>52</v>
      </c>
      <c r="E53" s="18">
        <v>200</v>
      </c>
      <c r="F53" s="19"/>
      <c r="G53" s="20">
        <f t="shared" si="0"/>
        <v>91</v>
      </c>
      <c r="H53" s="142" t="s">
        <v>53</v>
      </c>
      <c r="I53" s="27">
        <v>280</v>
      </c>
      <c r="J53" s="28">
        <v>81.8</v>
      </c>
      <c r="K53" s="29">
        <f t="shared" si="1"/>
        <v>16.64</v>
      </c>
      <c r="L53" s="142" t="s">
        <v>54</v>
      </c>
      <c r="M53" s="142" t="str">
        <f>VLOOKUP(L53,Packaging!$B$3:$C$21,2,0)</f>
        <v>290 X 200 X 140</v>
      </c>
      <c r="N53" s="10"/>
      <c r="O53" s="11">
        <v>10</v>
      </c>
      <c r="P53" s="11" t="s">
        <v>55</v>
      </c>
    </row>
    <row r="54" ht="17.25" spans="1:16">
      <c r="A54" s="7" t="s">
        <v>210</v>
      </c>
      <c r="B54" s="11" t="s">
        <v>211</v>
      </c>
      <c r="C54" s="9" t="s">
        <v>212</v>
      </c>
      <c r="D54" s="10" t="s">
        <v>52</v>
      </c>
      <c r="E54" s="18">
        <v>180</v>
      </c>
      <c r="F54" s="19"/>
      <c r="G54" s="20">
        <f t="shared" si="0"/>
        <v>91</v>
      </c>
      <c r="H54" s="142" t="s">
        <v>53</v>
      </c>
      <c r="I54" s="27">
        <v>280</v>
      </c>
      <c r="J54" s="28">
        <v>17.8</v>
      </c>
      <c r="K54" s="29">
        <f t="shared" si="1"/>
        <v>3.484</v>
      </c>
      <c r="L54" s="142" t="s">
        <v>54</v>
      </c>
      <c r="M54" s="142" t="str">
        <f>VLOOKUP(L54,Packaging!$B$3:$C$21,2,0)</f>
        <v>290 X 200 X 140</v>
      </c>
      <c r="N54" s="10"/>
      <c r="O54" s="11">
        <v>10</v>
      </c>
      <c r="P54" s="11" t="s">
        <v>55</v>
      </c>
    </row>
    <row r="55" ht="17.25" spans="1:16">
      <c r="A55" s="7" t="s">
        <v>213</v>
      </c>
      <c r="B55" s="10" t="s">
        <v>214</v>
      </c>
      <c r="C55" s="12" t="s">
        <v>215</v>
      </c>
      <c r="D55" s="10" t="s">
        <v>52</v>
      </c>
      <c r="E55" s="18">
        <v>20</v>
      </c>
      <c r="F55" s="19"/>
      <c r="G55" s="20">
        <f t="shared" si="0"/>
        <v>91</v>
      </c>
      <c r="H55" s="142" t="s">
        <v>53</v>
      </c>
      <c r="I55" s="27">
        <v>278</v>
      </c>
      <c r="J55" s="28">
        <v>112.2</v>
      </c>
      <c r="K55" s="29">
        <f t="shared" si="1"/>
        <v>2.522</v>
      </c>
      <c r="L55" s="142" t="s">
        <v>161</v>
      </c>
      <c r="M55" s="142" t="str">
        <f>VLOOKUP(L55,Packaging!$B$3:$C$21,2,0)</f>
        <v>360 X 270 X 128</v>
      </c>
      <c r="N55" s="10"/>
      <c r="O55" s="11">
        <v>2</v>
      </c>
      <c r="P55" s="11" t="s">
        <v>55</v>
      </c>
    </row>
    <row r="56" ht="17.25" spans="1:16">
      <c r="A56" s="7" t="s">
        <v>216</v>
      </c>
      <c r="B56" s="8" t="s">
        <v>217</v>
      </c>
      <c r="C56" s="12" t="s">
        <v>218</v>
      </c>
      <c r="D56" s="10" t="s">
        <v>52</v>
      </c>
      <c r="E56" s="18">
        <v>18</v>
      </c>
      <c r="F56" s="19"/>
      <c r="G56" s="20">
        <f t="shared" si="0"/>
        <v>91</v>
      </c>
      <c r="H56" s="142" t="s">
        <v>53</v>
      </c>
      <c r="I56" s="27">
        <v>556</v>
      </c>
      <c r="J56" s="28">
        <v>781</v>
      </c>
      <c r="K56" s="29">
        <f t="shared" si="1"/>
        <v>14.614</v>
      </c>
      <c r="L56" s="142" t="s">
        <v>139</v>
      </c>
      <c r="M56" s="142" t="str">
        <f>VLOOKUP(L56,Packaging!$B$3:$C$21,2,0)</f>
        <v>810 X 160 X180</v>
      </c>
      <c r="N56" s="10"/>
      <c r="O56" s="11">
        <v>1</v>
      </c>
      <c r="P56" s="11" t="s">
        <v>55</v>
      </c>
    </row>
    <row r="57" ht="17.25" spans="1:16">
      <c r="A57" s="7" t="s">
        <v>219</v>
      </c>
      <c r="B57" s="8" t="s">
        <v>220</v>
      </c>
      <c r="C57" s="9" t="s">
        <v>221</v>
      </c>
      <c r="D57" s="10" t="s">
        <v>52</v>
      </c>
      <c r="E57" s="18">
        <v>20</v>
      </c>
      <c r="F57" s="19"/>
      <c r="G57" s="20">
        <f t="shared" si="0"/>
        <v>91</v>
      </c>
      <c r="H57" s="142" t="s">
        <v>53</v>
      </c>
      <c r="I57" s="27">
        <v>280</v>
      </c>
      <c r="J57" s="28">
        <v>419.2</v>
      </c>
      <c r="K57" s="29">
        <f t="shared" si="1"/>
        <v>8.664</v>
      </c>
      <c r="L57" s="142" t="s">
        <v>54</v>
      </c>
      <c r="M57" s="142" t="str">
        <f>VLOOKUP(L57,Packaging!$B$3:$C$21,2,0)</f>
        <v>290 X 200 X 140</v>
      </c>
      <c r="N57" s="10"/>
      <c r="O57" s="11">
        <v>5</v>
      </c>
      <c r="P57" s="11" t="s">
        <v>55</v>
      </c>
    </row>
    <row r="58" ht="17.25" spans="1:16">
      <c r="A58" s="7" t="s">
        <v>222</v>
      </c>
      <c r="B58" s="11" t="s">
        <v>223</v>
      </c>
      <c r="C58" s="9" t="s">
        <v>224</v>
      </c>
      <c r="D58" s="10" t="s">
        <v>52</v>
      </c>
      <c r="E58" s="18">
        <v>20</v>
      </c>
      <c r="F58" s="19"/>
      <c r="G58" s="20">
        <f t="shared" si="0"/>
        <v>91</v>
      </c>
      <c r="H58" s="142" t="s">
        <v>53</v>
      </c>
      <c r="I58" s="30"/>
      <c r="J58" s="28">
        <v>4152.4</v>
      </c>
      <c r="K58" s="29">
        <f t="shared" si="1"/>
        <v>83.048</v>
      </c>
      <c r="L58" s="142" t="s">
        <v>79</v>
      </c>
      <c r="M58" s="142" t="str">
        <f>VLOOKUP(L58,Packaging!$B$3:$C$21,2,0)</f>
        <v>1000 X 880 X 1230</v>
      </c>
      <c r="N58" s="10"/>
      <c r="O58" s="11">
        <v>1</v>
      </c>
      <c r="P58" s="11" t="s">
        <v>55</v>
      </c>
    </row>
    <row r="59" ht="17.25" spans="1:16">
      <c r="A59" s="143" t="s">
        <v>225</v>
      </c>
      <c r="B59" s="8" t="s">
        <v>226</v>
      </c>
      <c r="C59" s="9" t="s">
        <v>227</v>
      </c>
      <c r="D59" s="10" t="s">
        <v>52</v>
      </c>
      <c r="E59" s="18">
        <v>32</v>
      </c>
      <c r="F59" s="19"/>
      <c r="G59" s="20">
        <f t="shared" si="0"/>
        <v>91</v>
      </c>
      <c r="H59" s="142" t="s">
        <v>53</v>
      </c>
      <c r="I59" s="27">
        <v>280</v>
      </c>
      <c r="J59" s="28">
        <v>110</v>
      </c>
      <c r="K59" s="29">
        <f t="shared" si="1"/>
        <v>3.8</v>
      </c>
      <c r="L59" s="142" t="s">
        <v>54</v>
      </c>
      <c r="M59" s="142" t="str">
        <f>VLOOKUP(L59,Packaging!$B$3:$C$21,2,0)</f>
        <v>290 X 200 X 140</v>
      </c>
      <c r="N59" s="10"/>
      <c r="O59" s="11">
        <v>2</v>
      </c>
      <c r="P59" s="11" t="s">
        <v>55</v>
      </c>
    </row>
    <row r="60" ht="17.25" spans="1:16">
      <c r="A60" s="7" t="s">
        <v>228</v>
      </c>
      <c r="B60" s="8" t="s">
        <v>229</v>
      </c>
      <c r="C60" s="9" t="s">
        <v>230</v>
      </c>
      <c r="D60" s="10" t="s">
        <v>52</v>
      </c>
      <c r="E60" s="18">
        <v>9</v>
      </c>
      <c r="F60" s="19"/>
      <c r="G60" s="20">
        <f t="shared" si="0"/>
        <v>91</v>
      </c>
      <c r="H60" s="142" t="s">
        <v>53</v>
      </c>
      <c r="I60" s="27">
        <v>278</v>
      </c>
      <c r="J60" s="28">
        <v>332.2</v>
      </c>
      <c r="K60" s="29">
        <f t="shared" si="1"/>
        <v>3.2678</v>
      </c>
      <c r="L60" s="142" t="s">
        <v>161</v>
      </c>
      <c r="M60" s="142" t="str">
        <f>VLOOKUP(L60,Packaging!$B$3:$C$21,2,0)</f>
        <v>360 X 270 X 128</v>
      </c>
      <c r="N60" s="10"/>
      <c r="O60" s="11">
        <v>1</v>
      </c>
      <c r="P60" s="11" t="s">
        <v>55</v>
      </c>
    </row>
    <row r="61" ht="17.25" spans="1:16">
      <c r="A61" s="7" t="s">
        <v>231</v>
      </c>
      <c r="B61" s="11" t="s">
        <v>232</v>
      </c>
      <c r="C61" s="9" t="s">
        <v>233</v>
      </c>
      <c r="D61" s="10" t="s">
        <v>52</v>
      </c>
      <c r="E61" s="18">
        <v>250</v>
      </c>
      <c r="F61" s="19"/>
      <c r="G61" s="20">
        <f t="shared" si="0"/>
        <v>91</v>
      </c>
      <c r="H61" s="142" t="s">
        <v>53</v>
      </c>
      <c r="I61" s="27">
        <v>280</v>
      </c>
      <c r="J61" s="28">
        <v>87.4</v>
      </c>
      <c r="K61" s="29">
        <f t="shared" si="1"/>
        <v>22.13</v>
      </c>
      <c r="L61" s="142" t="s">
        <v>54</v>
      </c>
      <c r="M61" s="142" t="str">
        <f>VLOOKUP(L61,Packaging!$B$3:$C$21,2,0)</f>
        <v>290 X 200 X 140</v>
      </c>
      <c r="N61" s="10"/>
      <c r="O61" s="11">
        <v>50</v>
      </c>
      <c r="P61" s="11" t="s">
        <v>55</v>
      </c>
    </row>
    <row r="62" ht="17.25" spans="1:16">
      <c r="A62" s="7" t="s">
        <v>234</v>
      </c>
      <c r="B62" s="8" t="s">
        <v>235</v>
      </c>
      <c r="C62" s="9" t="s">
        <v>236</v>
      </c>
      <c r="D62" s="10" t="s">
        <v>52</v>
      </c>
      <c r="E62" s="18">
        <v>9</v>
      </c>
      <c r="F62" s="19"/>
      <c r="G62" s="20">
        <f t="shared" si="0"/>
        <v>91</v>
      </c>
      <c r="H62" s="142" t="s">
        <v>53</v>
      </c>
      <c r="I62" s="27">
        <v>278</v>
      </c>
      <c r="J62" s="28">
        <v>320</v>
      </c>
      <c r="K62" s="29">
        <f t="shared" si="1"/>
        <v>3.158</v>
      </c>
      <c r="L62" s="142" t="s">
        <v>161</v>
      </c>
      <c r="M62" s="142" t="str">
        <f>VLOOKUP(L62,Packaging!$B$3:$C$21,2,0)</f>
        <v>360 X 270 X 128</v>
      </c>
      <c r="N62" s="33" t="s">
        <v>237</v>
      </c>
      <c r="O62" s="11">
        <v>1</v>
      </c>
      <c r="P62" s="11" t="s">
        <v>55</v>
      </c>
    </row>
    <row r="63" ht="17.25" spans="1:16">
      <c r="A63" s="7" t="s">
        <v>238</v>
      </c>
      <c r="B63" s="8" t="s">
        <v>239</v>
      </c>
      <c r="C63" s="9" t="s">
        <v>240</v>
      </c>
      <c r="D63" s="10" t="s">
        <v>52</v>
      </c>
      <c r="E63" s="18">
        <v>600</v>
      </c>
      <c r="F63" s="19"/>
      <c r="G63" s="20">
        <f t="shared" si="0"/>
        <v>91</v>
      </c>
      <c r="H63" s="142" t="s">
        <v>53</v>
      </c>
      <c r="I63" s="27">
        <v>280</v>
      </c>
      <c r="J63" s="28">
        <v>8.4</v>
      </c>
      <c r="K63" s="29">
        <f t="shared" si="1"/>
        <v>5.32</v>
      </c>
      <c r="L63" s="142" t="s">
        <v>54</v>
      </c>
      <c r="M63" s="142" t="str">
        <f>VLOOKUP(L63,Packaging!$B$3:$C$21,2,0)</f>
        <v>290 X 200 X 140</v>
      </c>
      <c r="N63" s="10"/>
      <c r="O63" s="11">
        <v>150</v>
      </c>
      <c r="P63" s="11" t="s">
        <v>55</v>
      </c>
    </row>
    <row r="64" ht="17.25" spans="1:16">
      <c r="A64" s="7" t="s">
        <v>241</v>
      </c>
      <c r="B64" s="8" t="s">
        <v>242</v>
      </c>
      <c r="C64" s="9" t="s">
        <v>243</v>
      </c>
      <c r="D64" s="10" t="s">
        <v>52</v>
      </c>
      <c r="E64" s="18">
        <v>400</v>
      </c>
      <c r="F64" s="19"/>
      <c r="G64" s="20">
        <f t="shared" si="0"/>
        <v>91</v>
      </c>
      <c r="H64" s="142" t="s">
        <v>53</v>
      </c>
      <c r="I64" s="27">
        <v>278</v>
      </c>
      <c r="J64" s="28">
        <v>12.4</v>
      </c>
      <c r="K64" s="29">
        <f t="shared" si="1"/>
        <v>5.238</v>
      </c>
      <c r="L64" s="142" t="s">
        <v>161</v>
      </c>
      <c r="M64" s="142" t="str">
        <f>VLOOKUP(L64,Packaging!$B$3:$C$21,2,0)</f>
        <v>360 X 270 X 128</v>
      </c>
      <c r="N64" s="10"/>
      <c r="O64" s="11">
        <v>50</v>
      </c>
      <c r="P64" s="11" t="s">
        <v>55</v>
      </c>
    </row>
    <row r="65" ht="17.25" spans="1:16">
      <c r="A65" s="7" t="s">
        <v>244</v>
      </c>
      <c r="B65" s="8" t="s">
        <v>245</v>
      </c>
      <c r="C65" s="12" t="s">
        <v>246</v>
      </c>
      <c r="D65" s="10" t="s">
        <v>52</v>
      </c>
      <c r="E65" s="18">
        <v>600</v>
      </c>
      <c r="F65" s="19"/>
      <c r="G65" s="20">
        <f t="shared" si="0"/>
        <v>91</v>
      </c>
      <c r="H65" s="142" t="s">
        <v>53</v>
      </c>
      <c r="I65" s="27">
        <v>280</v>
      </c>
      <c r="J65" s="28">
        <v>7.8</v>
      </c>
      <c r="K65" s="29">
        <f t="shared" si="1"/>
        <v>4.96</v>
      </c>
      <c r="L65" s="142" t="s">
        <v>54</v>
      </c>
      <c r="M65" s="142" t="str">
        <f>VLOOKUP(L65,Packaging!$B$3:$C$21,2,0)</f>
        <v>290 X 200 X 140</v>
      </c>
      <c r="N65" s="10"/>
      <c r="O65" s="11">
        <v>150</v>
      </c>
      <c r="P65" s="11" t="s">
        <v>55</v>
      </c>
    </row>
    <row r="66" ht="17.25" spans="1:16">
      <c r="A66" s="7" t="s">
        <v>247</v>
      </c>
      <c r="B66" s="8" t="s">
        <v>248</v>
      </c>
      <c r="C66" s="9" t="s">
        <v>249</v>
      </c>
      <c r="D66" s="10" t="s">
        <v>52</v>
      </c>
      <c r="E66" s="18">
        <v>30</v>
      </c>
      <c r="F66" s="19"/>
      <c r="G66" s="20">
        <f t="shared" si="0"/>
        <v>91</v>
      </c>
      <c r="H66" s="142" t="s">
        <v>53</v>
      </c>
      <c r="I66" s="27">
        <v>278</v>
      </c>
      <c r="J66" s="28">
        <v>124.4</v>
      </c>
      <c r="K66" s="29">
        <f t="shared" si="1"/>
        <v>4.01</v>
      </c>
      <c r="L66" s="142" t="s">
        <v>161</v>
      </c>
      <c r="M66" s="142" t="str">
        <f>VLOOKUP(L66,Packaging!$B$3:$C$21,2,0)</f>
        <v>360 X 270 X 128</v>
      </c>
      <c r="N66" s="10"/>
      <c r="O66" s="11">
        <v>1</v>
      </c>
      <c r="P66" s="11" t="s">
        <v>55</v>
      </c>
    </row>
    <row r="67" ht="17.25" spans="1:16">
      <c r="A67" s="7" t="s">
        <v>250</v>
      </c>
      <c r="B67" s="8" t="s">
        <v>251</v>
      </c>
      <c r="C67" s="9" t="s">
        <v>252</v>
      </c>
      <c r="D67" s="10" t="s">
        <v>52</v>
      </c>
      <c r="E67" s="18">
        <v>1000</v>
      </c>
      <c r="F67" s="19"/>
      <c r="G67" s="20">
        <f t="shared" si="0"/>
        <v>91</v>
      </c>
      <c r="H67" s="142" t="s">
        <v>53</v>
      </c>
      <c r="I67" s="27">
        <v>280</v>
      </c>
      <c r="J67" s="28">
        <v>10</v>
      </c>
      <c r="K67" s="29">
        <f t="shared" si="1"/>
        <v>10.28</v>
      </c>
      <c r="L67" s="142" t="s">
        <v>54</v>
      </c>
      <c r="M67" s="142" t="str">
        <f>VLOOKUP(L67,Packaging!$B$3:$C$21,2,0)</f>
        <v>290 X 200 X 140</v>
      </c>
      <c r="N67" s="10"/>
      <c r="O67" s="11">
        <v>10</v>
      </c>
      <c r="P67" s="11" t="s">
        <v>55</v>
      </c>
    </row>
    <row r="68" ht="17.25" spans="1:16">
      <c r="A68" s="7" t="s">
        <v>253</v>
      </c>
      <c r="B68" s="8" t="s">
        <v>254</v>
      </c>
      <c r="C68" s="9" t="s">
        <v>255</v>
      </c>
      <c r="D68" s="10" t="s">
        <v>52</v>
      </c>
      <c r="E68" s="18">
        <v>30</v>
      </c>
      <c r="F68" s="19"/>
      <c r="G68" s="20">
        <f t="shared" si="0"/>
        <v>91</v>
      </c>
      <c r="H68" s="142" t="s">
        <v>53</v>
      </c>
      <c r="I68" s="27">
        <v>430</v>
      </c>
      <c r="J68" s="28">
        <v>333.6</v>
      </c>
      <c r="K68" s="29">
        <f t="shared" si="1"/>
        <v>10.438</v>
      </c>
      <c r="L68" s="142" t="s">
        <v>83</v>
      </c>
      <c r="M68" s="142" t="str">
        <f>VLOOKUP(L68,Packaging!$B$3:$C$21,2,0)</f>
        <v>560 X 175 X 155</v>
      </c>
      <c r="N68" s="10"/>
      <c r="O68" s="11">
        <v>5</v>
      </c>
      <c r="P68" s="11" t="s">
        <v>55</v>
      </c>
    </row>
    <row r="69" ht="17.25" spans="1:16">
      <c r="A69" s="7" t="s">
        <v>256</v>
      </c>
      <c r="B69" s="8" t="s">
        <v>257</v>
      </c>
      <c r="C69" s="9" t="s">
        <v>258</v>
      </c>
      <c r="D69" s="10" t="s">
        <v>52</v>
      </c>
      <c r="E69" s="18">
        <v>30</v>
      </c>
      <c r="F69" s="19"/>
      <c r="G69" s="20">
        <f t="shared" ref="G69:G132" si="2">F69+91</f>
        <v>91</v>
      </c>
      <c r="H69" s="142" t="s">
        <v>53</v>
      </c>
      <c r="I69" s="27">
        <v>430</v>
      </c>
      <c r="J69" s="28">
        <v>333.6</v>
      </c>
      <c r="K69" s="29">
        <f t="shared" ref="K69:K132" si="3">(I69+(J69*E69))/1000</f>
        <v>10.438</v>
      </c>
      <c r="L69" s="142" t="s">
        <v>83</v>
      </c>
      <c r="M69" s="142" t="str">
        <f>VLOOKUP(L69,Packaging!$B$3:$C$21,2,0)</f>
        <v>560 X 175 X 155</v>
      </c>
      <c r="N69" s="10"/>
      <c r="O69" s="11">
        <v>5</v>
      </c>
      <c r="P69" s="11" t="s">
        <v>55</v>
      </c>
    </row>
    <row r="70" ht="17.25" spans="1:16">
      <c r="A70" s="7" t="s">
        <v>259</v>
      </c>
      <c r="B70" s="11" t="s">
        <v>260</v>
      </c>
      <c r="C70" s="9" t="s">
        <v>261</v>
      </c>
      <c r="D70" s="10" t="s">
        <v>52</v>
      </c>
      <c r="E70" s="18">
        <v>100</v>
      </c>
      <c r="F70" s="19"/>
      <c r="G70" s="20">
        <f t="shared" si="2"/>
        <v>91</v>
      </c>
      <c r="H70" s="142" t="s">
        <v>53</v>
      </c>
      <c r="I70" s="27">
        <v>278</v>
      </c>
      <c r="J70" s="28">
        <v>36</v>
      </c>
      <c r="K70" s="29">
        <f t="shared" si="3"/>
        <v>3.878</v>
      </c>
      <c r="L70" s="142" t="s">
        <v>161</v>
      </c>
      <c r="M70" s="142" t="str">
        <f>VLOOKUP(L70,Packaging!$B$3:$C$21,2,0)</f>
        <v>360 X 270 X 128</v>
      </c>
      <c r="N70" s="10"/>
      <c r="O70" s="11">
        <v>4</v>
      </c>
      <c r="P70" s="11" t="s">
        <v>55</v>
      </c>
    </row>
    <row r="71" ht="17.25" spans="1:16">
      <c r="A71" s="7" t="s">
        <v>262</v>
      </c>
      <c r="B71" s="11" t="s">
        <v>263</v>
      </c>
      <c r="C71" s="9" t="s">
        <v>264</v>
      </c>
      <c r="D71" s="10" t="s">
        <v>52</v>
      </c>
      <c r="E71" s="18">
        <v>20</v>
      </c>
      <c r="F71" s="19"/>
      <c r="G71" s="20">
        <f t="shared" si="2"/>
        <v>91</v>
      </c>
      <c r="H71" s="142" t="s">
        <v>53</v>
      </c>
      <c r="I71" s="27">
        <v>580</v>
      </c>
      <c r="J71" s="28">
        <v>952.4</v>
      </c>
      <c r="K71" s="29">
        <f t="shared" si="3"/>
        <v>19.628</v>
      </c>
      <c r="L71" s="142" t="s">
        <v>101</v>
      </c>
      <c r="M71" s="142" t="str">
        <f>VLOOKUP(L71,Packaging!$B$3:$C$21,2,0)</f>
        <v>1380 X 150 X 80</v>
      </c>
      <c r="N71" s="10"/>
      <c r="O71" s="11">
        <v>20</v>
      </c>
      <c r="P71" s="11" t="s">
        <v>55</v>
      </c>
    </row>
    <row r="72" ht="17.25" spans="1:16">
      <c r="A72" s="7" t="s">
        <v>265</v>
      </c>
      <c r="B72" s="10" t="s">
        <v>266</v>
      </c>
      <c r="C72" s="12" t="s">
        <v>267</v>
      </c>
      <c r="D72" s="10" t="s">
        <v>52</v>
      </c>
      <c r="E72" s="18">
        <v>1000</v>
      </c>
      <c r="F72" s="19"/>
      <c r="G72" s="20">
        <f t="shared" si="2"/>
        <v>91</v>
      </c>
      <c r="H72" s="142" t="s">
        <v>53</v>
      </c>
      <c r="I72" s="27">
        <v>280</v>
      </c>
      <c r="J72" s="28">
        <v>1.6</v>
      </c>
      <c r="K72" s="29">
        <f t="shared" si="3"/>
        <v>1.88</v>
      </c>
      <c r="L72" s="142" t="s">
        <v>54</v>
      </c>
      <c r="M72" s="142" t="str">
        <f>VLOOKUP(L72,Packaging!$B$3:$C$21,2,0)</f>
        <v>290 X 200 X 140</v>
      </c>
      <c r="N72" s="10"/>
      <c r="O72" s="11">
        <v>250</v>
      </c>
      <c r="P72" s="11" t="s">
        <v>55</v>
      </c>
    </row>
    <row r="73" ht="17.25" spans="1:16">
      <c r="A73" s="7" t="s">
        <v>268</v>
      </c>
      <c r="B73" s="10" t="s">
        <v>269</v>
      </c>
      <c r="C73" s="12" t="s">
        <v>270</v>
      </c>
      <c r="D73" s="10" t="s">
        <v>52</v>
      </c>
      <c r="E73" s="18">
        <v>500</v>
      </c>
      <c r="F73" s="19"/>
      <c r="G73" s="20">
        <f t="shared" si="2"/>
        <v>91</v>
      </c>
      <c r="H73" s="142" t="s">
        <v>53</v>
      </c>
      <c r="I73" s="27">
        <v>280</v>
      </c>
      <c r="J73" s="28">
        <v>25</v>
      </c>
      <c r="K73" s="29">
        <f t="shared" si="3"/>
        <v>12.78</v>
      </c>
      <c r="L73" s="142" t="s">
        <v>54</v>
      </c>
      <c r="M73" s="142" t="str">
        <f>VLOOKUP(L73,Packaging!$B$3:$C$21,2,0)</f>
        <v>290 X 200 X 140</v>
      </c>
      <c r="N73" s="10"/>
      <c r="O73" s="11">
        <v>50</v>
      </c>
      <c r="P73" s="11" t="s">
        <v>55</v>
      </c>
    </row>
    <row r="74" ht="17.25" spans="1:16">
      <c r="A74" s="7" t="s">
        <v>271</v>
      </c>
      <c r="B74" s="10" t="s">
        <v>272</v>
      </c>
      <c r="C74" s="12" t="s">
        <v>273</v>
      </c>
      <c r="D74" s="10" t="s">
        <v>52</v>
      </c>
      <c r="E74" s="18">
        <v>170</v>
      </c>
      <c r="F74" s="19"/>
      <c r="G74" s="20">
        <f t="shared" si="2"/>
        <v>91</v>
      </c>
      <c r="H74" s="142" t="s">
        <v>53</v>
      </c>
      <c r="I74" s="27">
        <v>244</v>
      </c>
      <c r="J74" s="28">
        <v>52.8</v>
      </c>
      <c r="K74" s="29">
        <f t="shared" si="3"/>
        <v>9.22</v>
      </c>
      <c r="L74" s="142" t="s">
        <v>274</v>
      </c>
      <c r="M74" s="142" t="str">
        <f>VLOOKUP(L74,Packaging!$B$3:$C$21,2,0)</f>
        <v>290 X 200 X 100</v>
      </c>
      <c r="N74" s="10"/>
      <c r="O74" s="11">
        <v>10</v>
      </c>
      <c r="P74" s="11" t="s">
        <v>55</v>
      </c>
    </row>
    <row r="75" ht="17.25" spans="1:16">
      <c r="A75" s="7" t="s">
        <v>275</v>
      </c>
      <c r="B75" s="8" t="s">
        <v>276</v>
      </c>
      <c r="C75" s="12" t="s">
        <v>277</v>
      </c>
      <c r="D75" s="10" t="s">
        <v>52</v>
      </c>
      <c r="E75" s="18">
        <v>250</v>
      </c>
      <c r="F75" s="19"/>
      <c r="G75" s="20">
        <f t="shared" si="2"/>
        <v>91</v>
      </c>
      <c r="H75" s="142" t="s">
        <v>53</v>
      </c>
      <c r="I75" s="27">
        <v>280</v>
      </c>
      <c r="J75" s="28">
        <v>91.4</v>
      </c>
      <c r="K75" s="29">
        <f t="shared" si="3"/>
        <v>23.13</v>
      </c>
      <c r="L75" s="142" t="s">
        <v>54</v>
      </c>
      <c r="M75" s="142" t="str">
        <f>VLOOKUP(L75,Packaging!$B$3:$C$21,2,0)</f>
        <v>290 X 200 X 140</v>
      </c>
      <c r="N75" s="10"/>
      <c r="O75" s="11">
        <v>50</v>
      </c>
      <c r="P75" s="11" t="s">
        <v>55</v>
      </c>
    </row>
    <row r="76" ht="17.25" spans="1:16">
      <c r="A76" s="7" t="s">
        <v>278</v>
      </c>
      <c r="B76" s="11" t="s">
        <v>279</v>
      </c>
      <c r="C76" s="9" t="s">
        <v>280</v>
      </c>
      <c r="D76" s="10" t="s">
        <v>52</v>
      </c>
      <c r="E76" s="18">
        <v>200</v>
      </c>
      <c r="F76" s="19"/>
      <c r="G76" s="20">
        <f t="shared" si="2"/>
        <v>91</v>
      </c>
      <c r="H76" s="142" t="s">
        <v>53</v>
      </c>
      <c r="I76" s="27">
        <v>280</v>
      </c>
      <c r="J76" s="28">
        <v>16</v>
      </c>
      <c r="K76" s="29">
        <f t="shared" si="3"/>
        <v>3.48</v>
      </c>
      <c r="L76" s="142" t="s">
        <v>54</v>
      </c>
      <c r="M76" s="142" t="str">
        <f>VLOOKUP(L76,Packaging!$B$3:$C$21,2,0)</f>
        <v>290 X 200 X 140</v>
      </c>
      <c r="N76" s="10"/>
      <c r="O76" s="11">
        <v>10</v>
      </c>
      <c r="P76" s="11" t="s">
        <v>55</v>
      </c>
    </row>
    <row r="77" ht="17.25" spans="1:16">
      <c r="A77" s="7" t="s">
        <v>281</v>
      </c>
      <c r="B77" s="8" t="s">
        <v>282</v>
      </c>
      <c r="C77" s="12" t="s">
        <v>283</v>
      </c>
      <c r="D77" s="10" t="s">
        <v>52</v>
      </c>
      <c r="E77" s="18">
        <v>30</v>
      </c>
      <c r="F77" s="19"/>
      <c r="G77" s="20">
        <f t="shared" si="2"/>
        <v>91</v>
      </c>
      <c r="H77" s="142" t="s">
        <v>53</v>
      </c>
      <c r="I77" s="27">
        <v>378</v>
      </c>
      <c r="J77" s="28">
        <v>290</v>
      </c>
      <c r="K77" s="29">
        <f t="shared" si="3"/>
        <v>9.078</v>
      </c>
      <c r="L77" s="142" t="s">
        <v>91</v>
      </c>
      <c r="M77" s="142" t="str">
        <f>VLOOKUP(L77,Packaging!$B$3:$C$21,2,0)</f>
        <v>400 X 240 X 130</v>
      </c>
      <c r="N77" s="10"/>
      <c r="O77" s="11">
        <v>1</v>
      </c>
      <c r="P77" s="11" t="s">
        <v>55</v>
      </c>
    </row>
    <row r="78" ht="17.25" spans="1:16">
      <c r="A78" s="7" t="s">
        <v>284</v>
      </c>
      <c r="B78" s="11" t="s">
        <v>285</v>
      </c>
      <c r="C78" s="9" t="s">
        <v>286</v>
      </c>
      <c r="D78" s="10" t="s">
        <v>52</v>
      </c>
      <c r="E78" s="18">
        <v>36</v>
      </c>
      <c r="F78" s="19"/>
      <c r="G78" s="20">
        <f t="shared" si="2"/>
        <v>91</v>
      </c>
      <c r="H78" s="142" t="s">
        <v>53</v>
      </c>
      <c r="I78" s="27">
        <v>766</v>
      </c>
      <c r="J78" s="28">
        <v>198.8</v>
      </c>
      <c r="K78" s="29">
        <f t="shared" si="3"/>
        <v>7.9228</v>
      </c>
      <c r="L78" s="142" t="s">
        <v>72</v>
      </c>
      <c r="M78" s="142" t="str">
        <f>VLOOKUP(L78,Packaging!$B$3:$C$21,2,0)</f>
        <v>390 X 350 X 280</v>
      </c>
      <c r="N78" s="10"/>
      <c r="O78" s="11">
        <v>2</v>
      </c>
      <c r="P78" s="11" t="s">
        <v>55</v>
      </c>
    </row>
    <row r="79" ht="17.25" spans="1:16">
      <c r="A79" s="7" t="s">
        <v>287</v>
      </c>
      <c r="B79" s="11" t="s">
        <v>288</v>
      </c>
      <c r="C79" s="9" t="s">
        <v>289</v>
      </c>
      <c r="D79" s="10" t="s">
        <v>52</v>
      </c>
      <c r="E79" s="18">
        <v>36</v>
      </c>
      <c r="F79" s="19"/>
      <c r="G79" s="20">
        <f t="shared" si="2"/>
        <v>91</v>
      </c>
      <c r="H79" s="142" t="s">
        <v>53</v>
      </c>
      <c r="I79" s="27">
        <v>766</v>
      </c>
      <c r="J79" s="28">
        <v>198.8</v>
      </c>
      <c r="K79" s="29">
        <f t="shared" si="3"/>
        <v>7.9228</v>
      </c>
      <c r="L79" s="142" t="s">
        <v>72</v>
      </c>
      <c r="M79" s="142" t="str">
        <f>VLOOKUP(L79,Packaging!$B$3:$C$21,2,0)</f>
        <v>390 X 350 X 280</v>
      </c>
      <c r="N79" s="11" t="s">
        <v>290</v>
      </c>
      <c r="O79" s="11">
        <v>2</v>
      </c>
      <c r="P79" s="11" t="s">
        <v>55</v>
      </c>
    </row>
    <row r="80" ht="17.25" spans="1:16">
      <c r="A80" s="7" t="s">
        <v>291</v>
      </c>
      <c r="B80" s="10" t="s">
        <v>292</v>
      </c>
      <c r="C80" s="12" t="s">
        <v>293</v>
      </c>
      <c r="D80" s="10" t="s">
        <v>52</v>
      </c>
      <c r="E80" s="18">
        <v>54</v>
      </c>
      <c r="F80" s="19"/>
      <c r="G80" s="20">
        <f t="shared" si="2"/>
        <v>91</v>
      </c>
      <c r="H80" s="142" t="s">
        <v>53</v>
      </c>
      <c r="I80" s="27">
        <v>766</v>
      </c>
      <c r="J80" s="28">
        <v>128</v>
      </c>
      <c r="K80" s="29">
        <f t="shared" si="3"/>
        <v>7.678</v>
      </c>
      <c r="L80" s="142" t="s">
        <v>72</v>
      </c>
      <c r="M80" s="142" t="str">
        <f>VLOOKUP(L80,Packaging!$B$3:$C$21,2,0)</f>
        <v>390 X 350 X 280</v>
      </c>
      <c r="N80" s="10"/>
      <c r="O80" s="11">
        <v>2</v>
      </c>
      <c r="P80" s="11" t="s">
        <v>55</v>
      </c>
    </row>
    <row r="81" ht="17.25" spans="1:16">
      <c r="A81" s="7" t="s">
        <v>294</v>
      </c>
      <c r="B81" s="10" t="s">
        <v>295</v>
      </c>
      <c r="C81" s="12" t="s">
        <v>296</v>
      </c>
      <c r="D81" s="10" t="s">
        <v>52</v>
      </c>
      <c r="E81" s="18">
        <v>54</v>
      </c>
      <c r="F81" s="19"/>
      <c r="G81" s="20">
        <f t="shared" si="2"/>
        <v>91</v>
      </c>
      <c r="H81" s="142" t="s">
        <v>53</v>
      </c>
      <c r="I81" s="27">
        <v>766</v>
      </c>
      <c r="J81" s="28">
        <v>128</v>
      </c>
      <c r="K81" s="29">
        <f t="shared" si="3"/>
        <v>7.678</v>
      </c>
      <c r="L81" s="142" t="s">
        <v>72</v>
      </c>
      <c r="M81" s="142" t="str">
        <f>VLOOKUP(L81,Packaging!$B$3:$C$21,2,0)</f>
        <v>390 X 350 X 280</v>
      </c>
      <c r="N81" s="10"/>
      <c r="O81" s="11">
        <v>2</v>
      </c>
      <c r="P81" s="11" t="s">
        <v>55</v>
      </c>
    </row>
    <row r="82" ht="17.25" spans="1:16">
      <c r="A82" s="7" t="s">
        <v>297</v>
      </c>
      <c r="B82" s="11" t="s">
        <v>298</v>
      </c>
      <c r="C82" s="9" t="s">
        <v>299</v>
      </c>
      <c r="D82" s="10" t="s">
        <v>52</v>
      </c>
      <c r="E82" s="18">
        <v>54</v>
      </c>
      <c r="F82" s="19"/>
      <c r="G82" s="20">
        <f t="shared" si="2"/>
        <v>91</v>
      </c>
      <c r="H82" s="142" t="s">
        <v>53</v>
      </c>
      <c r="I82" s="27">
        <v>766</v>
      </c>
      <c r="J82" s="28">
        <v>128</v>
      </c>
      <c r="K82" s="29">
        <f t="shared" si="3"/>
        <v>7.678</v>
      </c>
      <c r="L82" s="142" t="s">
        <v>72</v>
      </c>
      <c r="M82" s="142" t="str">
        <f>VLOOKUP(L82,Packaging!$B$3:$C$21,2,0)</f>
        <v>390 X 350 X 280</v>
      </c>
      <c r="N82" s="10"/>
      <c r="O82" s="11">
        <v>2</v>
      </c>
      <c r="P82" s="11" t="s">
        <v>55</v>
      </c>
    </row>
    <row r="83" ht="17.25" spans="1:16">
      <c r="A83" s="7" t="s">
        <v>300</v>
      </c>
      <c r="B83" s="8" t="s">
        <v>301</v>
      </c>
      <c r="C83" s="12" t="s">
        <v>302</v>
      </c>
      <c r="D83" s="10" t="s">
        <v>52</v>
      </c>
      <c r="E83" s="18">
        <v>300</v>
      </c>
      <c r="F83" s="19"/>
      <c r="G83" s="20">
        <f t="shared" si="2"/>
        <v>91</v>
      </c>
      <c r="H83" s="142" t="s">
        <v>53</v>
      </c>
      <c r="I83" s="27">
        <v>280</v>
      </c>
      <c r="J83" s="28">
        <v>22</v>
      </c>
      <c r="K83" s="29">
        <f t="shared" si="3"/>
        <v>6.88</v>
      </c>
      <c r="L83" s="142" t="s">
        <v>54</v>
      </c>
      <c r="M83" s="142" t="str">
        <f>VLOOKUP(L83,Packaging!$B$3:$C$21,2,0)</f>
        <v>290 X 200 X 140</v>
      </c>
      <c r="N83" s="10"/>
      <c r="O83" s="11">
        <v>30</v>
      </c>
      <c r="P83" s="11" t="s">
        <v>55</v>
      </c>
    </row>
    <row r="84" ht="17.25" spans="1:16">
      <c r="A84" s="7" t="s">
        <v>303</v>
      </c>
      <c r="B84" s="11" t="s">
        <v>304</v>
      </c>
      <c r="C84" s="9" t="s">
        <v>305</v>
      </c>
      <c r="D84" s="10" t="s">
        <v>52</v>
      </c>
      <c r="E84" s="18">
        <v>100</v>
      </c>
      <c r="F84" s="19"/>
      <c r="G84" s="20">
        <f t="shared" si="2"/>
        <v>91</v>
      </c>
      <c r="H84" s="142" t="s">
        <v>53</v>
      </c>
      <c r="I84" s="27">
        <v>280</v>
      </c>
      <c r="J84" s="28">
        <v>110</v>
      </c>
      <c r="K84" s="29">
        <f t="shared" si="3"/>
        <v>11.28</v>
      </c>
      <c r="L84" s="142" t="s">
        <v>54</v>
      </c>
      <c r="M84" s="142" t="str">
        <f>VLOOKUP(L84,Packaging!$B$3:$C$21,2,0)</f>
        <v>290 X 200 X 140</v>
      </c>
      <c r="N84" s="10"/>
      <c r="O84" s="11">
        <v>5</v>
      </c>
      <c r="P84" s="11" t="s">
        <v>55</v>
      </c>
    </row>
    <row r="85" ht="17.25" spans="1:16">
      <c r="A85" s="7" t="s">
        <v>306</v>
      </c>
      <c r="B85" s="10" t="s">
        <v>307</v>
      </c>
      <c r="C85" s="12" t="s">
        <v>308</v>
      </c>
      <c r="D85" s="10" t="s">
        <v>52</v>
      </c>
      <c r="E85" s="18">
        <v>1000</v>
      </c>
      <c r="F85" s="19"/>
      <c r="G85" s="20">
        <f t="shared" si="2"/>
        <v>91</v>
      </c>
      <c r="H85" s="142" t="s">
        <v>53</v>
      </c>
      <c r="I85" s="27">
        <v>280</v>
      </c>
      <c r="J85" s="28">
        <v>10</v>
      </c>
      <c r="K85" s="29">
        <f t="shared" si="3"/>
        <v>10.28</v>
      </c>
      <c r="L85" s="142" t="s">
        <v>54</v>
      </c>
      <c r="M85" s="142" t="str">
        <f>VLOOKUP(L85,Packaging!$B$3:$C$21,2,0)</f>
        <v>290 X 200 X 140</v>
      </c>
      <c r="N85" s="10"/>
      <c r="O85" s="11">
        <v>25</v>
      </c>
      <c r="P85" s="11" t="s">
        <v>55</v>
      </c>
    </row>
    <row r="86" ht="17.25" spans="1:16">
      <c r="A86" s="7" t="s">
        <v>309</v>
      </c>
      <c r="B86" s="11" t="s">
        <v>310</v>
      </c>
      <c r="C86" s="9" t="s">
        <v>311</v>
      </c>
      <c r="D86" s="10" t="s">
        <v>52</v>
      </c>
      <c r="E86" s="18">
        <v>400</v>
      </c>
      <c r="F86" s="19"/>
      <c r="G86" s="20">
        <f t="shared" si="2"/>
        <v>91</v>
      </c>
      <c r="H86" s="142" t="s">
        <v>53</v>
      </c>
      <c r="I86" s="27">
        <v>280</v>
      </c>
      <c r="J86" s="28">
        <v>21</v>
      </c>
      <c r="K86" s="29">
        <f t="shared" si="3"/>
        <v>8.68</v>
      </c>
      <c r="L86" s="142" t="s">
        <v>54</v>
      </c>
      <c r="M86" s="142" t="str">
        <f>VLOOKUP(L86,Packaging!$B$3:$C$21,2,0)</f>
        <v>290 X 200 X 140</v>
      </c>
      <c r="N86" s="10"/>
      <c r="O86" s="11">
        <v>10</v>
      </c>
      <c r="P86" s="11" t="s">
        <v>55</v>
      </c>
    </row>
    <row r="87" ht="17.25" spans="1:16">
      <c r="A87" s="7" t="s">
        <v>312</v>
      </c>
      <c r="B87" s="10" t="s">
        <v>313</v>
      </c>
      <c r="C87" s="12" t="s">
        <v>314</v>
      </c>
      <c r="D87" s="10" t="s">
        <v>52</v>
      </c>
      <c r="E87" s="18">
        <v>200</v>
      </c>
      <c r="F87" s="19"/>
      <c r="G87" s="20">
        <f t="shared" si="2"/>
        <v>91</v>
      </c>
      <c r="H87" s="142" t="s">
        <v>53</v>
      </c>
      <c r="I87" s="27">
        <v>278</v>
      </c>
      <c r="J87" s="28">
        <v>33.8</v>
      </c>
      <c r="K87" s="29">
        <f t="shared" si="3"/>
        <v>7.038</v>
      </c>
      <c r="L87" s="144" t="s">
        <v>161</v>
      </c>
      <c r="M87" s="142" t="str">
        <f>VLOOKUP(L87,Packaging!$B$3:$C$21,2,0)</f>
        <v>360 X 270 X 128</v>
      </c>
      <c r="N87" s="10"/>
      <c r="O87" s="11">
        <v>10</v>
      </c>
      <c r="P87" s="11" t="s">
        <v>55</v>
      </c>
    </row>
    <row r="88" ht="17.25" spans="1:16">
      <c r="A88" s="7" t="s">
        <v>315</v>
      </c>
      <c r="B88" s="10" t="s">
        <v>316</v>
      </c>
      <c r="C88" s="12" t="s">
        <v>317</v>
      </c>
      <c r="D88" s="10" t="s">
        <v>52</v>
      </c>
      <c r="E88" s="18">
        <v>200</v>
      </c>
      <c r="F88" s="19"/>
      <c r="G88" s="20">
        <f t="shared" si="2"/>
        <v>91</v>
      </c>
      <c r="H88" s="142" t="s">
        <v>53</v>
      </c>
      <c r="I88" s="27">
        <v>278</v>
      </c>
      <c r="J88" s="28">
        <v>40</v>
      </c>
      <c r="K88" s="29">
        <f t="shared" si="3"/>
        <v>8.278</v>
      </c>
      <c r="L88" s="144" t="s">
        <v>161</v>
      </c>
      <c r="M88" s="142" t="str">
        <f>VLOOKUP(L88,Packaging!$B$3:$C$21,2,0)</f>
        <v>360 X 270 X 128</v>
      </c>
      <c r="N88" s="10"/>
      <c r="O88" s="11">
        <v>10</v>
      </c>
      <c r="P88" s="11" t="s">
        <v>55</v>
      </c>
    </row>
    <row r="89" ht="17.25" spans="1:16">
      <c r="A89" s="7" t="s">
        <v>318</v>
      </c>
      <c r="B89" s="11" t="s">
        <v>319</v>
      </c>
      <c r="C89" s="9" t="s">
        <v>320</v>
      </c>
      <c r="D89" s="10" t="s">
        <v>52</v>
      </c>
      <c r="E89" s="18">
        <v>150</v>
      </c>
      <c r="F89" s="19"/>
      <c r="G89" s="20">
        <f t="shared" si="2"/>
        <v>91</v>
      </c>
      <c r="H89" s="142" t="s">
        <v>53</v>
      </c>
      <c r="I89" s="27">
        <v>280</v>
      </c>
      <c r="J89" s="28">
        <v>32</v>
      </c>
      <c r="K89" s="29">
        <f t="shared" si="3"/>
        <v>5.08</v>
      </c>
      <c r="L89" s="142" t="s">
        <v>54</v>
      </c>
      <c r="M89" s="142" t="str">
        <f>VLOOKUP(L89,Packaging!$B$3:$C$21,2,0)</f>
        <v>290 X 200 X 140</v>
      </c>
      <c r="N89" s="11" t="s">
        <v>321</v>
      </c>
      <c r="O89" s="11">
        <v>10</v>
      </c>
      <c r="P89" s="11" t="s">
        <v>55</v>
      </c>
    </row>
    <row r="90" ht="17.25" spans="1:16">
      <c r="A90" s="7" t="s">
        <v>322</v>
      </c>
      <c r="B90" s="11" t="s">
        <v>323</v>
      </c>
      <c r="C90" s="9" t="s">
        <v>324</v>
      </c>
      <c r="D90" s="10" t="s">
        <v>52</v>
      </c>
      <c r="E90" s="18">
        <v>150</v>
      </c>
      <c r="F90" s="19"/>
      <c r="G90" s="20">
        <f t="shared" si="2"/>
        <v>91</v>
      </c>
      <c r="H90" s="142" t="s">
        <v>53</v>
      </c>
      <c r="I90" s="27">
        <v>280</v>
      </c>
      <c r="J90" s="28">
        <v>45</v>
      </c>
      <c r="K90" s="29">
        <f t="shared" si="3"/>
        <v>7.03</v>
      </c>
      <c r="L90" s="142" t="s">
        <v>54</v>
      </c>
      <c r="M90" s="142" t="str">
        <f>VLOOKUP(L90,Packaging!$B$3:$C$21,2,0)</f>
        <v>290 X 200 X 140</v>
      </c>
      <c r="N90" s="10"/>
      <c r="O90" s="11">
        <v>10</v>
      </c>
      <c r="P90" s="11" t="s">
        <v>55</v>
      </c>
    </row>
    <row r="91" ht="17.25" spans="1:16">
      <c r="A91" s="7" t="s">
        <v>325</v>
      </c>
      <c r="B91" s="8" t="s">
        <v>326</v>
      </c>
      <c r="C91" s="12" t="s">
        <v>327</v>
      </c>
      <c r="D91" s="10" t="s">
        <v>52</v>
      </c>
      <c r="E91" s="18">
        <v>96</v>
      </c>
      <c r="F91" s="19"/>
      <c r="G91" s="20">
        <f t="shared" si="2"/>
        <v>91</v>
      </c>
      <c r="H91" s="142" t="s">
        <v>53</v>
      </c>
      <c r="I91" s="27">
        <v>278</v>
      </c>
      <c r="J91" s="28">
        <v>118</v>
      </c>
      <c r="K91" s="29">
        <f t="shared" si="3"/>
        <v>11.606</v>
      </c>
      <c r="L91" s="142" t="s">
        <v>161</v>
      </c>
      <c r="M91" s="142" t="str">
        <f>VLOOKUP(L91,Packaging!$B$3:$C$21,2,0)</f>
        <v>360 X 270 X 128</v>
      </c>
      <c r="N91" s="10"/>
      <c r="O91" s="11">
        <v>8</v>
      </c>
      <c r="P91" s="11" t="s">
        <v>55</v>
      </c>
    </row>
    <row r="92" ht="17.25" spans="1:16">
      <c r="A92" s="7" t="s">
        <v>328</v>
      </c>
      <c r="B92" s="10" t="s">
        <v>329</v>
      </c>
      <c r="C92" s="12" t="s">
        <v>330</v>
      </c>
      <c r="D92" s="10" t="s">
        <v>52</v>
      </c>
      <c r="E92" s="18">
        <v>200</v>
      </c>
      <c r="F92" s="19"/>
      <c r="G92" s="20">
        <f t="shared" si="2"/>
        <v>91</v>
      </c>
      <c r="H92" s="142" t="s">
        <v>53</v>
      </c>
      <c r="I92" s="27">
        <v>280</v>
      </c>
      <c r="J92" s="28">
        <v>90</v>
      </c>
      <c r="K92" s="29">
        <f t="shared" si="3"/>
        <v>18.28</v>
      </c>
      <c r="L92" s="142" t="s">
        <v>54</v>
      </c>
      <c r="M92" s="142" t="str">
        <f>VLOOKUP(L92,Packaging!$B$3:$C$21,2,0)</f>
        <v>290 X 200 X 140</v>
      </c>
      <c r="N92" s="10"/>
      <c r="O92" s="11">
        <v>20</v>
      </c>
      <c r="P92" s="11" t="s">
        <v>55</v>
      </c>
    </row>
    <row r="93" ht="17.25" spans="1:16">
      <c r="A93" s="7" t="s">
        <v>331</v>
      </c>
      <c r="B93" s="34" t="s">
        <v>332</v>
      </c>
      <c r="C93" s="35" t="s">
        <v>333</v>
      </c>
      <c r="D93" s="34" t="s">
        <v>52</v>
      </c>
      <c r="E93" s="18">
        <v>32</v>
      </c>
      <c r="F93" s="19"/>
      <c r="G93" s="20">
        <f t="shared" si="2"/>
        <v>91</v>
      </c>
      <c r="H93" s="142" t="s">
        <v>53</v>
      </c>
      <c r="I93" s="27">
        <v>766</v>
      </c>
      <c r="J93" s="28">
        <v>126.6</v>
      </c>
      <c r="K93" s="29">
        <f t="shared" si="3"/>
        <v>4.8172</v>
      </c>
      <c r="L93" s="142" t="s">
        <v>72</v>
      </c>
      <c r="M93" s="142" t="str">
        <f>VLOOKUP(L93,Packaging!$B$3:$C$21,2,0)</f>
        <v>390 X 350 X 280</v>
      </c>
      <c r="N93" s="34"/>
      <c r="O93" s="11">
        <v>2</v>
      </c>
      <c r="P93" s="11" t="s">
        <v>55</v>
      </c>
    </row>
    <row r="94" ht="17.25" spans="1:16">
      <c r="A94" s="7" t="s">
        <v>334</v>
      </c>
      <c r="B94" s="8" t="s">
        <v>335</v>
      </c>
      <c r="C94" s="12" t="s">
        <v>336</v>
      </c>
      <c r="D94" s="10" t="s">
        <v>52</v>
      </c>
      <c r="E94" s="18">
        <v>300</v>
      </c>
      <c r="F94" s="19"/>
      <c r="G94" s="20">
        <f t="shared" si="2"/>
        <v>91</v>
      </c>
      <c r="H94" s="142" t="s">
        <v>53</v>
      </c>
      <c r="I94" s="27">
        <v>280</v>
      </c>
      <c r="J94" s="28">
        <v>46.6</v>
      </c>
      <c r="K94" s="29">
        <f t="shared" si="3"/>
        <v>14.26</v>
      </c>
      <c r="L94" s="142" t="s">
        <v>274</v>
      </c>
      <c r="M94" s="142" t="str">
        <f>VLOOKUP(L94,Packaging!$B$3:$C$21,2,0)</f>
        <v>290 X 200 X 100</v>
      </c>
      <c r="N94" s="10"/>
      <c r="O94" s="11">
        <v>25</v>
      </c>
      <c r="P94" s="11" t="s">
        <v>55</v>
      </c>
    </row>
    <row r="95" ht="17.25" spans="1:16">
      <c r="A95" s="7" t="s">
        <v>337</v>
      </c>
      <c r="B95" s="10" t="s">
        <v>338</v>
      </c>
      <c r="C95" s="12" t="s">
        <v>339</v>
      </c>
      <c r="D95" s="10" t="s">
        <v>52</v>
      </c>
      <c r="E95" s="18">
        <v>300</v>
      </c>
      <c r="F95" s="19"/>
      <c r="G95" s="20">
        <f t="shared" si="2"/>
        <v>91</v>
      </c>
      <c r="H95" s="142" t="s">
        <v>53</v>
      </c>
      <c r="I95" s="27">
        <v>280</v>
      </c>
      <c r="J95" s="28">
        <v>46.6</v>
      </c>
      <c r="K95" s="29">
        <f t="shared" si="3"/>
        <v>14.26</v>
      </c>
      <c r="L95" s="142" t="s">
        <v>274</v>
      </c>
      <c r="M95" s="142" t="str">
        <f>VLOOKUP(L95,Packaging!$B$3:$C$21,2,0)</f>
        <v>290 X 200 X 100</v>
      </c>
      <c r="N95" s="10" t="s">
        <v>340</v>
      </c>
      <c r="O95" s="11">
        <v>25</v>
      </c>
      <c r="P95" s="11" t="s">
        <v>55</v>
      </c>
    </row>
    <row r="96" ht="17.25" spans="1:16">
      <c r="A96" s="7" t="s">
        <v>341</v>
      </c>
      <c r="B96" s="8" t="s">
        <v>342</v>
      </c>
      <c r="C96" s="12" t="s">
        <v>343</v>
      </c>
      <c r="D96" s="10" t="s">
        <v>52</v>
      </c>
      <c r="E96" s="18">
        <v>12</v>
      </c>
      <c r="F96" s="19"/>
      <c r="G96" s="20">
        <f t="shared" si="2"/>
        <v>91</v>
      </c>
      <c r="H96" s="142" t="s">
        <v>53</v>
      </c>
      <c r="I96" s="27">
        <v>430</v>
      </c>
      <c r="J96" s="28">
        <v>419.6</v>
      </c>
      <c r="K96" s="29">
        <f t="shared" si="3"/>
        <v>5.4652</v>
      </c>
      <c r="L96" s="142" t="s">
        <v>83</v>
      </c>
      <c r="M96" s="142" t="str">
        <f>VLOOKUP(L96,Packaging!$B$3:$C$21,2,0)</f>
        <v>560 X 175 X 155</v>
      </c>
      <c r="N96" s="10"/>
      <c r="O96" s="11">
        <v>1</v>
      </c>
      <c r="P96" s="11" t="s">
        <v>55</v>
      </c>
    </row>
    <row r="97" ht="17.25" spans="1:16">
      <c r="A97" s="7" t="s">
        <v>344</v>
      </c>
      <c r="B97" s="10" t="s">
        <v>345</v>
      </c>
      <c r="C97" s="12" t="s">
        <v>346</v>
      </c>
      <c r="D97" s="10" t="s">
        <v>52</v>
      </c>
      <c r="E97" s="18">
        <v>240</v>
      </c>
      <c r="F97" s="19"/>
      <c r="G97" s="20">
        <f t="shared" si="2"/>
        <v>91</v>
      </c>
      <c r="H97" s="142" t="s">
        <v>53</v>
      </c>
      <c r="I97" s="27">
        <v>280</v>
      </c>
      <c r="J97" s="28">
        <v>14.8</v>
      </c>
      <c r="K97" s="29">
        <f t="shared" si="3"/>
        <v>3.832</v>
      </c>
      <c r="L97" s="142" t="s">
        <v>54</v>
      </c>
      <c r="M97" s="142" t="str">
        <f>VLOOKUP(L97,Packaging!$B$3:$C$21,2,0)</f>
        <v>290 X 200 X 140</v>
      </c>
      <c r="N97" s="10"/>
      <c r="O97" s="11">
        <v>10</v>
      </c>
      <c r="P97" s="11" t="s">
        <v>55</v>
      </c>
    </row>
    <row r="98" ht="17.25" spans="1:16">
      <c r="A98" s="7" t="s">
        <v>347</v>
      </c>
      <c r="B98" s="10" t="s">
        <v>348</v>
      </c>
      <c r="C98" s="12" t="s">
        <v>349</v>
      </c>
      <c r="D98" s="10" t="s">
        <v>52</v>
      </c>
      <c r="E98" s="18">
        <v>600</v>
      </c>
      <c r="F98" s="19"/>
      <c r="G98" s="20">
        <f t="shared" si="2"/>
        <v>91</v>
      </c>
      <c r="H98" s="142" t="s">
        <v>53</v>
      </c>
      <c r="I98" s="27">
        <v>280</v>
      </c>
      <c r="J98" s="28">
        <v>20</v>
      </c>
      <c r="K98" s="29">
        <f t="shared" si="3"/>
        <v>12.28</v>
      </c>
      <c r="L98" s="142" t="s">
        <v>54</v>
      </c>
      <c r="M98" s="142" t="str">
        <f>VLOOKUP(L98,Packaging!$B$3:$C$21,2,0)</f>
        <v>290 X 200 X 140</v>
      </c>
      <c r="N98" s="10"/>
      <c r="O98" s="11">
        <v>100</v>
      </c>
      <c r="P98" s="11" t="s">
        <v>55</v>
      </c>
    </row>
    <row r="99" ht="17.25" spans="1:16">
      <c r="A99" s="7" t="s">
        <v>350</v>
      </c>
      <c r="B99" s="10" t="s">
        <v>351</v>
      </c>
      <c r="C99" s="12" t="s">
        <v>352</v>
      </c>
      <c r="D99" s="10" t="s">
        <v>52</v>
      </c>
      <c r="E99" s="18">
        <v>600</v>
      </c>
      <c r="F99" s="19"/>
      <c r="G99" s="20">
        <f t="shared" si="2"/>
        <v>91</v>
      </c>
      <c r="H99" s="142" t="s">
        <v>53</v>
      </c>
      <c r="I99" s="27">
        <v>280</v>
      </c>
      <c r="J99" s="28">
        <v>20</v>
      </c>
      <c r="K99" s="29">
        <f t="shared" si="3"/>
        <v>12.28</v>
      </c>
      <c r="L99" s="142" t="s">
        <v>54</v>
      </c>
      <c r="M99" s="142" t="str">
        <f>VLOOKUP(L99,Packaging!$B$3:$C$21,2,0)</f>
        <v>290 X 200 X 140</v>
      </c>
      <c r="N99" s="10"/>
      <c r="O99" s="11">
        <v>100</v>
      </c>
      <c r="P99" s="11" t="s">
        <v>55</v>
      </c>
    </row>
    <row r="100" ht="17.25" spans="1:16">
      <c r="A100" s="7" t="s">
        <v>353</v>
      </c>
      <c r="B100" s="10" t="s">
        <v>354</v>
      </c>
      <c r="C100" s="12" t="s">
        <v>355</v>
      </c>
      <c r="D100" s="10" t="s">
        <v>52</v>
      </c>
      <c r="E100" s="18">
        <v>1000</v>
      </c>
      <c r="F100" s="19"/>
      <c r="G100" s="20">
        <f t="shared" si="2"/>
        <v>91</v>
      </c>
      <c r="H100" s="142" t="s">
        <v>53</v>
      </c>
      <c r="I100" s="27">
        <v>280</v>
      </c>
      <c r="J100" s="28">
        <v>8.6</v>
      </c>
      <c r="K100" s="29">
        <f t="shared" si="3"/>
        <v>8.88</v>
      </c>
      <c r="L100" s="142" t="s">
        <v>54</v>
      </c>
      <c r="M100" s="142" t="str">
        <f>VLOOKUP(L100,Packaging!$B$3:$C$21,2,0)</f>
        <v>290 X 200 X 140</v>
      </c>
      <c r="N100" s="10"/>
      <c r="O100" s="11">
        <v>250</v>
      </c>
      <c r="P100" s="11" t="s">
        <v>55</v>
      </c>
    </row>
    <row r="101" ht="17.25" spans="1:16">
      <c r="A101" s="7" t="s">
        <v>356</v>
      </c>
      <c r="B101" s="10" t="s">
        <v>357</v>
      </c>
      <c r="C101" s="12" t="s">
        <v>358</v>
      </c>
      <c r="D101" s="10" t="s">
        <v>52</v>
      </c>
      <c r="E101" s="18">
        <v>1000</v>
      </c>
      <c r="F101" s="19"/>
      <c r="G101" s="20">
        <f t="shared" si="2"/>
        <v>91</v>
      </c>
      <c r="H101" s="142" t="s">
        <v>53</v>
      </c>
      <c r="I101" s="27">
        <v>280</v>
      </c>
      <c r="J101" s="28">
        <v>14</v>
      </c>
      <c r="K101" s="29">
        <f t="shared" si="3"/>
        <v>14.28</v>
      </c>
      <c r="L101" s="142" t="s">
        <v>54</v>
      </c>
      <c r="M101" s="142" t="str">
        <f>VLOOKUP(L101,Packaging!$B$3:$C$21,2,0)</f>
        <v>290 X 200 X 140</v>
      </c>
      <c r="N101" s="10"/>
      <c r="O101" s="11">
        <v>250</v>
      </c>
      <c r="P101" s="11" t="s">
        <v>55</v>
      </c>
    </row>
    <row r="102" ht="17.25" spans="1:16">
      <c r="A102" s="7" t="s">
        <v>359</v>
      </c>
      <c r="B102" s="8" t="s">
        <v>360</v>
      </c>
      <c r="C102" s="12" t="s">
        <v>361</v>
      </c>
      <c r="D102" s="10" t="s">
        <v>52</v>
      </c>
      <c r="E102" s="18">
        <v>90</v>
      </c>
      <c r="F102" s="19"/>
      <c r="G102" s="20">
        <f t="shared" si="2"/>
        <v>91</v>
      </c>
      <c r="H102" s="142" t="s">
        <v>53</v>
      </c>
      <c r="I102" s="27">
        <v>280</v>
      </c>
      <c r="J102" s="28">
        <v>36</v>
      </c>
      <c r="K102" s="29">
        <f t="shared" si="3"/>
        <v>3.52</v>
      </c>
      <c r="L102" s="142" t="s">
        <v>54</v>
      </c>
      <c r="M102" s="142" t="str">
        <f>VLOOKUP(L102,Packaging!$B$3:$C$21,2,0)</f>
        <v>290 X 200 X 140</v>
      </c>
      <c r="N102" s="10"/>
      <c r="O102" s="11">
        <v>10</v>
      </c>
      <c r="P102" s="11" t="s">
        <v>55</v>
      </c>
    </row>
    <row r="103" ht="17.25" spans="1:16">
      <c r="A103" s="7" t="s">
        <v>362</v>
      </c>
      <c r="B103" s="8" t="s">
        <v>363</v>
      </c>
      <c r="C103" s="12" t="s">
        <v>364</v>
      </c>
      <c r="D103" s="10" t="s">
        <v>52</v>
      </c>
      <c r="E103" s="18">
        <v>90</v>
      </c>
      <c r="F103" s="19"/>
      <c r="G103" s="20">
        <f t="shared" si="2"/>
        <v>91</v>
      </c>
      <c r="H103" s="142" t="s">
        <v>53</v>
      </c>
      <c r="I103" s="27">
        <v>280</v>
      </c>
      <c r="J103" s="28">
        <v>36</v>
      </c>
      <c r="K103" s="29">
        <f t="shared" si="3"/>
        <v>3.52</v>
      </c>
      <c r="L103" s="142" t="s">
        <v>54</v>
      </c>
      <c r="M103" s="142" t="str">
        <f>VLOOKUP(L103,Packaging!$B$3:$C$21,2,0)</f>
        <v>290 X 200 X 140</v>
      </c>
      <c r="N103" s="10"/>
      <c r="O103" s="11">
        <v>10</v>
      </c>
      <c r="P103" s="11" t="s">
        <v>55</v>
      </c>
    </row>
    <row r="104" ht="17.25" spans="1:16">
      <c r="A104" s="7" t="s">
        <v>365</v>
      </c>
      <c r="B104" s="8" t="s">
        <v>366</v>
      </c>
      <c r="C104" s="12" t="s">
        <v>367</v>
      </c>
      <c r="D104" s="10" t="s">
        <v>52</v>
      </c>
      <c r="E104" s="18">
        <v>90</v>
      </c>
      <c r="F104" s="19"/>
      <c r="G104" s="20">
        <f t="shared" si="2"/>
        <v>91</v>
      </c>
      <c r="H104" s="142" t="s">
        <v>53</v>
      </c>
      <c r="I104" s="27">
        <v>280</v>
      </c>
      <c r="J104" s="28">
        <v>34.4</v>
      </c>
      <c r="K104" s="29">
        <f t="shared" si="3"/>
        <v>3.376</v>
      </c>
      <c r="L104" s="142" t="s">
        <v>54</v>
      </c>
      <c r="M104" s="142" t="str">
        <f>VLOOKUP(L104,Packaging!$B$3:$C$21,2,0)</f>
        <v>290 X 200 X 140</v>
      </c>
      <c r="N104" s="10"/>
      <c r="O104" s="11">
        <v>10</v>
      </c>
      <c r="P104" s="11" t="s">
        <v>55</v>
      </c>
    </row>
    <row r="105" ht="17.25" spans="1:16">
      <c r="A105" s="7" t="s">
        <v>368</v>
      </c>
      <c r="B105" s="8" t="s">
        <v>369</v>
      </c>
      <c r="C105" s="12" t="s">
        <v>370</v>
      </c>
      <c r="D105" s="10" t="s">
        <v>52</v>
      </c>
      <c r="E105" s="18">
        <v>90</v>
      </c>
      <c r="F105" s="19"/>
      <c r="G105" s="20">
        <f t="shared" si="2"/>
        <v>91</v>
      </c>
      <c r="H105" s="142" t="s">
        <v>53</v>
      </c>
      <c r="I105" s="27">
        <v>280</v>
      </c>
      <c r="J105" s="28">
        <v>34.4</v>
      </c>
      <c r="K105" s="29">
        <f t="shared" si="3"/>
        <v>3.376</v>
      </c>
      <c r="L105" s="142" t="s">
        <v>54</v>
      </c>
      <c r="M105" s="142" t="str">
        <f>VLOOKUP(L105,Packaging!$B$3:$C$21,2,0)</f>
        <v>290 X 200 X 140</v>
      </c>
      <c r="N105" s="10"/>
      <c r="O105" s="11">
        <v>10</v>
      </c>
      <c r="P105" s="11" t="s">
        <v>55</v>
      </c>
    </row>
    <row r="106" ht="17.25" spans="1:16">
      <c r="A106" s="7" t="s">
        <v>371</v>
      </c>
      <c r="B106" s="10" t="s">
        <v>372</v>
      </c>
      <c r="C106" s="12" t="s">
        <v>373</v>
      </c>
      <c r="D106" s="10" t="s">
        <v>52</v>
      </c>
      <c r="E106" s="18">
        <v>450</v>
      </c>
      <c r="F106" s="19"/>
      <c r="G106" s="20">
        <f t="shared" si="2"/>
        <v>91</v>
      </c>
      <c r="H106" s="142" t="s">
        <v>53</v>
      </c>
      <c r="I106" s="27">
        <v>244</v>
      </c>
      <c r="J106" s="28">
        <v>44</v>
      </c>
      <c r="K106" s="29">
        <f t="shared" si="3"/>
        <v>20.044</v>
      </c>
      <c r="L106" s="142" t="s">
        <v>274</v>
      </c>
      <c r="M106" s="142" t="str">
        <f>VLOOKUP(L106,Packaging!$B$3:$C$21,2,0)</f>
        <v>290 X 200 X 100</v>
      </c>
      <c r="N106" s="10"/>
      <c r="O106" s="11">
        <v>25</v>
      </c>
      <c r="P106" s="11" t="s">
        <v>55</v>
      </c>
    </row>
    <row r="107" ht="17.25" spans="1:16">
      <c r="A107" s="7" t="s">
        <v>374</v>
      </c>
      <c r="B107" s="10" t="s">
        <v>375</v>
      </c>
      <c r="C107" s="12" t="s">
        <v>376</v>
      </c>
      <c r="D107" s="10" t="s">
        <v>52</v>
      </c>
      <c r="E107" s="18">
        <v>450</v>
      </c>
      <c r="F107" s="19"/>
      <c r="G107" s="20">
        <f t="shared" si="2"/>
        <v>91</v>
      </c>
      <c r="H107" s="142" t="s">
        <v>53</v>
      </c>
      <c r="I107" s="27">
        <v>244</v>
      </c>
      <c r="J107" s="28">
        <v>44</v>
      </c>
      <c r="K107" s="29">
        <f t="shared" si="3"/>
        <v>20.044</v>
      </c>
      <c r="L107" s="142" t="s">
        <v>274</v>
      </c>
      <c r="M107" s="142" t="str">
        <f>VLOOKUP(L107,Packaging!$B$3:$C$21,2,0)</f>
        <v>290 X 200 X 100</v>
      </c>
      <c r="N107" s="10"/>
      <c r="O107" s="11">
        <v>25</v>
      </c>
      <c r="P107" s="11" t="s">
        <v>55</v>
      </c>
    </row>
    <row r="108" ht="17.25" spans="1:16">
      <c r="A108" s="7" t="s">
        <v>377</v>
      </c>
      <c r="B108" s="10" t="s">
        <v>378</v>
      </c>
      <c r="C108" s="12" t="s">
        <v>379</v>
      </c>
      <c r="D108" s="10" t="s">
        <v>52</v>
      </c>
      <c r="E108" s="18">
        <v>1000</v>
      </c>
      <c r="F108" s="19"/>
      <c r="G108" s="20">
        <f t="shared" si="2"/>
        <v>91</v>
      </c>
      <c r="H108" s="142" t="s">
        <v>53</v>
      </c>
      <c r="I108" s="27">
        <v>280</v>
      </c>
      <c r="J108" s="28">
        <v>5.8</v>
      </c>
      <c r="K108" s="29">
        <f t="shared" si="3"/>
        <v>6.08</v>
      </c>
      <c r="L108" s="142" t="s">
        <v>54</v>
      </c>
      <c r="M108" s="142" t="str">
        <f>VLOOKUP(L108,Packaging!$B$3:$C$21,2,0)</f>
        <v>290 X 200 X 140</v>
      </c>
      <c r="N108" s="10"/>
      <c r="O108" s="11">
        <v>25</v>
      </c>
      <c r="P108" s="11" t="s">
        <v>55</v>
      </c>
    </row>
    <row r="109" ht="17.25" spans="1:16">
      <c r="A109" s="7" t="s">
        <v>380</v>
      </c>
      <c r="B109" s="10" t="s">
        <v>381</v>
      </c>
      <c r="C109" s="12" t="s">
        <v>382</v>
      </c>
      <c r="D109" s="10" t="s">
        <v>52</v>
      </c>
      <c r="E109" s="18">
        <v>48</v>
      </c>
      <c r="F109" s="19"/>
      <c r="G109" s="20">
        <f t="shared" si="2"/>
        <v>91</v>
      </c>
      <c r="H109" s="142" t="s">
        <v>53</v>
      </c>
      <c r="I109" s="27">
        <v>278</v>
      </c>
      <c r="J109" s="28">
        <v>38.8</v>
      </c>
      <c r="K109" s="29">
        <f t="shared" si="3"/>
        <v>2.1404</v>
      </c>
      <c r="L109" s="142" t="s">
        <v>161</v>
      </c>
      <c r="M109" s="142" t="str">
        <f>VLOOKUP(L109,Packaging!$B$3:$C$21,2,0)</f>
        <v>360 X 270 X 128</v>
      </c>
      <c r="N109" s="10"/>
      <c r="O109" s="11">
        <v>2</v>
      </c>
      <c r="P109" s="11" t="s">
        <v>55</v>
      </c>
    </row>
    <row r="110" ht="17.25" spans="1:16">
      <c r="A110" s="7" t="s">
        <v>383</v>
      </c>
      <c r="B110" s="11" t="s">
        <v>384</v>
      </c>
      <c r="C110" s="9" t="s">
        <v>385</v>
      </c>
      <c r="D110" s="10" t="s">
        <v>52</v>
      </c>
      <c r="E110" s="18">
        <v>68</v>
      </c>
      <c r="F110" s="19"/>
      <c r="G110" s="20">
        <f t="shared" si="2"/>
        <v>91</v>
      </c>
      <c r="H110" s="142" t="s">
        <v>53</v>
      </c>
      <c r="I110" s="27">
        <v>766</v>
      </c>
      <c r="J110" s="28">
        <v>163.6</v>
      </c>
      <c r="K110" s="29">
        <f t="shared" si="3"/>
        <v>11.8908</v>
      </c>
      <c r="L110" s="142" t="s">
        <v>72</v>
      </c>
      <c r="M110" s="142" t="str">
        <f>VLOOKUP(L110,Packaging!$B$3:$C$21,2,0)</f>
        <v>390 X 350 X 280</v>
      </c>
      <c r="N110" s="10"/>
      <c r="O110" s="11">
        <v>2</v>
      </c>
      <c r="P110" s="11" t="s">
        <v>55</v>
      </c>
    </row>
    <row r="111" ht="17.25" spans="1:16">
      <c r="A111" s="7" t="s">
        <v>386</v>
      </c>
      <c r="B111" s="11" t="s">
        <v>387</v>
      </c>
      <c r="C111" s="9" t="s">
        <v>388</v>
      </c>
      <c r="D111" s="10" t="s">
        <v>52</v>
      </c>
      <c r="E111" s="18">
        <v>68</v>
      </c>
      <c r="F111" s="19"/>
      <c r="G111" s="20">
        <f t="shared" si="2"/>
        <v>91</v>
      </c>
      <c r="H111" s="142" t="s">
        <v>53</v>
      </c>
      <c r="I111" s="27">
        <v>766</v>
      </c>
      <c r="J111" s="28">
        <v>163.6</v>
      </c>
      <c r="K111" s="29">
        <f t="shared" si="3"/>
        <v>11.8908</v>
      </c>
      <c r="L111" s="142" t="s">
        <v>72</v>
      </c>
      <c r="M111" s="142" t="str">
        <f>VLOOKUP(L111,Packaging!$B$3:$C$21,2,0)</f>
        <v>390 X 350 X 280</v>
      </c>
      <c r="N111" s="11" t="s">
        <v>389</v>
      </c>
      <c r="O111" s="11">
        <v>2</v>
      </c>
      <c r="P111" s="11" t="s">
        <v>55</v>
      </c>
    </row>
    <row r="112" ht="17.25" spans="1:16">
      <c r="A112" s="7" t="s">
        <v>390</v>
      </c>
      <c r="B112" s="11" t="s">
        <v>391</v>
      </c>
      <c r="C112" s="9" t="s">
        <v>392</v>
      </c>
      <c r="D112" s="10" t="s">
        <v>52</v>
      </c>
      <c r="E112" s="18">
        <v>68</v>
      </c>
      <c r="F112" s="19"/>
      <c r="G112" s="20">
        <f t="shared" si="2"/>
        <v>91</v>
      </c>
      <c r="H112" s="142" t="s">
        <v>53</v>
      </c>
      <c r="I112" s="27">
        <v>766</v>
      </c>
      <c r="J112" s="28">
        <v>163.6</v>
      </c>
      <c r="K112" s="29">
        <f t="shared" si="3"/>
        <v>11.8908</v>
      </c>
      <c r="L112" s="142" t="s">
        <v>72</v>
      </c>
      <c r="M112" s="142" t="str">
        <f>VLOOKUP(L112,Packaging!$B$3:$C$21,2,0)</f>
        <v>390 X 350 X 280</v>
      </c>
      <c r="N112" s="10"/>
      <c r="O112" s="11">
        <v>2</v>
      </c>
      <c r="P112" s="11" t="s">
        <v>55</v>
      </c>
    </row>
    <row r="113" ht="17.25" spans="1:16">
      <c r="A113" s="7" t="s">
        <v>393</v>
      </c>
      <c r="B113" s="11" t="s">
        <v>394</v>
      </c>
      <c r="C113" s="9" t="s">
        <v>395</v>
      </c>
      <c r="D113" s="10" t="s">
        <v>52</v>
      </c>
      <c r="E113" s="18">
        <v>68</v>
      </c>
      <c r="F113" s="19"/>
      <c r="G113" s="20">
        <f t="shared" si="2"/>
        <v>91</v>
      </c>
      <c r="H113" s="142" t="s">
        <v>53</v>
      </c>
      <c r="I113" s="27">
        <v>766</v>
      </c>
      <c r="J113" s="28">
        <v>163.6</v>
      </c>
      <c r="K113" s="29">
        <f t="shared" si="3"/>
        <v>11.8908</v>
      </c>
      <c r="L113" s="142" t="s">
        <v>72</v>
      </c>
      <c r="M113" s="142" t="str">
        <f>VLOOKUP(L113,Packaging!$B$3:$C$21,2,0)</f>
        <v>390 X 350 X 280</v>
      </c>
      <c r="N113" s="11" t="s">
        <v>396</v>
      </c>
      <c r="O113" s="11">
        <v>2</v>
      </c>
      <c r="P113" s="11" t="s">
        <v>55</v>
      </c>
    </row>
    <row r="114" ht="17.25" spans="1:16">
      <c r="A114" s="7" t="s">
        <v>397</v>
      </c>
      <c r="B114" s="10" t="s">
        <v>398</v>
      </c>
      <c r="C114" s="12" t="s">
        <v>399</v>
      </c>
      <c r="D114" s="10" t="s">
        <v>52</v>
      </c>
      <c r="E114" s="18">
        <v>36</v>
      </c>
      <c r="F114" s="19"/>
      <c r="G114" s="20">
        <f t="shared" si="2"/>
        <v>91</v>
      </c>
      <c r="H114" s="142" t="s">
        <v>53</v>
      </c>
      <c r="I114" s="27">
        <v>280</v>
      </c>
      <c r="J114" s="28">
        <v>308.2</v>
      </c>
      <c r="K114" s="29">
        <f t="shared" si="3"/>
        <v>11.3752</v>
      </c>
      <c r="L114" s="142" t="s">
        <v>54</v>
      </c>
      <c r="M114" s="142" t="str">
        <f>VLOOKUP(L114,Packaging!$B$3:$C$21,2,0)</f>
        <v>290 X 200 X 140</v>
      </c>
      <c r="N114" s="10"/>
      <c r="O114" s="11">
        <v>1</v>
      </c>
      <c r="P114" s="11" t="s">
        <v>55</v>
      </c>
    </row>
    <row r="115" ht="17.25" spans="1:16">
      <c r="A115" s="7" t="s">
        <v>400</v>
      </c>
      <c r="B115" s="10" t="s">
        <v>401</v>
      </c>
      <c r="C115" s="12" t="s">
        <v>402</v>
      </c>
      <c r="D115" s="10" t="s">
        <v>52</v>
      </c>
      <c r="E115" s="18">
        <v>36</v>
      </c>
      <c r="F115" s="19"/>
      <c r="G115" s="20">
        <f t="shared" si="2"/>
        <v>91</v>
      </c>
      <c r="H115" s="142" t="s">
        <v>53</v>
      </c>
      <c r="I115" s="27">
        <v>280</v>
      </c>
      <c r="J115" s="28">
        <v>308.2</v>
      </c>
      <c r="K115" s="29">
        <f t="shared" si="3"/>
        <v>11.3752</v>
      </c>
      <c r="L115" s="142" t="s">
        <v>54</v>
      </c>
      <c r="M115" s="142" t="str">
        <f>VLOOKUP(L115,Packaging!$B$3:$C$21,2,0)</f>
        <v>290 X 200 X 140</v>
      </c>
      <c r="N115" s="10"/>
      <c r="O115" s="11">
        <v>1</v>
      </c>
      <c r="P115" s="11" t="s">
        <v>55</v>
      </c>
    </row>
    <row r="116" ht="17.25" spans="1:16">
      <c r="A116" s="7" t="s">
        <v>403</v>
      </c>
      <c r="B116" s="10" t="s">
        <v>404</v>
      </c>
      <c r="C116" s="12" t="s">
        <v>405</v>
      </c>
      <c r="D116" s="10" t="s">
        <v>52</v>
      </c>
      <c r="E116" s="18">
        <v>180</v>
      </c>
      <c r="F116" s="19"/>
      <c r="G116" s="20">
        <f t="shared" si="2"/>
        <v>91</v>
      </c>
      <c r="H116" s="142" t="s">
        <v>53</v>
      </c>
      <c r="I116" s="27">
        <v>378</v>
      </c>
      <c r="J116" s="28">
        <v>92</v>
      </c>
      <c r="K116" s="29">
        <f t="shared" si="3"/>
        <v>16.938</v>
      </c>
      <c r="L116" s="142" t="s">
        <v>91</v>
      </c>
      <c r="M116" s="142" t="str">
        <f>VLOOKUP(L116,Packaging!$B$3:$C$21,2,0)</f>
        <v>400 X 240 X 130</v>
      </c>
      <c r="N116" s="10"/>
      <c r="O116" s="11">
        <v>30</v>
      </c>
      <c r="P116" s="11" t="s">
        <v>55</v>
      </c>
    </row>
    <row r="117" ht="17.25" spans="1:16">
      <c r="A117" s="7" t="s">
        <v>406</v>
      </c>
      <c r="B117" s="10" t="s">
        <v>407</v>
      </c>
      <c r="C117" s="12" t="s">
        <v>408</v>
      </c>
      <c r="D117" s="10" t="s">
        <v>52</v>
      </c>
      <c r="E117" s="18">
        <v>500</v>
      </c>
      <c r="F117" s="19"/>
      <c r="G117" s="20">
        <f t="shared" si="2"/>
        <v>91</v>
      </c>
      <c r="H117" s="142" t="s">
        <v>53</v>
      </c>
      <c r="I117" s="27">
        <v>280</v>
      </c>
      <c r="J117" s="28">
        <v>17.4</v>
      </c>
      <c r="K117" s="29">
        <f t="shared" si="3"/>
        <v>8.98</v>
      </c>
      <c r="L117" s="142" t="s">
        <v>54</v>
      </c>
      <c r="M117" s="142" t="str">
        <f>VLOOKUP(L117,Packaging!$B$3:$C$21,2,0)</f>
        <v>290 X 200 X 140</v>
      </c>
      <c r="N117" s="10"/>
      <c r="O117" s="11">
        <v>100</v>
      </c>
      <c r="P117" s="11" t="s">
        <v>55</v>
      </c>
    </row>
    <row r="118" ht="17.25" spans="1:16">
      <c r="A118" s="7" t="s">
        <v>409</v>
      </c>
      <c r="B118" s="10" t="s">
        <v>410</v>
      </c>
      <c r="C118" s="12" t="s">
        <v>411</v>
      </c>
      <c r="D118" s="10" t="s">
        <v>52</v>
      </c>
      <c r="E118" s="18">
        <v>1000</v>
      </c>
      <c r="F118" s="19"/>
      <c r="G118" s="20">
        <f t="shared" si="2"/>
        <v>91</v>
      </c>
      <c r="H118" s="142" t="s">
        <v>53</v>
      </c>
      <c r="I118" s="27">
        <v>280</v>
      </c>
      <c r="J118" s="28">
        <v>7.2</v>
      </c>
      <c r="K118" s="29">
        <f t="shared" si="3"/>
        <v>7.48</v>
      </c>
      <c r="L118" s="142" t="s">
        <v>54</v>
      </c>
      <c r="M118" s="142" t="str">
        <f>VLOOKUP(L118,Packaging!$B$3:$C$21,2,0)</f>
        <v>290 X 200 X 140</v>
      </c>
      <c r="N118" s="10"/>
      <c r="O118" s="11">
        <v>50</v>
      </c>
      <c r="P118" s="11" t="s">
        <v>55</v>
      </c>
    </row>
    <row r="119" ht="17.25" spans="1:16">
      <c r="A119" s="7" t="s">
        <v>412</v>
      </c>
      <c r="B119" s="10" t="s">
        <v>413</v>
      </c>
      <c r="C119" s="12" t="s">
        <v>414</v>
      </c>
      <c r="D119" s="10" t="s">
        <v>52</v>
      </c>
      <c r="E119" s="18">
        <v>300</v>
      </c>
      <c r="F119" s="19"/>
      <c r="G119" s="20">
        <f t="shared" si="2"/>
        <v>91</v>
      </c>
      <c r="H119" s="142" t="s">
        <v>53</v>
      </c>
      <c r="I119" s="27">
        <v>280</v>
      </c>
      <c r="J119" s="28">
        <v>15</v>
      </c>
      <c r="K119" s="29">
        <f t="shared" si="3"/>
        <v>4.78</v>
      </c>
      <c r="L119" s="142" t="s">
        <v>54</v>
      </c>
      <c r="M119" s="142" t="str">
        <f>VLOOKUP(L119,Packaging!$B$3:$C$21,2,0)</f>
        <v>290 X 200 X 140</v>
      </c>
      <c r="N119" s="10"/>
      <c r="O119" s="11">
        <v>20</v>
      </c>
      <c r="P119" s="11" t="s">
        <v>55</v>
      </c>
    </row>
    <row r="120" ht="17.25" spans="1:16">
      <c r="A120" s="7" t="s">
        <v>415</v>
      </c>
      <c r="B120" s="10" t="s">
        <v>416</v>
      </c>
      <c r="C120" s="12" t="s">
        <v>417</v>
      </c>
      <c r="D120" s="10" t="s">
        <v>52</v>
      </c>
      <c r="E120" s="18">
        <v>112</v>
      </c>
      <c r="F120" s="19"/>
      <c r="G120" s="20">
        <f t="shared" si="2"/>
        <v>91</v>
      </c>
      <c r="H120" s="142" t="s">
        <v>53</v>
      </c>
      <c r="I120" s="27">
        <v>280</v>
      </c>
      <c r="J120" s="28">
        <v>93</v>
      </c>
      <c r="K120" s="29">
        <f t="shared" si="3"/>
        <v>10.696</v>
      </c>
      <c r="L120" s="142" t="s">
        <v>54</v>
      </c>
      <c r="M120" s="142" t="str">
        <f>VLOOKUP(L120,Packaging!$B$3:$C$21,2,0)</f>
        <v>290 X 200 X 140</v>
      </c>
      <c r="N120" s="10"/>
      <c r="O120" s="11">
        <v>1</v>
      </c>
      <c r="P120" s="11" t="s">
        <v>55</v>
      </c>
    </row>
    <row r="121" ht="17.25" spans="1:16">
      <c r="A121" s="7" t="s">
        <v>418</v>
      </c>
      <c r="B121" s="10" t="s">
        <v>419</v>
      </c>
      <c r="C121" s="12" t="s">
        <v>420</v>
      </c>
      <c r="D121" s="10" t="s">
        <v>52</v>
      </c>
      <c r="E121" s="18">
        <v>300</v>
      </c>
      <c r="F121" s="19"/>
      <c r="G121" s="20">
        <f t="shared" si="2"/>
        <v>91</v>
      </c>
      <c r="H121" s="142" t="s">
        <v>53</v>
      </c>
      <c r="I121" s="27">
        <v>244</v>
      </c>
      <c r="J121" s="28">
        <v>28</v>
      </c>
      <c r="K121" s="29">
        <f t="shared" si="3"/>
        <v>8.644</v>
      </c>
      <c r="L121" s="142" t="s">
        <v>274</v>
      </c>
      <c r="M121" s="142" t="str">
        <f>VLOOKUP(L121,Packaging!$B$3:$C$21,2,0)</f>
        <v>290 X 200 X 100</v>
      </c>
      <c r="N121" s="10"/>
      <c r="O121" s="11">
        <v>10</v>
      </c>
      <c r="P121" s="11" t="s">
        <v>55</v>
      </c>
    </row>
    <row r="122" ht="17.25" spans="1:16">
      <c r="A122" s="7" t="s">
        <v>421</v>
      </c>
      <c r="B122" s="8" t="s">
        <v>422</v>
      </c>
      <c r="C122" s="12" t="s">
        <v>423</v>
      </c>
      <c r="D122" s="10" t="s">
        <v>52</v>
      </c>
      <c r="E122" s="18">
        <v>8</v>
      </c>
      <c r="F122" s="19"/>
      <c r="G122" s="20">
        <f t="shared" si="2"/>
        <v>91</v>
      </c>
      <c r="H122" s="142" t="s">
        <v>53</v>
      </c>
      <c r="I122" s="27">
        <v>378</v>
      </c>
      <c r="J122" s="28">
        <v>388.2</v>
      </c>
      <c r="K122" s="29">
        <f t="shared" si="3"/>
        <v>3.4836</v>
      </c>
      <c r="L122" s="142" t="s">
        <v>91</v>
      </c>
      <c r="M122" s="142" t="str">
        <f>VLOOKUP(L122,Packaging!$B$3:$C$21,2,0)</f>
        <v>400 X 240 X 130</v>
      </c>
      <c r="N122" s="10"/>
      <c r="O122" s="11">
        <v>2</v>
      </c>
      <c r="P122" s="11" t="s">
        <v>55</v>
      </c>
    </row>
    <row r="123" ht="17.25" spans="1:16">
      <c r="A123" s="7" t="s">
        <v>424</v>
      </c>
      <c r="B123" s="10" t="s">
        <v>425</v>
      </c>
      <c r="C123" s="12" t="s">
        <v>426</v>
      </c>
      <c r="D123" s="10" t="s">
        <v>52</v>
      </c>
      <c r="E123" s="18">
        <v>1000</v>
      </c>
      <c r="F123" s="19"/>
      <c r="G123" s="20">
        <f t="shared" si="2"/>
        <v>91</v>
      </c>
      <c r="H123" s="142" t="s">
        <v>53</v>
      </c>
      <c r="I123" s="27">
        <v>280</v>
      </c>
      <c r="J123" s="28">
        <v>10.2</v>
      </c>
      <c r="K123" s="29">
        <f t="shared" si="3"/>
        <v>10.48</v>
      </c>
      <c r="L123" s="142" t="s">
        <v>54</v>
      </c>
      <c r="M123" s="142" t="str">
        <f>VLOOKUP(L123,Packaging!$B$3:$C$21,2,0)</f>
        <v>290 X 200 X 140</v>
      </c>
      <c r="N123" s="10"/>
      <c r="O123" s="11">
        <v>100</v>
      </c>
      <c r="P123" s="11" t="s">
        <v>55</v>
      </c>
    </row>
    <row r="124" ht="17.25" spans="1:16">
      <c r="A124" s="7" t="s">
        <v>427</v>
      </c>
      <c r="B124" s="8" t="s">
        <v>428</v>
      </c>
      <c r="C124" s="12" t="s">
        <v>429</v>
      </c>
      <c r="D124" s="10" t="s">
        <v>52</v>
      </c>
      <c r="E124" s="18">
        <v>80</v>
      </c>
      <c r="F124" s="19"/>
      <c r="G124" s="20">
        <f t="shared" si="2"/>
        <v>91</v>
      </c>
      <c r="H124" s="142" t="s">
        <v>53</v>
      </c>
      <c r="I124" s="27">
        <v>280</v>
      </c>
      <c r="J124" s="28">
        <v>92.14</v>
      </c>
      <c r="K124" s="29">
        <f t="shared" si="3"/>
        <v>7.6512</v>
      </c>
      <c r="L124" s="142" t="s">
        <v>54</v>
      </c>
      <c r="M124" s="142" t="str">
        <f>VLOOKUP(L124,Packaging!$B$3:$C$21,2,0)</f>
        <v>290 X 200 X 140</v>
      </c>
      <c r="N124" s="10"/>
      <c r="O124" s="11">
        <v>10</v>
      </c>
      <c r="P124" s="11" t="s">
        <v>55</v>
      </c>
    </row>
    <row r="125" ht="17.25" spans="1:16">
      <c r="A125" s="7" t="s">
        <v>430</v>
      </c>
      <c r="B125" s="8" t="s">
        <v>431</v>
      </c>
      <c r="C125" s="12" t="s">
        <v>432</v>
      </c>
      <c r="D125" s="10" t="s">
        <v>52</v>
      </c>
      <c r="E125" s="18">
        <v>80</v>
      </c>
      <c r="F125" s="19"/>
      <c r="G125" s="20">
        <f t="shared" si="2"/>
        <v>91</v>
      </c>
      <c r="H125" s="142" t="s">
        <v>53</v>
      </c>
      <c r="I125" s="27">
        <v>280</v>
      </c>
      <c r="J125" s="28">
        <v>91.6</v>
      </c>
      <c r="K125" s="29">
        <f t="shared" si="3"/>
        <v>7.608</v>
      </c>
      <c r="L125" s="142" t="s">
        <v>54</v>
      </c>
      <c r="M125" s="142" t="str">
        <f>VLOOKUP(L125,Packaging!$B$3:$C$21,2,0)</f>
        <v>290 X 200 X 140</v>
      </c>
      <c r="N125" s="10"/>
      <c r="O125" s="11">
        <v>10</v>
      </c>
      <c r="P125" s="11" t="s">
        <v>55</v>
      </c>
    </row>
    <row r="126" ht="17.25" spans="1:16">
      <c r="A126" s="7" t="s">
        <v>433</v>
      </c>
      <c r="B126" s="8" t="s">
        <v>434</v>
      </c>
      <c r="C126" s="12" t="s">
        <v>435</v>
      </c>
      <c r="D126" s="10" t="s">
        <v>52</v>
      </c>
      <c r="E126" s="18">
        <v>32</v>
      </c>
      <c r="F126" s="19"/>
      <c r="G126" s="20">
        <f t="shared" si="2"/>
        <v>91</v>
      </c>
      <c r="H126" s="142" t="s">
        <v>53</v>
      </c>
      <c r="I126" s="27">
        <v>378</v>
      </c>
      <c r="J126" s="28">
        <v>212.2</v>
      </c>
      <c r="K126" s="29">
        <f t="shared" si="3"/>
        <v>7.1684</v>
      </c>
      <c r="L126" s="142" t="s">
        <v>91</v>
      </c>
      <c r="M126" s="142" t="str">
        <f>VLOOKUP(L126,Packaging!$B$3:$C$21,2,0)</f>
        <v>400 X 240 X 130</v>
      </c>
      <c r="N126" s="10"/>
      <c r="O126" s="11">
        <v>1</v>
      </c>
      <c r="P126" s="11" t="s">
        <v>55</v>
      </c>
    </row>
    <row r="127" ht="17.25" spans="1:16">
      <c r="A127" s="7" t="s">
        <v>436</v>
      </c>
      <c r="B127" s="8" t="s">
        <v>437</v>
      </c>
      <c r="C127" s="12" t="s">
        <v>438</v>
      </c>
      <c r="D127" s="10" t="s">
        <v>52</v>
      </c>
      <c r="E127" s="18">
        <v>32</v>
      </c>
      <c r="F127" s="19"/>
      <c r="G127" s="20">
        <f t="shared" si="2"/>
        <v>91</v>
      </c>
      <c r="H127" s="142" t="s">
        <v>53</v>
      </c>
      <c r="I127" s="27">
        <v>378</v>
      </c>
      <c r="J127" s="28">
        <v>212.2</v>
      </c>
      <c r="K127" s="29">
        <f t="shared" si="3"/>
        <v>7.1684</v>
      </c>
      <c r="L127" s="142" t="s">
        <v>91</v>
      </c>
      <c r="M127" s="142" t="str">
        <f>VLOOKUP(L127,Packaging!$B$3:$C$21,2,0)</f>
        <v>400 X 240 X 130</v>
      </c>
      <c r="N127" s="10"/>
      <c r="O127" s="11">
        <v>1</v>
      </c>
      <c r="P127" s="11" t="s">
        <v>55</v>
      </c>
    </row>
    <row r="128" ht="17.25" spans="1:16">
      <c r="A128" s="7" t="s">
        <v>439</v>
      </c>
      <c r="B128" s="8" t="s">
        <v>440</v>
      </c>
      <c r="C128" s="12" t="s">
        <v>441</v>
      </c>
      <c r="D128" s="10" t="s">
        <v>52</v>
      </c>
      <c r="E128" s="18">
        <v>160</v>
      </c>
      <c r="F128" s="19"/>
      <c r="G128" s="20">
        <f t="shared" si="2"/>
        <v>91</v>
      </c>
      <c r="H128" s="142" t="s">
        <v>53</v>
      </c>
      <c r="I128" s="27">
        <v>278</v>
      </c>
      <c r="J128" s="28">
        <v>24.6</v>
      </c>
      <c r="K128" s="29">
        <f t="shared" si="3"/>
        <v>4.214</v>
      </c>
      <c r="L128" s="142" t="s">
        <v>161</v>
      </c>
      <c r="M128" s="142" t="str">
        <f>VLOOKUP(L128,Packaging!$B$3:$C$21,2,0)</f>
        <v>360 X 270 X 128</v>
      </c>
      <c r="N128" s="10"/>
      <c r="O128" s="11">
        <v>16</v>
      </c>
      <c r="P128" s="11" t="s">
        <v>55</v>
      </c>
    </row>
    <row r="129" ht="17.25" spans="1:16">
      <c r="A129" s="7" t="s">
        <v>442</v>
      </c>
      <c r="B129" s="10" t="s">
        <v>443</v>
      </c>
      <c r="C129" s="12" t="s">
        <v>444</v>
      </c>
      <c r="D129" s="10" t="s">
        <v>52</v>
      </c>
      <c r="E129" s="18">
        <v>500</v>
      </c>
      <c r="F129" s="19"/>
      <c r="G129" s="20">
        <f t="shared" si="2"/>
        <v>91</v>
      </c>
      <c r="H129" s="142" t="s">
        <v>53</v>
      </c>
      <c r="I129" s="27">
        <v>280</v>
      </c>
      <c r="J129" s="28">
        <v>13.4</v>
      </c>
      <c r="K129" s="29">
        <f t="shared" si="3"/>
        <v>6.98</v>
      </c>
      <c r="L129" s="142" t="s">
        <v>54</v>
      </c>
      <c r="M129" s="142" t="str">
        <f>VLOOKUP(L129,Packaging!$B$3:$C$21,2,0)</f>
        <v>290 X 200 X 140</v>
      </c>
      <c r="N129" s="10"/>
      <c r="O129" s="11">
        <v>50</v>
      </c>
      <c r="P129" s="11" t="s">
        <v>55</v>
      </c>
    </row>
    <row r="130" ht="17.25" spans="1:16">
      <c r="A130" s="7" t="s">
        <v>445</v>
      </c>
      <c r="B130" s="8" t="s">
        <v>446</v>
      </c>
      <c r="C130" s="12" t="s">
        <v>447</v>
      </c>
      <c r="D130" s="10" t="s">
        <v>52</v>
      </c>
      <c r="E130" s="18">
        <v>40</v>
      </c>
      <c r="F130" s="19"/>
      <c r="G130" s="20">
        <f t="shared" si="2"/>
        <v>91</v>
      </c>
      <c r="H130" s="142" t="s">
        <v>53</v>
      </c>
      <c r="I130" s="27">
        <v>378</v>
      </c>
      <c r="J130" s="28">
        <v>414.2</v>
      </c>
      <c r="K130" s="29">
        <f t="shared" si="3"/>
        <v>16.946</v>
      </c>
      <c r="L130" s="142" t="s">
        <v>91</v>
      </c>
      <c r="M130" s="142" t="str">
        <f>VLOOKUP(L130,Packaging!$B$3:$C$21,2,0)</f>
        <v>400 X 240 X 130</v>
      </c>
      <c r="N130" s="10"/>
      <c r="O130" s="11">
        <v>1</v>
      </c>
      <c r="P130" s="11" t="s">
        <v>55</v>
      </c>
    </row>
    <row r="131" ht="17.25" spans="1:16">
      <c r="A131" s="7" t="s">
        <v>448</v>
      </c>
      <c r="B131" s="10" t="s">
        <v>449</v>
      </c>
      <c r="C131" s="12" t="s">
        <v>450</v>
      </c>
      <c r="D131" s="10" t="s">
        <v>52</v>
      </c>
      <c r="E131" s="18">
        <v>40</v>
      </c>
      <c r="F131" s="19"/>
      <c r="G131" s="20">
        <f t="shared" si="2"/>
        <v>91</v>
      </c>
      <c r="H131" s="142" t="s">
        <v>53</v>
      </c>
      <c r="I131" s="27">
        <v>378</v>
      </c>
      <c r="J131" s="28">
        <v>422.8</v>
      </c>
      <c r="K131" s="29">
        <f t="shared" si="3"/>
        <v>17.29</v>
      </c>
      <c r="L131" s="142" t="s">
        <v>91</v>
      </c>
      <c r="M131" s="142" t="str">
        <f>VLOOKUP(L131,Packaging!$B$3:$C$21,2,0)</f>
        <v>400 X 240 X 130</v>
      </c>
      <c r="N131" s="10"/>
      <c r="O131" s="11">
        <v>1</v>
      </c>
      <c r="P131" s="11" t="s">
        <v>55</v>
      </c>
    </row>
    <row r="132" ht="17.25" spans="1:16">
      <c r="A132" s="7" t="s">
        <v>451</v>
      </c>
      <c r="B132" s="8" t="s">
        <v>452</v>
      </c>
      <c r="C132" s="12" t="s">
        <v>453</v>
      </c>
      <c r="D132" s="10" t="s">
        <v>52</v>
      </c>
      <c r="E132" s="18">
        <v>40</v>
      </c>
      <c r="F132" s="19"/>
      <c r="G132" s="20">
        <f t="shared" si="2"/>
        <v>91</v>
      </c>
      <c r="H132" s="142" t="s">
        <v>53</v>
      </c>
      <c r="I132" s="27">
        <v>378</v>
      </c>
      <c r="J132" s="28">
        <v>414.2</v>
      </c>
      <c r="K132" s="29">
        <f t="shared" si="3"/>
        <v>16.946</v>
      </c>
      <c r="L132" s="142" t="s">
        <v>91</v>
      </c>
      <c r="M132" s="142" t="str">
        <f>VLOOKUP(L132,Packaging!$B$3:$C$21,2,0)</f>
        <v>400 X 240 X 130</v>
      </c>
      <c r="N132" s="10"/>
      <c r="O132" s="11">
        <v>1</v>
      </c>
      <c r="P132" s="11" t="s">
        <v>55</v>
      </c>
    </row>
    <row r="133" ht="17.25" spans="1:16">
      <c r="A133" s="7" t="s">
        <v>454</v>
      </c>
      <c r="B133" s="10" t="s">
        <v>455</v>
      </c>
      <c r="C133" s="12" t="s">
        <v>456</v>
      </c>
      <c r="D133" s="10" t="s">
        <v>52</v>
      </c>
      <c r="E133" s="18">
        <v>40</v>
      </c>
      <c r="F133" s="19"/>
      <c r="G133" s="20">
        <f t="shared" ref="G133:G196" si="4">F133+91</f>
        <v>91</v>
      </c>
      <c r="H133" s="142" t="s">
        <v>53</v>
      </c>
      <c r="I133" s="27">
        <v>378</v>
      </c>
      <c r="J133" s="28">
        <v>422.8</v>
      </c>
      <c r="K133" s="29">
        <f t="shared" ref="K133:K196" si="5">(I133+(J133*E133))/1000</f>
        <v>17.29</v>
      </c>
      <c r="L133" s="142" t="s">
        <v>91</v>
      </c>
      <c r="M133" s="142" t="str">
        <f>VLOOKUP(L133,Packaging!$B$3:$C$21,2,0)</f>
        <v>400 X 240 X 130</v>
      </c>
      <c r="N133" s="10"/>
      <c r="O133" s="11">
        <v>1</v>
      </c>
      <c r="P133" s="11" t="s">
        <v>55</v>
      </c>
    </row>
    <row r="134" ht="17.25" spans="1:16">
      <c r="A134" s="7" t="s">
        <v>457</v>
      </c>
      <c r="B134" s="8" t="s">
        <v>458</v>
      </c>
      <c r="C134" s="12" t="s">
        <v>459</v>
      </c>
      <c r="D134" s="10" t="s">
        <v>52</v>
      </c>
      <c r="E134" s="18">
        <v>1000</v>
      </c>
      <c r="F134" s="19"/>
      <c r="G134" s="20">
        <f t="shared" si="4"/>
        <v>91</v>
      </c>
      <c r="H134" s="142" t="s">
        <v>53</v>
      </c>
      <c r="I134" s="27">
        <v>280</v>
      </c>
      <c r="J134" s="28">
        <v>33.6</v>
      </c>
      <c r="K134" s="29">
        <f t="shared" si="5"/>
        <v>33.88</v>
      </c>
      <c r="L134" s="142" t="s">
        <v>54</v>
      </c>
      <c r="M134" s="142" t="str">
        <f>VLOOKUP(L134,Packaging!$B$3:$C$21,2,0)</f>
        <v>290 X 200 X 140</v>
      </c>
      <c r="N134" s="10" t="s">
        <v>460</v>
      </c>
      <c r="O134" s="11">
        <v>20</v>
      </c>
      <c r="P134" s="11" t="s">
        <v>55</v>
      </c>
    </row>
    <row r="135" ht="17.25" spans="1:16">
      <c r="A135" s="7" t="s">
        <v>461</v>
      </c>
      <c r="B135" s="10" t="s">
        <v>462</v>
      </c>
      <c r="C135" s="12" t="s">
        <v>463</v>
      </c>
      <c r="D135" s="10" t="s">
        <v>52</v>
      </c>
      <c r="E135" s="18">
        <v>1000</v>
      </c>
      <c r="F135" s="19"/>
      <c r="G135" s="20">
        <f t="shared" si="4"/>
        <v>91</v>
      </c>
      <c r="H135" s="142" t="s">
        <v>53</v>
      </c>
      <c r="I135" s="27">
        <v>280</v>
      </c>
      <c r="J135" s="28">
        <v>23.6</v>
      </c>
      <c r="K135" s="29">
        <f t="shared" si="5"/>
        <v>23.88</v>
      </c>
      <c r="L135" s="142" t="s">
        <v>54</v>
      </c>
      <c r="M135" s="142" t="str">
        <f>VLOOKUP(L135,Packaging!$B$3:$C$21,2,0)</f>
        <v>290 X 200 X 140</v>
      </c>
      <c r="N135" s="10"/>
      <c r="O135" s="11">
        <v>25</v>
      </c>
      <c r="P135" s="11" t="s">
        <v>55</v>
      </c>
    </row>
    <row r="136" ht="17.25" spans="1:16">
      <c r="A136" s="7" t="s">
        <v>464</v>
      </c>
      <c r="B136" s="10" t="s">
        <v>465</v>
      </c>
      <c r="C136" s="12" t="s">
        <v>466</v>
      </c>
      <c r="D136" s="10" t="s">
        <v>52</v>
      </c>
      <c r="E136" s="18">
        <v>1000</v>
      </c>
      <c r="F136" s="19"/>
      <c r="G136" s="20">
        <f t="shared" si="4"/>
        <v>91</v>
      </c>
      <c r="H136" s="142" t="s">
        <v>53</v>
      </c>
      <c r="I136" s="27">
        <v>280</v>
      </c>
      <c r="J136" s="28">
        <v>21.6</v>
      </c>
      <c r="K136" s="29">
        <f t="shared" si="5"/>
        <v>21.88</v>
      </c>
      <c r="L136" s="142" t="s">
        <v>54</v>
      </c>
      <c r="M136" s="142" t="str">
        <f>VLOOKUP(L136,Packaging!$B$3:$C$21,2,0)</f>
        <v>290 X 200 X 140</v>
      </c>
      <c r="N136" s="10"/>
      <c r="O136" s="11">
        <v>25</v>
      </c>
      <c r="P136" s="11" t="s">
        <v>55</v>
      </c>
    </row>
    <row r="137" ht="17.25" spans="1:16">
      <c r="A137" s="7" t="s">
        <v>467</v>
      </c>
      <c r="B137" s="10" t="s">
        <v>468</v>
      </c>
      <c r="C137" s="12" t="s">
        <v>469</v>
      </c>
      <c r="D137" s="10" t="s">
        <v>52</v>
      </c>
      <c r="E137" s="18">
        <v>250</v>
      </c>
      <c r="F137" s="19"/>
      <c r="G137" s="20">
        <f t="shared" si="4"/>
        <v>91</v>
      </c>
      <c r="H137" s="142" t="s">
        <v>53</v>
      </c>
      <c r="I137" s="27">
        <v>280</v>
      </c>
      <c r="J137" s="28">
        <v>62.4</v>
      </c>
      <c r="K137" s="29">
        <f t="shared" si="5"/>
        <v>15.88</v>
      </c>
      <c r="L137" s="142" t="s">
        <v>54</v>
      </c>
      <c r="M137" s="142" t="str">
        <f>VLOOKUP(L137,Packaging!$B$3:$C$21,2,0)</f>
        <v>290 X 200 X 140</v>
      </c>
      <c r="N137" s="10"/>
      <c r="O137" s="11">
        <v>25</v>
      </c>
      <c r="P137" s="11" t="s">
        <v>55</v>
      </c>
    </row>
    <row r="138" ht="17.25" spans="1:16">
      <c r="A138" s="7" t="s">
        <v>470</v>
      </c>
      <c r="B138" s="34" t="s">
        <v>471</v>
      </c>
      <c r="C138" s="35" t="s">
        <v>472</v>
      </c>
      <c r="D138" s="34" t="s">
        <v>52</v>
      </c>
      <c r="E138" s="18">
        <v>1000</v>
      </c>
      <c r="F138" s="19"/>
      <c r="G138" s="20">
        <f t="shared" si="4"/>
        <v>91</v>
      </c>
      <c r="H138" s="142" t="s">
        <v>53</v>
      </c>
      <c r="I138" s="27">
        <v>280</v>
      </c>
      <c r="J138" s="28">
        <v>10.8</v>
      </c>
      <c r="K138" s="29">
        <f t="shared" si="5"/>
        <v>11.08</v>
      </c>
      <c r="L138" s="142" t="s">
        <v>54</v>
      </c>
      <c r="M138" s="142" t="str">
        <f>VLOOKUP(L138,Packaging!$B$3:$C$21,2,0)</f>
        <v>290 X 200 X 140</v>
      </c>
      <c r="N138" s="34"/>
      <c r="O138" s="11">
        <v>20</v>
      </c>
      <c r="P138" s="11" t="s">
        <v>55</v>
      </c>
    </row>
    <row r="139" ht="17.25" spans="1:16">
      <c r="A139" s="7" t="s">
        <v>473</v>
      </c>
      <c r="B139" s="10" t="s">
        <v>474</v>
      </c>
      <c r="C139" s="12" t="s">
        <v>475</v>
      </c>
      <c r="D139" s="10" t="s">
        <v>52</v>
      </c>
      <c r="E139" s="18">
        <v>450</v>
      </c>
      <c r="F139" s="19"/>
      <c r="G139" s="20">
        <f t="shared" si="4"/>
        <v>91</v>
      </c>
      <c r="H139" s="142" t="s">
        <v>53</v>
      </c>
      <c r="I139" s="27">
        <v>244</v>
      </c>
      <c r="J139" s="28">
        <v>40.8</v>
      </c>
      <c r="K139" s="29">
        <f t="shared" si="5"/>
        <v>18.604</v>
      </c>
      <c r="L139" s="142" t="s">
        <v>274</v>
      </c>
      <c r="M139" s="142" t="str">
        <f>VLOOKUP(L139,Packaging!$B$3:$C$21,2,0)</f>
        <v>290 X 200 X 100</v>
      </c>
      <c r="N139" s="10"/>
      <c r="O139" s="11">
        <v>25</v>
      </c>
      <c r="P139" s="11" t="s">
        <v>55</v>
      </c>
    </row>
    <row r="140" ht="17.25" spans="1:16">
      <c r="A140" s="7" t="s">
        <v>476</v>
      </c>
      <c r="B140" s="10" t="s">
        <v>477</v>
      </c>
      <c r="C140" s="12" t="s">
        <v>478</v>
      </c>
      <c r="D140" s="10" t="s">
        <v>52</v>
      </c>
      <c r="E140" s="18">
        <v>450</v>
      </c>
      <c r="F140" s="19"/>
      <c r="G140" s="20">
        <f t="shared" si="4"/>
        <v>91</v>
      </c>
      <c r="H140" s="142" t="s">
        <v>53</v>
      </c>
      <c r="I140" s="27">
        <v>244</v>
      </c>
      <c r="J140" s="28">
        <v>40.8</v>
      </c>
      <c r="K140" s="29">
        <f t="shared" si="5"/>
        <v>18.604</v>
      </c>
      <c r="L140" s="142" t="s">
        <v>274</v>
      </c>
      <c r="M140" s="142" t="str">
        <f>VLOOKUP(L140,Packaging!$B$3:$C$21,2,0)</f>
        <v>290 X 200 X 100</v>
      </c>
      <c r="N140" s="10"/>
      <c r="O140" s="11">
        <v>25</v>
      </c>
      <c r="P140" s="11" t="s">
        <v>55</v>
      </c>
    </row>
    <row r="141" ht="17.25" spans="1:16">
      <c r="A141" s="7" t="s">
        <v>479</v>
      </c>
      <c r="B141" s="10" t="s">
        <v>480</v>
      </c>
      <c r="C141" s="12" t="s">
        <v>481</v>
      </c>
      <c r="D141" s="10" t="s">
        <v>52</v>
      </c>
      <c r="E141" s="18">
        <v>1000</v>
      </c>
      <c r="F141" s="19"/>
      <c r="G141" s="20">
        <f t="shared" si="4"/>
        <v>91</v>
      </c>
      <c r="H141" s="142" t="s">
        <v>53</v>
      </c>
      <c r="I141" s="27">
        <v>280</v>
      </c>
      <c r="J141" s="28">
        <v>101.8</v>
      </c>
      <c r="K141" s="29">
        <f t="shared" si="5"/>
        <v>102.08</v>
      </c>
      <c r="L141" s="142" t="s">
        <v>54</v>
      </c>
      <c r="M141" s="142" t="str">
        <f>VLOOKUP(L141,Packaging!$B$3:$C$21,2,0)</f>
        <v>290 X 200 X 140</v>
      </c>
      <c r="N141" s="10"/>
      <c r="O141" s="11">
        <v>10</v>
      </c>
      <c r="P141" s="11" t="s">
        <v>55</v>
      </c>
    </row>
    <row r="142" ht="17.25" spans="1:16">
      <c r="A142" s="7" t="s">
        <v>482</v>
      </c>
      <c r="B142" s="8" t="s">
        <v>483</v>
      </c>
      <c r="C142" s="12" t="s">
        <v>484</v>
      </c>
      <c r="D142" s="10" t="s">
        <v>52</v>
      </c>
      <c r="E142" s="18">
        <v>56</v>
      </c>
      <c r="F142" s="19"/>
      <c r="G142" s="20">
        <f t="shared" si="4"/>
        <v>91</v>
      </c>
      <c r="H142" s="142" t="s">
        <v>53</v>
      </c>
      <c r="I142" s="27">
        <v>280</v>
      </c>
      <c r="J142" s="28">
        <v>72</v>
      </c>
      <c r="K142" s="29">
        <f t="shared" si="5"/>
        <v>4.312</v>
      </c>
      <c r="L142" s="142" t="s">
        <v>54</v>
      </c>
      <c r="M142" s="142" t="str">
        <f>VLOOKUP(L142,Packaging!$B$3:$C$21,2,0)</f>
        <v>290 X 200 X 140</v>
      </c>
      <c r="N142" s="10"/>
      <c r="O142" s="11">
        <v>7</v>
      </c>
      <c r="P142" s="11" t="s">
        <v>55</v>
      </c>
    </row>
    <row r="143" ht="17.25" spans="1:16">
      <c r="A143" s="7" t="s">
        <v>485</v>
      </c>
      <c r="B143" s="8" t="s">
        <v>486</v>
      </c>
      <c r="C143" s="12" t="s">
        <v>487</v>
      </c>
      <c r="D143" s="10" t="s">
        <v>52</v>
      </c>
      <c r="E143" s="18">
        <v>2000</v>
      </c>
      <c r="F143" s="19"/>
      <c r="G143" s="20">
        <f t="shared" si="4"/>
        <v>91</v>
      </c>
      <c r="H143" s="142" t="s">
        <v>53</v>
      </c>
      <c r="I143" s="27">
        <v>280</v>
      </c>
      <c r="J143" s="28">
        <v>0.2</v>
      </c>
      <c r="K143" s="29">
        <f t="shared" si="5"/>
        <v>0.68</v>
      </c>
      <c r="L143" s="142" t="s">
        <v>54</v>
      </c>
      <c r="M143" s="142" t="str">
        <f>VLOOKUP(L143,Packaging!$B$3:$C$21,2,0)</f>
        <v>290 X 200 X 140</v>
      </c>
      <c r="N143" s="10"/>
      <c r="O143" s="11">
        <v>100</v>
      </c>
      <c r="P143" s="11" t="s">
        <v>55</v>
      </c>
    </row>
    <row r="144" ht="17.25" spans="1:16">
      <c r="A144" s="7" t="s">
        <v>488</v>
      </c>
      <c r="B144" s="8" t="s">
        <v>489</v>
      </c>
      <c r="C144" s="12" t="s">
        <v>490</v>
      </c>
      <c r="D144" s="10" t="s">
        <v>52</v>
      </c>
      <c r="E144" s="18">
        <v>60</v>
      </c>
      <c r="F144" s="19"/>
      <c r="G144" s="20">
        <f t="shared" si="4"/>
        <v>91</v>
      </c>
      <c r="H144" s="142" t="s">
        <v>53</v>
      </c>
      <c r="I144" s="27">
        <v>244</v>
      </c>
      <c r="J144" s="28">
        <v>224.8</v>
      </c>
      <c r="K144" s="29">
        <f t="shared" si="5"/>
        <v>13.732</v>
      </c>
      <c r="L144" s="142" t="s">
        <v>274</v>
      </c>
      <c r="M144" s="142" t="str">
        <f>VLOOKUP(L144,Packaging!$B$3:$C$21,2,0)</f>
        <v>290 X 200 X 100</v>
      </c>
      <c r="N144" s="10"/>
      <c r="O144" s="11">
        <v>1</v>
      </c>
      <c r="P144" s="11" t="s">
        <v>55</v>
      </c>
    </row>
    <row r="145" ht="17.25" spans="1:16">
      <c r="A145" s="7" t="s">
        <v>491</v>
      </c>
      <c r="B145" s="8" t="s">
        <v>492</v>
      </c>
      <c r="C145" s="12" t="s">
        <v>493</v>
      </c>
      <c r="D145" s="10" t="s">
        <v>52</v>
      </c>
      <c r="E145" s="18">
        <v>450</v>
      </c>
      <c r="F145" s="19"/>
      <c r="G145" s="20">
        <f t="shared" si="4"/>
        <v>91</v>
      </c>
      <c r="H145" s="142" t="s">
        <v>53</v>
      </c>
      <c r="I145" s="27">
        <v>280</v>
      </c>
      <c r="J145" s="28">
        <v>40.2</v>
      </c>
      <c r="K145" s="29">
        <f t="shared" si="5"/>
        <v>18.37</v>
      </c>
      <c r="L145" s="142" t="s">
        <v>54</v>
      </c>
      <c r="M145" s="142" t="str">
        <f>VLOOKUP(L145,Packaging!$B$3:$C$21,2,0)</f>
        <v>290 X 200 X 140</v>
      </c>
      <c r="N145" s="10"/>
      <c r="O145" s="11">
        <v>75</v>
      </c>
      <c r="P145" s="11" t="s">
        <v>55</v>
      </c>
    </row>
    <row r="146" ht="17.25" spans="1:16">
      <c r="A146" s="7" t="s">
        <v>494</v>
      </c>
      <c r="B146" s="8" t="s">
        <v>495</v>
      </c>
      <c r="C146" s="12" t="s">
        <v>496</v>
      </c>
      <c r="D146" s="10" t="s">
        <v>52</v>
      </c>
      <c r="E146" s="18">
        <v>40</v>
      </c>
      <c r="F146" s="19"/>
      <c r="G146" s="20">
        <f t="shared" si="4"/>
        <v>91</v>
      </c>
      <c r="H146" s="142" t="s">
        <v>53</v>
      </c>
      <c r="I146" s="27">
        <v>278</v>
      </c>
      <c r="J146" s="28">
        <v>106.8</v>
      </c>
      <c r="K146" s="29">
        <f t="shared" si="5"/>
        <v>4.55</v>
      </c>
      <c r="L146" s="142" t="s">
        <v>161</v>
      </c>
      <c r="M146" s="142" t="str">
        <f>VLOOKUP(L146,Packaging!$B$3:$C$21,2,0)</f>
        <v>360 X 270 X 128</v>
      </c>
      <c r="N146" s="10"/>
      <c r="O146" s="11">
        <v>1</v>
      </c>
      <c r="P146" s="11" t="s">
        <v>55</v>
      </c>
    </row>
    <row r="147" ht="17.25" spans="1:16">
      <c r="A147" s="7" t="s">
        <v>497</v>
      </c>
      <c r="B147" s="8" t="s">
        <v>498</v>
      </c>
      <c r="C147" s="12" t="s">
        <v>499</v>
      </c>
      <c r="D147" s="10" t="s">
        <v>52</v>
      </c>
      <c r="E147" s="18">
        <v>200</v>
      </c>
      <c r="F147" s="19"/>
      <c r="G147" s="20">
        <f t="shared" si="4"/>
        <v>91</v>
      </c>
      <c r="H147" s="142" t="s">
        <v>53</v>
      </c>
      <c r="I147" s="27">
        <v>278</v>
      </c>
      <c r="J147" s="28">
        <v>72</v>
      </c>
      <c r="K147" s="29">
        <f t="shared" si="5"/>
        <v>14.678</v>
      </c>
      <c r="L147" s="142" t="s">
        <v>161</v>
      </c>
      <c r="M147" s="142" t="str">
        <f>VLOOKUP(L147,Packaging!$B$3:$C$21,2,0)</f>
        <v>360 X 270 X 128</v>
      </c>
      <c r="N147" s="10"/>
      <c r="O147" s="11">
        <v>10</v>
      </c>
      <c r="P147" s="11" t="s">
        <v>55</v>
      </c>
    </row>
    <row r="148" ht="17.25" spans="1:16">
      <c r="A148" s="7" t="s">
        <v>500</v>
      </c>
      <c r="B148" s="8" t="s">
        <v>501</v>
      </c>
      <c r="C148" s="12" t="s">
        <v>502</v>
      </c>
      <c r="D148" s="10" t="s">
        <v>52</v>
      </c>
      <c r="E148" s="18">
        <v>750</v>
      </c>
      <c r="F148" s="19"/>
      <c r="G148" s="20">
        <f t="shared" si="4"/>
        <v>91</v>
      </c>
      <c r="H148" s="142" t="s">
        <v>53</v>
      </c>
      <c r="I148" s="27">
        <v>280</v>
      </c>
      <c r="J148" s="28">
        <v>11.2</v>
      </c>
      <c r="K148" s="29">
        <f t="shared" si="5"/>
        <v>8.68</v>
      </c>
      <c r="L148" s="142" t="s">
        <v>54</v>
      </c>
      <c r="M148" s="142" t="str">
        <f>VLOOKUP(L148,Packaging!$B$3:$C$21,2,0)</f>
        <v>290 X 200 X 140</v>
      </c>
      <c r="N148" s="10"/>
      <c r="O148" s="11">
        <v>50</v>
      </c>
      <c r="P148" s="11" t="s">
        <v>55</v>
      </c>
    </row>
    <row r="149" ht="17.25" spans="1:16">
      <c r="A149" s="7" t="s">
        <v>503</v>
      </c>
      <c r="B149" s="8" t="s">
        <v>504</v>
      </c>
      <c r="C149" s="12" t="s">
        <v>505</v>
      </c>
      <c r="D149" s="10" t="s">
        <v>52</v>
      </c>
      <c r="E149" s="18">
        <v>800</v>
      </c>
      <c r="F149" s="19"/>
      <c r="G149" s="20">
        <f t="shared" si="4"/>
        <v>91</v>
      </c>
      <c r="H149" s="142" t="s">
        <v>53</v>
      </c>
      <c r="I149" s="27">
        <v>280</v>
      </c>
      <c r="J149" s="28">
        <v>10.8</v>
      </c>
      <c r="K149" s="29">
        <f t="shared" si="5"/>
        <v>8.92</v>
      </c>
      <c r="L149" s="142" t="s">
        <v>54</v>
      </c>
      <c r="M149" s="142" t="str">
        <f>VLOOKUP(L149,Packaging!$B$3:$C$21,2,0)</f>
        <v>290 X 200 X 140</v>
      </c>
      <c r="N149" s="10"/>
      <c r="O149" s="11">
        <v>100</v>
      </c>
      <c r="P149" s="11" t="s">
        <v>55</v>
      </c>
    </row>
    <row r="150" ht="17.25" spans="1:16">
      <c r="A150" s="7" t="s">
        <v>506</v>
      </c>
      <c r="B150" s="8" t="s">
        <v>507</v>
      </c>
      <c r="C150" s="12" t="s">
        <v>508</v>
      </c>
      <c r="D150" s="10" t="s">
        <v>52</v>
      </c>
      <c r="E150" s="18">
        <v>400</v>
      </c>
      <c r="F150" s="19"/>
      <c r="G150" s="20">
        <f t="shared" si="4"/>
        <v>91</v>
      </c>
      <c r="H150" s="142" t="s">
        <v>53</v>
      </c>
      <c r="I150" s="27">
        <v>280</v>
      </c>
      <c r="J150" s="28">
        <v>28.6</v>
      </c>
      <c r="K150" s="29">
        <f t="shared" si="5"/>
        <v>11.72</v>
      </c>
      <c r="L150" s="142" t="s">
        <v>54</v>
      </c>
      <c r="M150" s="142" t="str">
        <f>VLOOKUP(L150,Packaging!$B$3:$C$21,2,0)</f>
        <v>290 X 200 X 140</v>
      </c>
      <c r="N150" s="10"/>
      <c r="O150" s="11">
        <v>50</v>
      </c>
      <c r="P150" s="11" t="s">
        <v>55</v>
      </c>
    </row>
    <row r="151" ht="17.25" spans="1:16">
      <c r="A151" s="7" t="s">
        <v>509</v>
      </c>
      <c r="B151" s="8" t="s">
        <v>510</v>
      </c>
      <c r="C151" s="12" t="s">
        <v>511</v>
      </c>
      <c r="D151" s="10" t="s">
        <v>52</v>
      </c>
      <c r="E151" s="18">
        <v>60</v>
      </c>
      <c r="F151" s="19"/>
      <c r="G151" s="20">
        <f t="shared" si="4"/>
        <v>91</v>
      </c>
      <c r="H151" s="142" t="s">
        <v>53</v>
      </c>
      <c r="I151" s="27">
        <v>280</v>
      </c>
      <c r="J151" s="28">
        <v>261.4</v>
      </c>
      <c r="K151" s="29">
        <f t="shared" si="5"/>
        <v>15.964</v>
      </c>
      <c r="L151" s="142" t="s">
        <v>54</v>
      </c>
      <c r="M151" s="142" t="str">
        <f>VLOOKUP(L151,Packaging!$B$3:$C$21,2,0)</f>
        <v>290 X 200 X 140</v>
      </c>
      <c r="N151" s="10"/>
      <c r="O151" s="11">
        <v>1</v>
      </c>
      <c r="P151" s="11" t="s">
        <v>55</v>
      </c>
    </row>
    <row r="152" ht="17.25" spans="1:16">
      <c r="A152" s="7" t="s">
        <v>512</v>
      </c>
      <c r="B152" s="8" t="s">
        <v>513</v>
      </c>
      <c r="C152" s="12" t="s">
        <v>514</v>
      </c>
      <c r="D152" s="10" t="s">
        <v>52</v>
      </c>
      <c r="E152" s="18">
        <v>22</v>
      </c>
      <c r="F152" s="19"/>
      <c r="G152" s="20">
        <f t="shared" si="4"/>
        <v>91</v>
      </c>
      <c r="H152" s="142" t="s">
        <v>53</v>
      </c>
      <c r="I152" s="27">
        <v>430</v>
      </c>
      <c r="J152" s="28">
        <v>700.8</v>
      </c>
      <c r="K152" s="29">
        <f t="shared" si="5"/>
        <v>15.8476</v>
      </c>
      <c r="L152" s="142" t="s">
        <v>83</v>
      </c>
      <c r="M152" s="142" t="str">
        <f>VLOOKUP(L152,Packaging!$B$3:$C$21,2,0)</f>
        <v>560 X 175 X 155</v>
      </c>
      <c r="N152" s="10"/>
      <c r="O152" s="11">
        <v>1</v>
      </c>
      <c r="P152" s="11" t="s">
        <v>55</v>
      </c>
    </row>
    <row r="153" ht="17.25" spans="1:16">
      <c r="A153" s="7" t="s">
        <v>515</v>
      </c>
      <c r="B153" s="8" t="s">
        <v>516</v>
      </c>
      <c r="C153" s="12" t="s">
        <v>517</v>
      </c>
      <c r="D153" s="10" t="s">
        <v>52</v>
      </c>
      <c r="E153" s="18">
        <v>16</v>
      </c>
      <c r="F153" s="19"/>
      <c r="G153" s="20">
        <f t="shared" si="4"/>
        <v>91</v>
      </c>
      <c r="H153" s="142" t="s">
        <v>53</v>
      </c>
      <c r="I153" s="27">
        <v>430</v>
      </c>
      <c r="J153" s="28">
        <v>896.4</v>
      </c>
      <c r="K153" s="29">
        <f t="shared" si="5"/>
        <v>14.7724</v>
      </c>
      <c r="L153" s="142" t="s">
        <v>83</v>
      </c>
      <c r="M153" s="142" t="str">
        <f>VLOOKUP(L153,Packaging!$B$3:$C$21,2,0)</f>
        <v>560 X 175 X 155</v>
      </c>
      <c r="N153" s="10"/>
      <c r="O153" s="11">
        <v>1</v>
      </c>
      <c r="P153" s="11" t="s">
        <v>55</v>
      </c>
    </row>
    <row r="154" ht="17.25" spans="1:16">
      <c r="A154" s="7" t="s">
        <v>518</v>
      </c>
      <c r="B154" s="8" t="s">
        <v>519</v>
      </c>
      <c r="C154" s="12" t="s">
        <v>520</v>
      </c>
      <c r="D154" s="10" t="s">
        <v>52</v>
      </c>
      <c r="E154" s="18">
        <v>22</v>
      </c>
      <c r="F154" s="19"/>
      <c r="G154" s="20">
        <f t="shared" si="4"/>
        <v>91</v>
      </c>
      <c r="H154" s="142" t="s">
        <v>53</v>
      </c>
      <c r="I154" s="27">
        <v>430</v>
      </c>
      <c r="J154" s="28">
        <v>450</v>
      </c>
      <c r="K154" s="29">
        <f t="shared" si="5"/>
        <v>10.33</v>
      </c>
      <c r="L154" s="142" t="s">
        <v>83</v>
      </c>
      <c r="M154" s="142" t="str">
        <f>VLOOKUP(L154,Packaging!$B$3:$C$21,2,0)</f>
        <v>560 X 175 X 155</v>
      </c>
      <c r="N154" s="10"/>
      <c r="O154" s="11">
        <v>1</v>
      </c>
      <c r="P154" s="11" t="s">
        <v>55</v>
      </c>
    </row>
    <row r="155" ht="17.25" spans="1:16">
      <c r="A155" s="7" t="s">
        <v>521</v>
      </c>
      <c r="B155" s="8" t="s">
        <v>522</v>
      </c>
      <c r="C155" s="12" t="s">
        <v>523</v>
      </c>
      <c r="D155" s="10" t="s">
        <v>52</v>
      </c>
      <c r="E155" s="18">
        <v>250</v>
      </c>
      <c r="F155" s="19"/>
      <c r="G155" s="20">
        <f t="shared" si="4"/>
        <v>91</v>
      </c>
      <c r="H155" s="142" t="s">
        <v>53</v>
      </c>
      <c r="I155" s="27">
        <v>280</v>
      </c>
      <c r="J155" s="28">
        <v>34.6</v>
      </c>
      <c r="K155" s="29">
        <f t="shared" si="5"/>
        <v>8.93</v>
      </c>
      <c r="L155" s="142" t="s">
        <v>54</v>
      </c>
      <c r="M155" s="142" t="str">
        <f>VLOOKUP(L155,Packaging!$B$3:$C$21,2,0)</f>
        <v>290 X 200 X 140</v>
      </c>
      <c r="N155" s="10"/>
      <c r="O155" s="11">
        <v>5</v>
      </c>
      <c r="P155" s="11" t="s">
        <v>55</v>
      </c>
    </row>
    <row r="156" ht="17.25" spans="1:16">
      <c r="A156" s="7" t="s">
        <v>524</v>
      </c>
      <c r="B156" s="8" t="s">
        <v>525</v>
      </c>
      <c r="C156" s="12" t="s">
        <v>526</v>
      </c>
      <c r="D156" s="10" t="s">
        <v>52</v>
      </c>
      <c r="E156" s="18">
        <v>80</v>
      </c>
      <c r="F156" s="19"/>
      <c r="G156" s="20">
        <f t="shared" si="4"/>
        <v>91</v>
      </c>
      <c r="H156" s="142" t="s">
        <v>53</v>
      </c>
      <c r="I156" s="27">
        <v>278</v>
      </c>
      <c r="J156" s="28">
        <v>45</v>
      </c>
      <c r="K156" s="29">
        <f t="shared" si="5"/>
        <v>3.878</v>
      </c>
      <c r="L156" s="142" t="s">
        <v>161</v>
      </c>
      <c r="M156" s="142" t="str">
        <f>VLOOKUP(L156,Packaging!$B$3:$C$21,2,0)</f>
        <v>360 X 270 X 128</v>
      </c>
      <c r="N156" s="10"/>
      <c r="O156" s="11">
        <v>8</v>
      </c>
      <c r="P156" s="11" t="s">
        <v>55</v>
      </c>
    </row>
    <row r="157" ht="17.25" spans="1:16">
      <c r="A157" s="7" t="s">
        <v>527</v>
      </c>
      <c r="B157" s="8" t="s">
        <v>528</v>
      </c>
      <c r="C157" s="12" t="s">
        <v>529</v>
      </c>
      <c r="D157" s="10" t="s">
        <v>52</v>
      </c>
      <c r="E157" s="18">
        <v>200</v>
      </c>
      <c r="F157" s="19"/>
      <c r="G157" s="20">
        <f t="shared" si="4"/>
        <v>91</v>
      </c>
      <c r="H157" s="142" t="s">
        <v>53</v>
      </c>
      <c r="I157" s="27">
        <v>378</v>
      </c>
      <c r="J157" s="28">
        <v>50</v>
      </c>
      <c r="K157" s="29">
        <f t="shared" si="5"/>
        <v>10.378</v>
      </c>
      <c r="L157" s="142" t="s">
        <v>91</v>
      </c>
      <c r="M157" s="142" t="str">
        <f>VLOOKUP(L157,Packaging!$B$3:$C$21,2,0)</f>
        <v>400 X 240 X 130</v>
      </c>
      <c r="N157" s="10"/>
      <c r="O157" s="11">
        <v>5</v>
      </c>
      <c r="P157" s="11" t="s">
        <v>55</v>
      </c>
    </row>
    <row r="158" ht="17.25" spans="1:16">
      <c r="A158" s="7" t="s">
        <v>530</v>
      </c>
      <c r="B158" s="8" t="s">
        <v>531</v>
      </c>
      <c r="C158" s="12" t="s">
        <v>532</v>
      </c>
      <c r="D158" s="10" t="s">
        <v>52</v>
      </c>
      <c r="E158" s="18">
        <v>70</v>
      </c>
      <c r="F158" s="19"/>
      <c r="G158" s="20">
        <f t="shared" si="4"/>
        <v>91</v>
      </c>
      <c r="H158" s="142" t="s">
        <v>53</v>
      </c>
      <c r="I158" s="27">
        <v>280</v>
      </c>
      <c r="J158" s="28">
        <v>178.2</v>
      </c>
      <c r="K158" s="29">
        <f t="shared" si="5"/>
        <v>12.754</v>
      </c>
      <c r="L158" s="142" t="s">
        <v>54</v>
      </c>
      <c r="M158" s="142" t="str">
        <f>VLOOKUP(L158,Packaging!$B$3:$C$21,2,0)</f>
        <v>290 X 200 X 140</v>
      </c>
      <c r="N158" s="10"/>
      <c r="O158" s="11">
        <v>1</v>
      </c>
      <c r="P158" s="11" t="s">
        <v>55</v>
      </c>
    </row>
    <row r="159" ht="17.25" spans="1:16">
      <c r="A159" s="7" t="s">
        <v>533</v>
      </c>
      <c r="B159" s="8" t="s">
        <v>534</v>
      </c>
      <c r="C159" s="12" t="s">
        <v>535</v>
      </c>
      <c r="D159" s="10" t="s">
        <v>52</v>
      </c>
      <c r="E159" s="18">
        <v>24</v>
      </c>
      <c r="F159" s="19"/>
      <c r="G159" s="20">
        <f t="shared" si="4"/>
        <v>91</v>
      </c>
      <c r="H159" s="142" t="s">
        <v>53</v>
      </c>
      <c r="I159" s="27">
        <v>278</v>
      </c>
      <c r="J159" s="28">
        <v>90</v>
      </c>
      <c r="K159" s="29">
        <f t="shared" si="5"/>
        <v>2.438</v>
      </c>
      <c r="L159" s="142" t="s">
        <v>161</v>
      </c>
      <c r="M159" s="142" t="str">
        <f>VLOOKUP(L159,Packaging!$B$3:$C$21,2,0)</f>
        <v>360 X 270 X 128</v>
      </c>
      <c r="N159" s="10"/>
      <c r="O159" s="11">
        <v>1</v>
      </c>
      <c r="P159" s="11" t="s">
        <v>55</v>
      </c>
    </row>
    <row r="160" ht="17.25" spans="1:16">
      <c r="A160" s="7" t="s">
        <v>536</v>
      </c>
      <c r="B160" s="8" t="s">
        <v>537</v>
      </c>
      <c r="C160" s="12" t="s">
        <v>538</v>
      </c>
      <c r="D160" s="10" t="s">
        <v>52</v>
      </c>
      <c r="E160" s="18">
        <v>44</v>
      </c>
      <c r="F160" s="19"/>
      <c r="G160" s="20">
        <f t="shared" si="4"/>
        <v>91</v>
      </c>
      <c r="H160" s="142" t="s">
        <v>53</v>
      </c>
      <c r="I160" s="27">
        <v>378</v>
      </c>
      <c r="J160" s="28">
        <v>129.6</v>
      </c>
      <c r="K160" s="29">
        <f t="shared" si="5"/>
        <v>6.0804</v>
      </c>
      <c r="L160" s="142" t="s">
        <v>91</v>
      </c>
      <c r="M160" s="142" t="str">
        <f>VLOOKUP(L160,Packaging!$B$3:$C$21,2,0)</f>
        <v>400 X 240 X 130</v>
      </c>
      <c r="N160" s="10"/>
      <c r="O160" s="11">
        <v>4</v>
      </c>
      <c r="P160" s="11" t="s">
        <v>55</v>
      </c>
    </row>
    <row r="161" ht="17.25" spans="1:16">
      <c r="A161" s="7" t="s">
        <v>539</v>
      </c>
      <c r="B161" s="8" t="s">
        <v>540</v>
      </c>
      <c r="C161" s="12" t="s">
        <v>541</v>
      </c>
      <c r="D161" s="10" t="s">
        <v>52</v>
      </c>
      <c r="E161" s="18">
        <v>200</v>
      </c>
      <c r="F161" s="19"/>
      <c r="G161" s="20">
        <f t="shared" si="4"/>
        <v>91</v>
      </c>
      <c r="H161" s="142" t="s">
        <v>53</v>
      </c>
      <c r="I161" s="27">
        <v>280</v>
      </c>
      <c r="J161" s="28">
        <v>20.4</v>
      </c>
      <c r="K161" s="29">
        <f t="shared" si="5"/>
        <v>4.36</v>
      </c>
      <c r="L161" s="142" t="s">
        <v>54</v>
      </c>
      <c r="M161" s="142" t="str">
        <f>VLOOKUP(L161,Packaging!$B$3:$C$21,2,0)</f>
        <v>290 X 200 X 140</v>
      </c>
      <c r="N161" s="10"/>
      <c r="O161" s="11">
        <v>10</v>
      </c>
      <c r="P161" s="11" t="s">
        <v>55</v>
      </c>
    </row>
    <row r="162" ht="17.25" spans="1:16">
      <c r="A162" s="7" t="s">
        <v>542</v>
      </c>
      <c r="B162" s="8" t="s">
        <v>543</v>
      </c>
      <c r="C162" s="12" t="s">
        <v>544</v>
      </c>
      <c r="D162" s="10" t="s">
        <v>52</v>
      </c>
      <c r="E162" s="18">
        <v>40</v>
      </c>
      <c r="F162" s="19"/>
      <c r="G162" s="20">
        <f t="shared" si="4"/>
        <v>91</v>
      </c>
      <c r="H162" s="142" t="s">
        <v>53</v>
      </c>
      <c r="I162" s="27">
        <v>378</v>
      </c>
      <c r="J162" s="28">
        <v>253.2</v>
      </c>
      <c r="K162" s="29">
        <f t="shared" si="5"/>
        <v>10.506</v>
      </c>
      <c r="L162" s="142" t="s">
        <v>91</v>
      </c>
      <c r="M162" s="142" t="str">
        <f>VLOOKUP(L162,Packaging!$B$3:$C$21,2,0)</f>
        <v>400 X 240 X 130</v>
      </c>
      <c r="N162" s="10"/>
      <c r="O162" s="11">
        <v>4</v>
      </c>
      <c r="P162" s="11" t="s">
        <v>55</v>
      </c>
    </row>
    <row r="163" ht="17.25" spans="1:16">
      <c r="A163" s="7" t="s">
        <v>545</v>
      </c>
      <c r="B163" s="10" t="s">
        <v>546</v>
      </c>
      <c r="C163" s="12" t="s">
        <v>547</v>
      </c>
      <c r="D163" s="10" t="s">
        <v>52</v>
      </c>
      <c r="E163" s="18">
        <v>140</v>
      </c>
      <c r="F163" s="19"/>
      <c r="G163" s="20">
        <f t="shared" si="4"/>
        <v>91</v>
      </c>
      <c r="H163" s="142" t="s">
        <v>53</v>
      </c>
      <c r="I163" s="27">
        <v>280</v>
      </c>
      <c r="J163" s="28">
        <v>18.2</v>
      </c>
      <c r="K163" s="29">
        <f t="shared" si="5"/>
        <v>2.828</v>
      </c>
      <c r="L163" s="142" t="s">
        <v>54</v>
      </c>
      <c r="M163" s="142" t="str">
        <f>VLOOKUP(L163,Packaging!$B$3:$C$21,2,0)</f>
        <v>290 X 200 X 140</v>
      </c>
      <c r="N163" s="10"/>
      <c r="O163" s="11">
        <v>2</v>
      </c>
      <c r="P163" s="11" t="s">
        <v>55</v>
      </c>
    </row>
    <row r="164" ht="17.25" spans="1:16">
      <c r="A164" s="7" t="s">
        <v>548</v>
      </c>
      <c r="B164" s="10" t="s">
        <v>549</v>
      </c>
      <c r="C164" s="12" t="s">
        <v>550</v>
      </c>
      <c r="D164" s="10" t="s">
        <v>52</v>
      </c>
      <c r="E164" s="18">
        <v>140</v>
      </c>
      <c r="F164" s="19"/>
      <c r="G164" s="20">
        <f t="shared" si="4"/>
        <v>91</v>
      </c>
      <c r="H164" s="142" t="s">
        <v>53</v>
      </c>
      <c r="I164" s="27">
        <v>280</v>
      </c>
      <c r="J164" s="28">
        <v>18</v>
      </c>
      <c r="K164" s="29">
        <f t="shared" si="5"/>
        <v>2.8</v>
      </c>
      <c r="L164" s="142" t="s">
        <v>54</v>
      </c>
      <c r="M164" s="142" t="str">
        <f>VLOOKUP(L164,Packaging!$B$3:$C$21,2,0)</f>
        <v>290 X 200 X 140</v>
      </c>
      <c r="N164" s="10"/>
      <c r="O164" s="11">
        <v>2</v>
      </c>
      <c r="P164" s="11" t="s">
        <v>55</v>
      </c>
    </row>
    <row r="165" ht="17.25" spans="1:16">
      <c r="A165" s="7" t="s">
        <v>551</v>
      </c>
      <c r="B165" s="8" t="s">
        <v>552</v>
      </c>
      <c r="C165" s="12" t="s">
        <v>553</v>
      </c>
      <c r="D165" s="10" t="s">
        <v>52</v>
      </c>
      <c r="E165" s="18">
        <v>36</v>
      </c>
      <c r="F165" s="19"/>
      <c r="G165" s="20">
        <f t="shared" si="4"/>
        <v>91</v>
      </c>
      <c r="H165" s="142" t="s">
        <v>53</v>
      </c>
      <c r="I165" s="27">
        <v>280</v>
      </c>
      <c r="J165" s="28">
        <v>267.6</v>
      </c>
      <c r="K165" s="29">
        <f t="shared" si="5"/>
        <v>9.9136</v>
      </c>
      <c r="L165" s="142" t="s">
        <v>54</v>
      </c>
      <c r="M165" s="142" t="str">
        <f>VLOOKUP(L165,Packaging!$B$3:$C$21,2,0)</f>
        <v>290 X 200 X 140</v>
      </c>
      <c r="N165" s="10"/>
      <c r="O165" s="11">
        <v>2</v>
      </c>
      <c r="P165" s="11" t="s">
        <v>55</v>
      </c>
    </row>
    <row r="166" ht="17.25" spans="1:16">
      <c r="A166" s="7" t="s">
        <v>554</v>
      </c>
      <c r="B166" s="8" t="s">
        <v>555</v>
      </c>
      <c r="C166" s="12" t="s">
        <v>556</v>
      </c>
      <c r="D166" s="10" t="s">
        <v>52</v>
      </c>
      <c r="E166" s="18">
        <v>36</v>
      </c>
      <c r="F166" s="19"/>
      <c r="G166" s="20">
        <f t="shared" si="4"/>
        <v>91</v>
      </c>
      <c r="H166" s="142" t="s">
        <v>53</v>
      </c>
      <c r="I166" s="27">
        <v>280</v>
      </c>
      <c r="J166" s="28">
        <v>267.6</v>
      </c>
      <c r="K166" s="29">
        <f t="shared" si="5"/>
        <v>9.9136</v>
      </c>
      <c r="L166" s="142" t="s">
        <v>54</v>
      </c>
      <c r="M166" s="142" t="str">
        <f>VLOOKUP(L166,Packaging!$B$3:$C$21,2,0)</f>
        <v>290 X 200 X 140</v>
      </c>
      <c r="N166" s="10"/>
      <c r="O166" s="11">
        <v>2</v>
      </c>
      <c r="P166" s="11" t="s">
        <v>55</v>
      </c>
    </row>
    <row r="167" ht="17.25" spans="1:16">
      <c r="A167" s="7" t="s">
        <v>557</v>
      </c>
      <c r="B167" s="8" t="s">
        <v>558</v>
      </c>
      <c r="C167" s="12" t="s">
        <v>559</v>
      </c>
      <c r="D167" s="10" t="s">
        <v>52</v>
      </c>
      <c r="E167" s="18">
        <v>180</v>
      </c>
      <c r="F167" s="19"/>
      <c r="G167" s="20">
        <f t="shared" si="4"/>
        <v>91</v>
      </c>
      <c r="H167" s="142" t="s">
        <v>53</v>
      </c>
      <c r="I167" s="27">
        <v>280</v>
      </c>
      <c r="J167" s="28">
        <v>31.8</v>
      </c>
      <c r="K167" s="29">
        <f t="shared" si="5"/>
        <v>6.004</v>
      </c>
      <c r="L167" s="142" t="s">
        <v>54</v>
      </c>
      <c r="M167" s="142" t="str">
        <f>VLOOKUP(L167,Packaging!$B$3:$C$21,2,0)</f>
        <v>290 X 200 X 140</v>
      </c>
      <c r="N167" s="10"/>
      <c r="O167" s="11">
        <v>30</v>
      </c>
      <c r="P167" s="11" t="s">
        <v>55</v>
      </c>
    </row>
    <row r="168" ht="17.25" spans="1:16">
      <c r="A168" s="7" t="s">
        <v>560</v>
      </c>
      <c r="B168" s="8" t="s">
        <v>561</v>
      </c>
      <c r="C168" s="12" t="s">
        <v>562</v>
      </c>
      <c r="D168" s="10" t="s">
        <v>52</v>
      </c>
      <c r="E168" s="18">
        <v>800</v>
      </c>
      <c r="F168" s="19"/>
      <c r="G168" s="20">
        <f t="shared" si="4"/>
        <v>91</v>
      </c>
      <c r="H168" s="142" t="s">
        <v>53</v>
      </c>
      <c r="I168" s="27">
        <v>280</v>
      </c>
      <c r="J168" s="28">
        <v>11.8</v>
      </c>
      <c r="K168" s="29">
        <f t="shared" si="5"/>
        <v>9.72</v>
      </c>
      <c r="L168" s="142" t="s">
        <v>54</v>
      </c>
      <c r="M168" s="142" t="str">
        <f>VLOOKUP(L168,Packaging!$B$3:$C$21,2,0)</f>
        <v>290 X 200 X 140</v>
      </c>
      <c r="N168" s="10"/>
      <c r="O168" s="11">
        <v>100</v>
      </c>
      <c r="P168" s="11" t="s">
        <v>55</v>
      </c>
    </row>
    <row r="169" ht="17.25" spans="1:16">
      <c r="A169" s="7" t="s">
        <v>563</v>
      </c>
      <c r="B169" s="8" t="s">
        <v>564</v>
      </c>
      <c r="C169" s="12" t="s">
        <v>565</v>
      </c>
      <c r="D169" s="10" t="s">
        <v>52</v>
      </c>
      <c r="E169" s="18">
        <v>5</v>
      </c>
      <c r="F169" s="19"/>
      <c r="G169" s="20">
        <f t="shared" si="4"/>
        <v>91</v>
      </c>
      <c r="H169" s="142" t="s">
        <v>53</v>
      </c>
      <c r="I169" s="27">
        <v>1216</v>
      </c>
      <c r="J169" s="28">
        <v>1642.2</v>
      </c>
      <c r="K169" s="29">
        <f t="shared" si="5"/>
        <v>9.427</v>
      </c>
      <c r="L169" s="142" t="s">
        <v>566</v>
      </c>
      <c r="M169" s="142" t="str">
        <f>VLOOKUP(L169,Packaging!$B$3:$C$21,2,0)</f>
        <v>455 X 445 X 375</v>
      </c>
      <c r="N169" s="10"/>
      <c r="O169" s="37">
        <v>1</v>
      </c>
      <c r="P169" s="11" t="s">
        <v>55</v>
      </c>
    </row>
    <row r="170" ht="17.25" spans="1:16">
      <c r="A170" s="7" t="s">
        <v>567</v>
      </c>
      <c r="B170" s="37">
        <v>926675</v>
      </c>
      <c r="C170" s="9" t="s">
        <v>568</v>
      </c>
      <c r="D170" s="11" t="s">
        <v>569</v>
      </c>
      <c r="E170" s="18">
        <v>1000</v>
      </c>
      <c r="F170" s="19"/>
      <c r="G170" s="20">
        <f t="shared" si="4"/>
        <v>91</v>
      </c>
      <c r="H170" s="11" t="s">
        <v>570</v>
      </c>
      <c r="I170" s="27">
        <v>280</v>
      </c>
      <c r="J170" s="28">
        <v>14.8</v>
      </c>
      <c r="K170" s="29">
        <f t="shared" si="5"/>
        <v>15.08</v>
      </c>
      <c r="L170" s="142" t="s">
        <v>54</v>
      </c>
      <c r="M170" s="142" t="str">
        <f>VLOOKUP(L170,Packaging!$B$3:$C$21,2,0)</f>
        <v>290 X 200 X 140</v>
      </c>
      <c r="N170" s="11"/>
      <c r="O170" s="11">
        <v>20</v>
      </c>
      <c r="P170" s="11" t="s">
        <v>55</v>
      </c>
    </row>
    <row r="171" ht="17.25" spans="1:16">
      <c r="A171" s="7" t="s">
        <v>571</v>
      </c>
      <c r="B171" s="37">
        <v>926680</v>
      </c>
      <c r="C171" s="9" t="s">
        <v>572</v>
      </c>
      <c r="D171" s="11" t="s">
        <v>569</v>
      </c>
      <c r="E171" s="18">
        <v>1000</v>
      </c>
      <c r="F171" s="19"/>
      <c r="G171" s="20">
        <f t="shared" si="4"/>
        <v>91</v>
      </c>
      <c r="H171" s="11" t="s">
        <v>570</v>
      </c>
      <c r="I171" s="27">
        <v>280</v>
      </c>
      <c r="J171" s="28">
        <v>14.8</v>
      </c>
      <c r="K171" s="29">
        <f t="shared" si="5"/>
        <v>15.08</v>
      </c>
      <c r="L171" s="142" t="s">
        <v>54</v>
      </c>
      <c r="M171" s="142" t="str">
        <f>VLOOKUP(L171,Packaging!$B$3:$C$21,2,0)</f>
        <v>290 X 200 X 140</v>
      </c>
      <c r="N171" s="11"/>
      <c r="O171" s="11">
        <v>20</v>
      </c>
      <c r="P171" s="11" t="s">
        <v>55</v>
      </c>
    </row>
    <row r="172" ht="17.25" spans="1:16">
      <c r="A172" s="7" t="s">
        <v>573</v>
      </c>
      <c r="B172" s="37">
        <v>940685</v>
      </c>
      <c r="C172" s="9" t="s">
        <v>574</v>
      </c>
      <c r="D172" s="11" t="s">
        <v>569</v>
      </c>
      <c r="E172" s="18">
        <v>1000</v>
      </c>
      <c r="F172" s="19"/>
      <c r="G172" s="20">
        <f t="shared" si="4"/>
        <v>91</v>
      </c>
      <c r="H172" s="11" t="s">
        <v>575</v>
      </c>
      <c r="I172" s="27">
        <v>280</v>
      </c>
      <c r="J172" s="28">
        <v>13.4</v>
      </c>
      <c r="K172" s="29">
        <f t="shared" si="5"/>
        <v>13.68</v>
      </c>
      <c r="L172" s="142" t="s">
        <v>54</v>
      </c>
      <c r="M172" s="142" t="str">
        <f>VLOOKUP(L172,Packaging!$B$3:$C$21,2,0)</f>
        <v>290 X 200 X 140</v>
      </c>
      <c r="N172" s="11"/>
      <c r="O172" s="11">
        <v>200</v>
      </c>
      <c r="P172" s="11" t="s">
        <v>55</v>
      </c>
    </row>
    <row r="173" ht="17.25" spans="1:16">
      <c r="A173" s="7" t="s">
        <v>576</v>
      </c>
      <c r="B173" s="37">
        <v>948914</v>
      </c>
      <c r="C173" s="9" t="s">
        <v>577</v>
      </c>
      <c r="D173" s="11" t="s">
        <v>569</v>
      </c>
      <c r="E173" s="18">
        <v>600</v>
      </c>
      <c r="F173" s="19"/>
      <c r="G173" s="20">
        <f t="shared" si="4"/>
        <v>91</v>
      </c>
      <c r="H173" s="11" t="s">
        <v>578</v>
      </c>
      <c r="I173" s="27">
        <v>280</v>
      </c>
      <c r="J173" s="28">
        <v>11.2</v>
      </c>
      <c r="K173" s="29">
        <f t="shared" si="5"/>
        <v>7</v>
      </c>
      <c r="L173" s="142" t="s">
        <v>54</v>
      </c>
      <c r="M173" s="142" t="str">
        <f>VLOOKUP(L173,Packaging!$B$3:$C$21,2,0)</f>
        <v>290 X 200 X 140</v>
      </c>
      <c r="N173" s="11"/>
      <c r="O173" s="11">
        <v>150</v>
      </c>
      <c r="P173" s="11" t="s">
        <v>55</v>
      </c>
    </row>
    <row r="174" ht="17.25" spans="1:16">
      <c r="A174" s="7" t="s">
        <v>579</v>
      </c>
      <c r="B174" s="11">
        <v>950261</v>
      </c>
      <c r="C174" s="9" t="s">
        <v>580</v>
      </c>
      <c r="D174" s="11" t="s">
        <v>569</v>
      </c>
      <c r="E174" s="18">
        <v>800</v>
      </c>
      <c r="F174" s="19"/>
      <c r="G174" s="20">
        <f t="shared" si="4"/>
        <v>91</v>
      </c>
      <c r="H174" s="11" t="s">
        <v>581</v>
      </c>
      <c r="I174" s="27">
        <v>280</v>
      </c>
      <c r="J174" s="28">
        <v>20</v>
      </c>
      <c r="K174" s="29">
        <f t="shared" si="5"/>
        <v>16.28</v>
      </c>
      <c r="L174" s="142" t="s">
        <v>54</v>
      </c>
      <c r="M174" s="142" t="str">
        <f>VLOOKUP(L174,Packaging!$B$3:$C$21,2,0)</f>
        <v>290 X 200 X 140</v>
      </c>
      <c r="N174" s="11"/>
      <c r="O174" s="11">
        <v>100</v>
      </c>
      <c r="P174" s="11" t="s">
        <v>55</v>
      </c>
    </row>
    <row r="175" ht="17.25" spans="1:16">
      <c r="A175" s="7" t="s">
        <v>582</v>
      </c>
      <c r="B175" s="11">
        <v>461077</v>
      </c>
      <c r="C175" s="9" t="s">
        <v>583</v>
      </c>
      <c r="D175" s="11" t="s">
        <v>569</v>
      </c>
      <c r="E175" s="18">
        <v>1000</v>
      </c>
      <c r="F175" s="19"/>
      <c r="G175" s="20">
        <f t="shared" si="4"/>
        <v>91</v>
      </c>
      <c r="H175" s="11" t="s">
        <v>53</v>
      </c>
      <c r="I175" s="27">
        <v>280</v>
      </c>
      <c r="J175" s="28">
        <v>4.8</v>
      </c>
      <c r="K175" s="29">
        <f t="shared" si="5"/>
        <v>5.08</v>
      </c>
      <c r="L175" s="142" t="s">
        <v>54</v>
      </c>
      <c r="M175" s="142" t="str">
        <f>VLOOKUP(L175,Packaging!$B$3:$C$21,2,0)</f>
        <v>290 X 200 X 140</v>
      </c>
      <c r="N175" s="11"/>
      <c r="O175" s="11">
        <v>250</v>
      </c>
      <c r="P175" s="11" t="s">
        <v>55</v>
      </c>
    </row>
    <row r="176" ht="17.25" spans="1:16">
      <c r="A176" s="7" t="s">
        <v>584</v>
      </c>
      <c r="B176" s="11">
        <v>949478</v>
      </c>
      <c r="C176" s="9" t="s">
        <v>585</v>
      </c>
      <c r="D176" s="11" t="s">
        <v>569</v>
      </c>
      <c r="E176" s="18">
        <v>1000</v>
      </c>
      <c r="F176" s="19"/>
      <c r="G176" s="20">
        <f t="shared" si="4"/>
        <v>91</v>
      </c>
      <c r="H176" s="39" t="s">
        <v>586</v>
      </c>
      <c r="I176" s="27"/>
      <c r="J176" s="28">
        <v>6.2</v>
      </c>
      <c r="K176" s="29">
        <f t="shared" si="5"/>
        <v>6.2</v>
      </c>
      <c r="L176" s="11"/>
      <c r="M176" s="21" t="e">
        <f>VLOOKUP(L176,Packaging!$B$3:$C$21,2,0)</f>
        <v>#N/A</v>
      </c>
      <c r="N176" s="11"/>
      <c r="O176" s="11"/>
      <c r="P176" s="11" t="s">
        <v>55</v>
      </c>
    </row>
    <row r="177" ht="17.25" spans="1:16">
      <c r="A177" s="7" t="s">
        <v>587</v>
      </c>
      <c r="B177" s="11">
        <v>947864</v>
      </c>
      <c r="C177" s="9" t="s">
        <v>580</v>
      </c>
      <c r="D177" s="11" t="s">
        <v>569</v>
      </c>
      <c r="E177" s="18">
        <v>540</v>
      </c>
      <c r="F177" s="19"/>
      <c r="G177" s="20">
        <f t="shared" si="4"/>
        <v>91</v>
      </c>
      <c r="H177" s="11" t="s">
        <v>588</v>
      </c>
      <c r="I177" s="27">
        <v>280</v>
      </c>
      <c r="J177" s="28">
        <v>42</v>
      </c>
      <c r="K177" s="29">
        <f t="shared" si="5"/>
        <v>22.96</v>
      </c>
      <c r="L177" s="142" t="s">
        <v>54</v>
      </c>
      <c r="M177" s="142" t="str">
        <f>VLOOKUP(L177,Packaging!$B$3:$C$21,2,0)</f>
        <v>290 X 200 X 140</v>
      </c>
      <c r="N177" s="11"/>
      <c r="O177" s="11">
        <v>20</v>
      </c>
      <c r="P177" s="11" t="s">
        <v>55</v>
      </c>
    </row>
    <row r="178" ht="17.25" spans="1:16">
      <c r="A178" s="7" t="s">
        <v>589</v>
      </c>
      <c r="B178" s="11">
        <v>944755</v>
      </c>
      <c r="C178" s="9" t="s">
        <v>590</v>
      </c>
      <c r="D178" s="11" t="s">
        <v>569</v>
      </c>
      <c r="E178" s="18">
        <v>1000</v>
      </c>
      <c r="F178" s="19"/>
      <c r="G178" s="20">
        <f t="shared" si="4"/>
        <v>91</v>
      </c>
      <c r="H178" s="11" t="s">
        <v>591</v>
      </c>
      <c r="I178" s="27">
        <v>280</v>
      </c>
      <c r="J178" s="28">
        <v>6.8</v>
      </c>
      <c r="K178" s="29">
        <f t="shared" si="5"/>
        <v>7.08</v>
      </c>
      <c r="L178" s="142" t="s">
        <v>54</v>
      </c>
      <c r="M178" s="142" t="str">
        <f>VLOOKUP(L178,Packaging!$B$3:$C$21,2,0)</f>
        <v>290 X 200 X 140</v>
      </c>
      <c r="N178" s="11"/>
      <c r="O178" s="11"/>
      <c r="P178" s="11" t="s">
        <v>55</v>
      </c>
    </row>
    <row r="179" ht="17.25" spans="1:16">
      <c r="A179" s="7" t="s">
        <v>592</v>
      </c>
      <c r="B179" s="38">
        <v>932975</v>
      </c>
      <c r="C179" s="9" t="s">
        <v>593</v>
      </c>
      <c r="D179" s="11" t="s">
        <v>569</v>
      </c>
      <c r="E179" s="18">
        <v>700</v>
      </c>
      <c r="F179" s="19"/>
      <c r="G179" s="20">
        <f t="shared" si="4"/>
        <v>91</v>
      </c>
      <c r="H179" s="11" t="s">
        <v>594</v>
      </c>
      <c r="I179" s="27">
        <v>280</v>
      </c>
      <c r="J179" s="28">
        <v>12.4</v>
      </c>
      <c r="K179" s="29">
        <f t="shared" si="5"/>
        <v>8.96</v>
      </c>
      <c r="L179" s="142" t="s">
        <v>54</v>
      </c>
      <c r="M179" s="142" t="str">
        <f>VLOOKUP(L179,Packaging!$B$3:$C$21,2,0)</f>
        <v>290 X 200 X 140</v>
      </c>
      <c r="N179" s="11"/>
      <c r="O179" s="11">
        <v>100</v>
      </c>
      <c r="P179" s="11" t="s">
        <v>55</v>
      </c>
    </row>
    <row r="180" ht="17.25" spans="1:16">
      <c r="A180" s="7" t="s">
        <v>595</v>
      </c>
      <c r="B180" s="11">
        <v>934155</v>
      </c>
      <c r="C180" s="9" t="s">
        <v>596</v>
      </c>
      <c r="D180" s="11" t="s">
        <v>569</v>
      </c>
      <c r="E180" s="18">
        <v>450</v>
      </c>
      <c r="F180" s="19"/>
      <c r="G180" s="20">
        <f t="shared" si="4"/>
        <v>91</v>
      </c>
      <c r="H180" s="11" t="s">
        <v>597</v>
      </c>
      <c r="I180" s="27">
        <v>278</v>
      </c>
      <c r="J180" s="28">
        <v>29.4</v>
      </c>
      <c r="K180" s="29">
        <f t="shared" si="5"/>
        <v>13.508</v>
      </c>
      <c r="L180" s="144" t="s">
        <v>161</v>
      </c>
      <c r="M180" s="142" t="str">
        <f>VLOOKUP(L180,Packaging!$B$3:$C$21,2,0)</f>
        <v>360 X 270 X 128</v>
      </c>
      <c r="N180" s="11"/>
      <c r="O180" s="11">
        <v>10</v>
      </c>
      <c r="P180" s="11" t="s">
        <v>55</v>
      </c>
    </row>
    <row r="181" ht="17.25" spans="1:16">
      <c r="A181" s="7" t="s">
        <v>598</v>
      </c>
      <c r="B181" s="11">
        <v>926820</v>
      </c>
      <c r="C181" s="9" t="s">
        <v>599</v>
      </c>
      <c r="D181" s="11" t="s">
        <v>569</v>
      </c>
      <c r="E181" s="18">
        <v>720</v>
      </c>
      <c r="F181" s="19"/>
      <c r="G181" s="20">
        <f t="shared" si="4"/>
        <v>91</v>
      </c>
      <c r="H181" s="11" t="s">
        <v>600</v>
      </c>
      <c r="I181" s="27">
        <v>278</v>
      </c>
      <c r="J181" s="28">
        <v>24.8</v>
      </c>
      <c r="K181" s="29">
        <f t="shared" si="5"/>
        <v>18.134</v>
      </c>
      <c r="L181" s="142" t="s">
        <v>274</v>
      </c>
      <c r="M181" s="142" t="str">
        <f>VLOOKUP(L181,Packaging!$B$3:$C$21,2,0)</f>
        <v>290 X 200 X 100</v>
      </c>
      <c r="N181" s="11"/>
      <c r="O181" s="11">
        <v>15</v>
      </c>
      <c r="P181" s="11" t="s">
        <v>55</v>
      </c>
    </row>
    <row r="182" ht="17.25" spans="1:16">
      <c r="A182" s="7" t="s">
        <v>601</v>
      </c>
      <c r="B182" s="11">
        <v>947929</v>
      </c>
      <c r="C182" s="9" t="s">
        <v>602</v>
      </c>
      <c r="D182" s="11" t="s">
        <v>569</v>
      </c>
      <c r="E182" s="18">
        <v>440</v>
      </c>
      <c r="F182" s="19"/>
      <c r="G182" s="20">
        <f t="shared" si="4"/>
        <v>91</v>
      </c>
      <c r="H182" s="11" t="s">
        <v>603</v>
      </c>
      <c r="I182" s="27">
        <v>280</v>
      </c>
      <c r="J182" s="28">
        <v>25.2</v>
      </c>
      <c r="K182" s="29">
        <f t="shared" si="5"/>
        <v>11.368</v>
      </c>
      <c r="L182" s="142" t="s">
        <v>54</v>
      </c>
      <c r="M182" s="142" t="str">
        <f>VLOOKUP(L182,Packaging!$B$3:$C$21,2,0)</f>
        <v>290 X 200 X 140</v>
      </c>
      <c r="N182" s="11"/>
      <c r="O182" s="11">
        <v>44</v>
      </c>
      <c r="P182" s="11" t="s">
        <v>55</v>
      </c>
    </row>
    <row r="183" ht="17.25" spans="1:16">
      <c r="A183" s="7" t="s">
        <v>604</v>
      </c>
      <c r="B183" s="11">
        <v>947930</v>
      </c>
      <c r="C183" s="9" t="s">
        <v>605</v>
      </c>
      <c r="D183" s="11" t="s">
        <v>569</v>
      </c>
      <c r="E183" s="18">
        <v>450</v>
      </c>
      <c r="F183" s="19"/>
      <c r="G183" s="20">
        <f t="shared" si="4"/>
        <v>91</v>
      </c>
      <c r="H183" s="11" t="s">
        <v>606</v>
      </c>
      <c r="I183" s="27">
        <v>280</v>
      </c>
      <c r="J183" s="28">
        <v>23</v>
      </c>
      <c r="K183" s="29">
        <f t="shared" si="5"/>
        <v>10.63</v>
      </c>
      <c r="L183" s="142" t="s">
        <v>54</v>
      </c>
      <c r="M183" s="142" t="str">
        <f>VLOOKUP(L183,Packaging!$B$3:$C$21,2,0)</f>
        <v>290 X 200 X 140</v>
      </c>
      <c r="N183" s="11"/>
      <c r="O183" s="11">
        <v>75</v>
      </c>
      <c r="P183" s="11" t="s">
        <v>55</v>
      </c>
    </row>
    <row r="184" ht="17.25" spans="1:16">
      <c r="A184" s="7" t="s">
        <v>607</v>
      </c>
      <c r="B184" s="11">
        <v>949667</v>
      </c>
      <c r="C184" s="9" t="s">
        <v>580</v>
      </c>
      <c r="D184" s="11" t="s">
        <v>569</v>
      </c>
      <c r="E184" s="18">
        <v>300</v>
      </c>
      <c r="F184" s="19"/>
      <c r="G184" s="20">
        <f t="shared" si="4"/>
        <v>91</v>
      </c>
      <c r="H184" s="11" t="s">
        <v>608</v>
      </c>
      <c r="I184" s="27">
        <v>280</v>
      </c>
      <c r="J184" s="28">
        <v>74</v>
      </c>
      <c r="K184" s="29">
        <f t="shared" si="5"/>
        <v>22.48</v>
      </c>
      <c r="L184" s="142" t="s">
        <v>54</v>
      </c>
      <c r="M184" s="142" t="str">
        <f>VLOOKUP(L184,Packaging!$B$3:$C$21,2,0)</f>
        <v>290 X 200 X 140</v>
      </c>
      <c r="N184" s="11"/>
      <c r="O184" s="11">
        <v>25</v>
      </c>
      <c r="P184" s="11" t="s">
        <v>55</v>
      </c>
    </row>
    <row r="185" ht="17.25" spans="1:16">
      <c r="A185" s="7" t="s">
        <v>609</v>
      </c>
      <c r="B185" s="11">
        <v>951103</v>
      </c>
      <c r="C185" s="9" t="s">
        <v>610</v>
      </c>
      <c r="D185" s="11" t="s">
        <v>569</v>
      </c>
      <c r="E185" s="18">
        <v>352</v>
      </c>
      <c r="F185" s="19"/>
      <c r="G185" s="20">
        <f t="shared" si="4"/>
        <v>91</v>
      </c>
      <c r="H185" s="11" t="s">
        <v>611</v>
      </c>
      <c r="I185" s="27">
        <v>280</v>
      </c>
      <c r="J185" s="28">
        <v>27.6</v>
      </c>
      <c r="K185" s="29">
        <f t="shared" si="5"/>
        <v>9.9952</v>
      </c>
      <c r="L185" s="142" t="s">
        <v>54</v>
      </c>
      <c r="M185" s="142" t="str">
        <f>VLOOKUP(L185,Packaging!$B$3:$C$21,2,0)</f>
        <v>290 X 200 X 140</v>
      </c>
      <c r="N185" s="11"/>
      <c r="O185" s="11">
        <v>44</v>
      </c>
      <c r="P185" s="11" t="s">
        <v>55</v>
      </c>
    </row>
    <row r="186" ht="17.25" spans="1:16">
      <c r="A186" s="7" t="s">
        <v>612</v>
      </c>
      <c r="B186" s="11">
        <v>951104</v>
      </c>
      <c r="C186" s="9" t="s">
        <v>613</v>
      </c>
      <c r="D186" s="11" t="s">
        <v>569</v>
      </c>
      <c r="E186" s="18">
        <v>450</v>
      </c>
      <c r="F186" s="19"/>
      <c r="G186" s="20">
        <f t="shared" si="4"/>
        <v>91</v>
      </c>
      <c r="H186" s="11" t="s">
        <v>614</v>
      </c>
      <c r="I186" s="27">
        <v>280</v>
      </c>
      <c r="J186" s="28">
        <v>25.4</v>
      </c>
      <c r="K186" s="29">
        <f t="shared" si="5"/>
        <v>11.71</v>
      </c>
      <c r="L186" s="142" t="s">
        <v>54</v>
      </c>
      <c r="M186" s="142" t="str">
        <f>VLOOKUP(L186,Packaging!$B$3:$C$21,2,0)</f>
        <v>290 X 200 X 140</v>
      </c>
      <c r="N186" s="11"/>
      <c r="O186" s="11"/>
      <c r="P186" s="11" t="s">
        <v>55</v>
      </c>
    </row>
    <row r="187" ht="17.25" spans="1:16">
      <c r="A187" s="7" t="s">
        <v>615</v>
      </c>
      <c r="B187" s="11">
        <v>953069</v>
      </c>
      <c r="C187" s="9" t="s">
        <v>616</v>
      </c>
      <c r="D187" s="11" t="s">
        <v>569</v>
      </c>
      <c r="E187" s="18">
        <v>100</v>
      </c>
      <c r="F187" s="19"/>
      <c r="G187" s="20">
        <f t="shared" si="4"/>
        <v>91</v>
      </c>
      <c r="H187" s="11" t="s">
        <v>617</v>
      </c>
      <c r="I187" s="27">
        <v>280</v>
      </c>
      <c r="J187" s="28">
        <v>131</v>
      </c>
      <c r="K187" s="29">
        <f t="shared" si="5"/>
        <v>13.38</v>
      </c>
      <c r="L187" s="142" t="s">
        <v>54</v>
      </c>
      <c r="M187" s="142" t="str">
        <f>VLOOKUP(L187,Packaging!$B$3:$C$21,2,0)</f>
        <v>290 X 200 X 140</v>
      </c>
      <c r="N187" s="11"/>
      <c r="O187" s="11">
        <v>5</v>
      </c>
      <c r="P187" s="11" t="s">
        <v>55</v>
      </c>
    </row>
    <row r="188" ht="17.25" spans="1:16">
      <c r="A188" s="7" t="s">
        <v>618</v>
      </c>
      <c r="B188" s="11">
        <v>937840</v>
      </c>
      <c r="C188" s="9" t="s">
        <v>619</v>
      </c>
      <c r="D188" s="11" t="s">
        <v>569</v>
      </c>
      <c r="E188" s="18">
        <v>450</v>
      </c>
      <c r="F188" s="19"/>
      <c r="G188" s="20">
        <f t="shared" si="4"/>
        <v>91</v>
      </c>
      <c r="H188" s="11" t="s">
        <v>620</v>
      </c>
      <c r="I188" s="27">
        <v>278</v>
      </c>
      <c r="J188" s="28">
        <v>32.6</v>
      </c>
      <c r="K188" s="29">
        <f t="shared" si="5"/>
        <v>14.948</v>
      </c>
      <c r="L188" s="144" t="s">
        <v>161</v>
      </c>
      <c r="M188" s="142" t="str">
        <f>VLOOKUP(L188,Packaging!$B$3:$C$21,2,0)</f>
        <v>360 X 270 X 128</v>
      </c>
      <c r="N188" s="11"/>
      <c r="O188" s="11">
        <v>10</v>
      </c>
      <c r="P188" s="11" t="s">
        <v>55</v>
      </c>
    </row>
    <row r="189" ht="17.25" spans="1:16">
      <c r="A189" s="7" t="s">
        <v>621</v>
      </c>
      <c r="B189" s="11">
        <v>951716</v>
      </c>
      <c r="C189" s="9" t="s">
        <v>622</v>
      </c>
      <c r="D189" s="11" t="s">
        <v>569</v>
      </c>
      <c r="E189" s="18">
        <v>20</v>
      </c>
      <c r="F189" s="19"/>
      <c r="G189" s="20">
        <f t="shared" si="4"/>
        <v>91</v>
      </c>
      <c r="H189" s="11" t="s">
        <v>623</v>
      </c>
      <c r="I189" s="27">
        <v>280</v>
      </c>
      <c r="J189" s="28">
        <v>208.8</v>
      </c>
      <c r="K189" s="29">
        <f t="shared" si="5"/>
        <v>4.456</v>
      </c>
      <c r="L189" s="142" t="s">
        <v>54</v>
      </c>
      <c r="M189" s="142" t="str">
        <f>VLOOKUP(L189,Packaging!$B$3:$C$21,2,0)</f>
        <v>290 X 200 X 140</v>
      </c>
      <c r="N189" s="11"/>
      <c r="O189" s="11">
        <v>2</v>
      </c>
      <c r="P189" s="11" t="s">
        <v>55</v>
      </c>
    </row>
    <row r="190" ht="17.25" spans="1:16">
      <c r="A190" s="7" t="s">
        <v>624</v>
      </c>
      <c r="B190" s="11">
        <v>951420</v>
      </c>
      <c r="C190" s="9" t="s">
        <v>625</v>
      </c>
      <c r="D190" s="11" t="s">
        <v>569</v>
      </c>
      <c r="E190" s="18">
        <v>1050</v>
      </c>
      <c r="F190" s="19"/>
      <c r="G190" s="20">
        <f t="shared" si="4"/>
        <v>91</v>
      </c>
      <c r="H190" s="11" t="s">
        <v>626</v>
      </c>
      <c r="I190" s="27">
        <v>280</v>
      </c>
      <c r="J190" s="28">
        <v>15</v>
      </c>
      <c r="K190" s="29">
        <f t="shared" si="5"/>
        <v>16.03</v>
      </c>
      <c r="L190" s="144" t="s">
        <v>54</v>
      </c>
      <c r="M190" s="142" t="str">
        <f>VLOOKUP(L190,Packaging!$B$3:$C$21,2,0)</f>
        <v>290 X 200 X 140</v>
      </c>
      <c r="N190" s="11"/>
      <c r="O190" s="11">
        <v>15</v>
      </c>
      <c r="P190" s="11" t="s">
        <v>55</v>
      </c>
    </row>
    <row r="191" ht="17.25" spans="1:16">
      <c r="A191" s="7" t="s">
        <v>627</v>
      </c>
      <c r="B191" s="11">
        <v>947833</v>
      </c>
      <c r="C191" s="9" t="s">
        <v>628</v>
      </c>
      <c r="D191" s="11" t="s">
        <v>569</v>
      </c>
      <c r="E191" s="18">
        <v>240</v>
      </c>
      <c r="F191" s="19"/>
      <c r="G191" s="20">
        <f t="shared" si="4"/>
        <v>91</v>
      </c>
      <c r="H191" s="11" t="s">
        <v>629</v>
      </c>
      <c r="I191" s="27">
        <v>280</v>
      </c>
      <c r="J191" s="28">
        <v>32.4</v>
      </c>
      <c r="K191" s="29">
        <f t="shared" si="5"/>
        <v>8.056</v>
      </c>
      <c r="L191" s="144" t="s">
        <v>54</v>
      </c>
      <c r="M191" s="142" t="str">
        <f>VLOOKUP(L191,Packaging!$B$3:$C$21,2,0)</f>
        <v>290 X 200 X 140</v>
      </c>
      <c r="N191" s="11"/>
      <c r="O191" s="11">
        <v>5</v>
      </c>
      <c r="P191" s="11" t="s">
        <v>55</v>
      </c>
    </row>
    <row r="192" ht="17.25" spans="1:16">
      <c r="A192" s="7" t="s">
        <v>630</v>
      </c>
      <c r="B192" s="11">
        <v>953712</v>
      </c>
      <c r="C192" s="9" t="s">
        <v>631</v>
      </c>
      <c r="D192" s="11" t="s">
        <v>569</v>
      </c>
      <c r="E192" s="18">
        <v>240</v>
      </c>
      <c r="F192" s="19"/>
      <c r="G192" s="20">
        <f t="shared" si="4"/>
        <v>91</v>
      </c>
      <c r="H192" s="11" t="s">
        <v>632</v>
      </c>
      <c r="I192" s="27">
        <v>280</v>
      </c>
      <c r="J192" s="28">
        <v>32</v>
      </c>
      <c r="K192" s="29">
        <f t="shared" si="5"/>
        <v>7.96</v>
      </c>
      <c r="L192" s="144" t="s">
        <v>54</v>
      </c>
      <c r="M192" s="142" t="str">
        <f>VLOOKUP(L192,Packaging!$B$3:$C$21,2,0)</f>
        <v>290 X 200 X 140</v>
      </c>
      <c r="N192" s="11"/>
      <c r="O192" s="11">
        <v>40</v>
      </c>
      <c r="P192" s="11" t="s">
        <v>55</v>
      </c>
    </row>
    <row r="193" ht="17.25" spans="1:16">
      <c r="A193" s="7" t="s">
        <v>633</v>
      </c>
      <c r="B193" s="11">
        <v>953649</v>
      </c>
      <c r="C193" s="9" t="s">
        <v>634</v>
      </c>
      <c r="D193" s="11" t="s">
        <v>569</v>
      </c>
      <c r="E193" s="18">
        <v>600</v>
      </c>
      <c r="F193" s="19"/>
      <c r="G193" s="20">
        <f t="shared" si="4"/>
        <v>91</v>
      </c>
      <c r="H193" s="11" t="s">
        <v>635</v>
      </c>
      <c r="I193" s="27"/>
      <c r="J193" s="28">
        <v>17.4</v>
      </c>
      <c r="K193" s="29">
        <f t="shared" si="5"/>
        <v>10.44</v>
      </c>
      <c r="L193" s="144" t="s">
        <v>54</v>
      </c>
      <c r="M193" s="142" t="str">
        <f>VLOOKUP(L193,Packaging!$B$3:$C$21,2,0)</f>
        <v>290 X 200 X 140</v>
      </c>
      <c r="N193" s="11"/>
      <c r="O193" s="11">
        <v>100</v>
      </c>
      <c r="P193" s="11" t="s">
        <v>55</v>
      </c>
    </row>
    <row r="194" ht="17.25" spans="1:16">
      <c r="A194" s="7" t="s">
        <v>636</v>
      </c>
      <c r="B194" s="11">
        <v>953650</v>
      </c>
      <c r="C194" s="9" t="s">
        <v>637</v>
      </c>
      <c r="D194" s="11" t="s">
        <v>569</v>
      </c>
      <c r="E194" s="18">
        <v>600</v>
      </c>
      <c r="F194" s="19"/>
      <c r="G194" s="20">
        <f t="shared" si="4"/>
        <v>91</v>
      </c>
      <c r="H194" s="11" t="s">
        <v>635</v>
      </c>
      <c r="I194" s="27"/>
      <c r="J194" s="28">
        <v>17.4</v>
      </c>
      <c r="K194" s="29">
        <f t="shared" si="5"/>
        <v>10.44</v>
      </c>
      <c r="L194" s="144" t="s">
        <v>54</v>
      </c>
      <c r="M194" s="142" t="str">
        <f>VLOOKUP(L194,Packaging!$B$3:$C$21,2,0)</f>
        <v>290 X 200 X 140</v>
      </c>
      <c r="N194" s="11"/>
      <c r="O194" s="11">
        <v>100</v>
      </c>
      <c r="P194" s="11" t="s">
        <v>55</v>
      </c>
    </row>
    <row r="195" ht="17.25" spans="1:16">
      <c r="A195" s="7" t="s">
        <v>638</v>
      </c>
      <c r="B195" s="11">
        <v>953652</v>
      </c>
      <c r="C195" s="9" t="s">
        <v>639</v>
      </c>
      <c r="D195" s="11" t="s">
        <v>569</v>
      </c>
      <c r="E195" s="18">
        <v>600</v>
      </c>
      <c r="F195" s="19"/>
      <c r="G195" s="20">
        <f t="shared" si="4"/>
        <v>91</v>
      </c>
      <c r="H195" s="11" t="s">
        <v>640</v>
      </c>
      <c r="I195" s="27"/>
      <c r="J195" s="28">
        <v>12.6</v>
      </c>
      <c r="K195" s="29">
        <f t="shared" si="5"/>
        <v>7.56</v>
      </c>
      <c r="L195" s="11"/>
      <c r="M195" s="21" t="e">
        <f>VLOOKUP(L195,Packaging!$B$3:$C$21,2,0)</f>
        <v>#N/A</v>
      </c>
      <c r="N195" s="11"/>
      <c r="O195" s="11">
        <v>100</v>
      </c>
      <c r="P195" s="11" t="s">
        <v>55</v>
      </c>
    </row>
    <row r="196" ht="17.25" spans="1:16">
      <c r="A196" s="7" t="s">
        <v>641</v>
      </c>
      <c r="B196" s="11">
        <v>953653</v>
      </c>
      <c r="C196" s="9" t="s">
        <v>642</v>
      </c>
      <c r="D196" s="11" t="s">
        <v>569</v>
      </c>
      <c r="E196" s="18">
        <v>150</v>
      </c>
      <c r="F196" s="19"/>
      <c r="G196" s="20">
        <f t="shared" si="4"/>
        <v>91</v>
      </c>
      <c r="H196" s="11" t="s">
        <v>643</v>
      </c>
      <c r="I196" s="27">
        <v>280</v>
      </c>
      <c r="J196" s="28">
        <v>20.8</v>
      </c>
      <c r="K196" s="29">
        <f t="shared" si="5"/>
        <v>3.4</v>
      </c>
      <c r="L196" s="142" t="s">
        <v>54</v>
      </c>
      <c r="M196" s="142" t="str">
        <f>VLOOKUP(L196,Packaging!$B$3:$C$21,2,0)</f>
        <v>290 X 200 X 140</v>
      </c>
      <c r="N196" s="11"/>
      <c r="O196" s="11">
        <v>30</v>
      </c>
      <c r="P196" s="11" t="s">
        <v>55</v>
      </c>
    </row>
    <row r="197" ht="17.25" spans="1:16">
      <c r="A197" s="7" t="s">
        <v>644</v>
      </c>
      <c r="B197" s="11">
        <v>953651</v>
      </c>
      <c r="C197" s="9" t="s">
        <v>645</v>
      </c>
      <c r="D197" s="11" t="s">
        <v>569</v>
      </c>
      <c r="E197" s="18">
        <v>250</v>
      </c>
      <c r="F197" s="19"/>
      <c r="G197" s="20">
        <f t="shared" ref="G197:G260" si="6">F197+91</f>
        <v>91</v>
      </c>
      <c r="H197" s="11" t="s">
        <v>646</v>
      </c>
      <c r="I197" s="27"/>
      <c r="J197" s="28">
        <v>70</v>
      </c>
      <c r="K197" s="29">
        <f t="shared" ref="K197:K260" si="7">(I197+(J197*E197))/1000</f>
        <v>17.5</v>
      </c>
      <c r="L197" s="11"/>
      <c r="M197" s="21" t="e">
        <f>VLOOKUP(L197,Packaging!$B$3:$C$21,2,0)</f>
        <v>#N/A</v>
      </c>
      <c r="N197" s="11"/>
      <c r="O197" s="11"/>
      <c r="P197" s="11" t="s">
        <v>55</v>
      </c>
    </row>
    <row r="198" ht="17.25" spans="1:16">
      <c r="A198" s="7" t="s">
        <v>647</v>
      </c>
      <c r="B198" s="11">
        <v>947863</v>
      </c>
      <c r="C198" s="9" t="s">
        <v>648</v>
      </c>
      <c r="D198" s="11" t="s">
        <v>569</v>
      </c>
      <c r="E198" s="18">
        <v>500</v>
      </c>
      <c r="F198" s="19"/>
      <c r="G198" s="20">
        <f t="shared" si="6"/>
        <v>91</v>
      </c>
      <c r="H198" s="11" t="s">
        <v>649</v>
      </c>
      <c r="I198" s="27">
        <v>280</v>
      </c>
      <c r="J198" s="28">
        <v>42.4</v>
      </c>
      <c r="K198" s="29">
        <f t="shared" si="7"/>
        <v>21.48</v>
      </c>
      <c r="L198" s="142" t="s">
        <v>54</v>
      </c>
      <c r="M198" s="142" t="str">
        <f>VLOOKUP(L198,Packaging!$B$3:$C$21,2,0)</f>
        <v>290 X 200 X 140</v>
      </c>
      <c r="N198" s="11"/>
      <c r="O198" s="11">
        <v>100</v>
      </c>
      <c r="P198" s="11" t="s">
        <v>55</v>
      </c>
    </row>
    <row r="199" ht="17.25" spans="1:16">
      <c r="A199" s="7" t="s">
        <v>650</v>
      </c>
      <c r="B199" s="11">
        <v>948391</v>
      </c>
      <c r="C199" s="9" t="s">
        <v>651</v>
      </c>
      <c r="D199" s="11" t="s">
        <v>569</v>
      </c>
      <c r="E199" s="18">
        <v>540</v>
      </c>
      <c r="F199" s="19"/>
      <c r="G199" s="20">
        <f t="shared" si="6"/>
        <v>91</v>
      </c>
      <c r="H199" s="11" t="s">
        <v>652</v>
      </c>
      <c r="I199" s="27">
        <v>280</v>
      </c>
      <c r="J199" s="28">
        <v>35.4</v>
      </c>
      <c r="K199" s="29">
        <f t="shared" si="7"/>
        <v>19.396</v>
      </c>
      <c r="L199" s="142" t="s">
        <v>54</v>
      </c>
      <c r="M199" s="142" t="str">
        <f>VLOOKUP(L199,Packaging!$B$3:$C$21,2,0)</f>
        <v>290 X 200 X 140</v>
      </c>
      <c r="N199" s="11"/>
      <c r="O199" s="11">
        <v>15</v>
      </c>
      <c r="P199" s="11" t="s">
        <v>55</v>
      </c>
    </row>
    <row r="200" ht="17.25" spans="1:16">
      <c r="A200" s="7" t="s">
        <v>653</v>
      </c>
      <c r="B200" s="11">
        <v>948415</v>
      </c>
      <c r="C200" s="9" t="s">
        <v>654</v>
      </c>
      <c r="D200" s="11" t="s">
        <v>569</v>
      </c>
      <c r="E200" s="18">
        <v>540</v>
      </c>
      <c r="F200" s="19"/>
      <c r="G200" s="20">
        <f t="shared" si="6"/>
        <v>91</v>
      </c>
      <c r="H200" s="11" t="s">
        <v>652</v>
      </c>
      <c r="I200" s="27">
        <v>280</v>
      </c>
      <c r="J200" s="28">
        <v>35.4</v>
      </c>
      <c r="K200" s="29">
        <f t="shared" si="7"/>
        <v>19.396</v>
      </c>
      <c r="L200" s="142" t="s">
        <v>54</v>
      </c>
      <c r="M200" s="142" t="str">
        <f>VLOOKUP(L200,Packaging!$B$3:$C$21,2,0)</f>
        <v>290 X 200 X 140</v>
      </c>
      <c r="N200" s="11"/>
      <c r="O200" s="11">
        <v>15</v>
      </c>
      <c r="P200" s="11" t="s">
        <v>55</v>
      </c>
    </row>
    <row r="201" ht="17.25" spans="1:16">
      <c r="A201" s="7" t="s">
        <v>655</v>
      </c>
      <c r="B201" s="11">
        <v>949806</v>
      </c>
      <c r="C201" s="9" t="s">
        <v>656</v>
      </c>
      <c r="D201" s="11" t="s">
        <v>569</v>
      </c>
      <c r="E201" s="18">
        <v>10</v>
      </c>
      <c r="F201" s="19"/>
      <c r="G201" s="20">
        <f t="shared" si="6"/>
        <v>91</v>
      </c>
      <c r="H201" s="11" t="s">
        <v>657</v>
      </c>
      <c r="I201" s="27"/>
      <c r="J201" s="28">
        <v>163.9</v>
      </c>
      <c r="K201" s="29">
        <f t="shared" si="7"/>
        <v>1.639</v>
      </c>
      <c r="L201" s="11" t="s">
        <v>658</v>
      </c>
      <c r="M201" s="21" t="e">
        <f>VLOOKUP(L201,Packaging!$B$3:$C$21,2,0)</f>
        <v>#N/A</v>
      </c>
      <c r="N201" s="11" t="s">
        <v>659</v>
      </c>
      <c r="O201" s="11">
        <v>10</v>
      </c>
      <c r="P201" s="11" t="s">
        <v>55</v>
      </c>
    </row>
    <row r="202" ht="17.25" spans="1:16">
      <c r="A202" s="7" t="s">
        <v>660</v>
      </c>
      <c r="B202" s="11">
        <v>949809</v>
      </c>
      <c r="C202" s="9" t="s">
        <v>661</v>
      </c>
      <c r="D202" s="11" t="s">
        <v>569</v>
      </c>
      <c r="E202" s="18">
        <v>10</v>
      </c>
      <c r="F202" s="19"/>
      <c r="G202" s="20">
        <f t="shared" si="6"/>
        <v>91</v>
      </c>
      <c r="H202" s="11" t="s">
        <v>662</v>
      </c>
      <c r="I202" s="27"/>
      <c r="J202" s="28">
        <v>310.2</v>
      </c>
      <c r="K202" s="29">
        <f t="shared" si="7"/>
        <v>3.102</v>
      </c>
      <c r="L202" s="11" t="s">
        <v>663</v>
      </c>
      <c r="M202" s="21" t="e">
        <f>VLOOKUP(L202,Packaging!$B$3:$C$21,2,0)</f>
        <v>#N/A</v>
      </c>
      <c r="N202" s="11" t="s">
        <v>659</v>
      </c>
      <c r="O202" s="11">
        <v>10</v>
      </c>
      <c r="P202" s="11" t="s">
        <v>55</v>
      </c>
    </row>
    <row r="203" ht="17.25" spans="1:16">
      <c r="A203" s="7" t="s">
        <v>664</v>
      </c>
      <c r="B203" s="11">
        <v>949805</v>
      </c>
      <c r="C203" s="9" t="s">
        <v>665</v>
      </c>
      <c r="D203" s="11" t="s">
        <v>569</v>
      </c>
      <c r="E203" s="18">
        <v>10</v>
      </c>
      <c r="F203" s="19"/>
      <c r="G203" s="20">
        <f t="shared" si="6"/>
        <v>91</v>
      </c>
      <c r="H203" s="11" t="s">
        <v>666</v>
      </c>
      <c r="I203" s="27"/>
      <c r="J203" s="28">
        <v>163</v>
      </c>
      <c r="K203" s="29">
        <f t="shared" si="7"/>
        <v>1.63</v>
      </c>
      <c r="L203" s="11" t="s">
        <v>663</v>
      </c>
      <c r="M203" s="21" t="e">
        <f>VLOOKUP(L203,Packaging!$B$3:$C$21,2,0)</f>
        <v>#N/A</v>
      </c>
      <c r="N203" s="11" t="s">
        <v>659</v>
      </c>
      <c r="O203" s="11">
        <v>10</v>
      </c>
      <c r="P203" s="11" t="s">
        <v>55</v>
      </c>
    </row>
    <row r="204" ht="17.25" spans="1:16">
      <c r="A204" s="7" t="s">
        <v>667</v>
      </c>
      <c r="B204" s="11">
        <v>953757</v>
      </c>
      <c r="C204" s="9" t="s">
        <v>668</v>
      </c>
      <c r="D204" s="11" t="s">
        <v>569</v>
      </c>
      <c r="E204" s="18"/>
      <c r="F204" s="19"/>
      <c r="G204" s="20">
        <f t="shared" si="6"/>
        <v>91</v>
      </c>
      <c r="H204" s="11" t="s">
        <v>669</v>
      </c>
      <c r="I204" s="27"/>
      <c r="J204" s="28">
        <v>44</v>
      </c>
      <c r="K204" s="29">
        <f t="shared" si="7"/>
        <v>0</v>
      </c>
      <c r="L204" s="11"/>
      <c r="M204" s="21" t="e">
        <f>VLOOKUP(L204,Packaging!$B$3:$C$21,2,0)</f>
        <v>#N/A</v>
      </c>
      <c r="N204" s="11"/>
      <c r="O204" s="11">
        <v>10</v>
      </c>
      <c r="P204" s="11" t="s">
        <v>55</v>
      </c>
    </row>
    <row r="205" ht="17.25" spans="1:16">
      <c r="A205" s="7" t="s">
        <v>670</v>
      </c>
      <c r="B205" s="11">
        <v>950587</v>
      </c>
      <c r="C205" s="9" t="s">
        <v>671</v>
      </c>
      <c r="D205" s="11" t="s">
        <v>569</v>
      </c>
      <c r="E205" s="18">
        <v>1000</v>
      </c>
      <c r="F205" s="19"/>
      <c r="G205" s="20">
        <f t="shared" si="6"/>
        <v>91</v>
      </c>
      <c r="H205" s="11" t="s">
        <v>672</v>
      </c>
      <c r="I205" s="27">
        <v>244</v>
      </c>
      <c r="J205" s="28">
        <v>10.8</v>
      </c>
      <c r="K205" s="29">
        <f t="shared" si="7"/>
        <v>11.044</v>
      </c>
      <c r="L205" s="144" t="s">
        <v>274</v>
      </c>
      <c r="M205" s="142" t="str">
        <f>VLOOKUP(L205,Packaging!$B$3:$C$21,2,0)</f>
        <v>290 X 200 X 100</v>
      </c>
      <c r="N205" s="11"/>
      <c r="O205" s="11">
        <v>250</v>
      </c>
      <c r="P205" s="11" t="s">
        <v>55</v>
      </c>
    </row>
    <row r="206" ht="17.25" spans="1:16">
      <c r="A206" s="7" t="s">
        <v>673</v>
      </c>
      <c r="B206" s="11">
        <v>950588</v>
      </c>
      <c r="C206" s="9" t="s">
        <v>674</v>
      </c>
      <c r="D206" s="11" t="s">
        <v>569</v>
      </c>
      <c r="E206" s="18">
        <v>1000</v>
      </c>
      <c r="F206" s="19"/>
      <c r="G206" s="20">
        <f t="shared" si="6"/>
        <v>91</v>
      </c>
      <c r="H206" s="11" t="s">
        <v>675</v>
      </c>
      <c r="I206" s="27">
        <v>244</v>
      </c>
      <c r="J206" s="28">
        <v>10.2</v>
      </c>
      <c r="K206" s="29">
        <f t="shared" si="7"/>
        <v>10.444</v>
      </c>
      <c r="L206" s="144" t="s">
        <v>274</v>
      </c>
      <c r="M206" s="142" t="str">
        <f>VLOOKUP(L206,Packaging!$B$3:$C$21,2,0)</f>
        <v>290 X 200 X 100</v>
      </c>
      <c r="N206" s="11"/>
      <c r="O206" s="11">
        <v>250</v>
      </c>
      <c r="P206" s="11" t="s">
        <v>55</v>
      </c>
    </row>
    <row r="207" ht="17.25" spans="1:16">
      <c r="A207" s="7" t="s">
        <v>676</v>
      </c>
      <c r="B207" s="11">
        <v>950589</v>
      </c>
      <c r="C207" s="9" t="s">
        <v>677</v>
      </c>
      <c r="D207" s="11" t="s">
        <v>569</v>
      </c>
      <c r="E207" s="18">
        <v>1000</v>
      </c>
      <c r="F207" s="19"/>
      <c r="G207" s="20">
        <f t="shared" si="6"/>
        <v>91</v>
      </c>
      <c r="H207" s="11" t="s">
        <v>678</v>
      </c>
      <c r="I207" s="27">
        <v>244</v>
      </c>
      <c r="J207" s="28">
        <v>8.8</v>
      </c>
      <c r="K207" s="29">
        <f t="shared" si="7"/>
        <v>9.044</v>
      </c>
      <c r="L207" s="144" t="s">
        <v>274</v>
      </c>
      <c r="M207" s="142" t="str">
        <f>VLOOKUP(L207,Packaging!$B$3:$C$21,2,0)</f>
        <v>290 X 200 X 100</v>
      </c>
      <c r="N207" s="11"/>
      <c r="O207" s="11">
        <v>250</v>
      </c>
      <c r="P207" s="11" t="s">
        <v>55</v>
      </c>
    </row>
    <row r="208" ht="17.25" spans="1:16">
      <c r="A208" s="7" t="s">
        <v>679</v>
      </c>
      <c r="B208" s="11">
        <v>950590</v>
      </c>
      <c r="C208" s="9" t="s">
        <v>680</v>
      </c>
      <c r="D208" s="11" t="s">
        <v>569</v>
      </c>
      <c r="E208" s="18">
        <v>1000</v>
      </c>
      <c r="F208" s="19"/>
      <c r="G208" s="20">
        <f t="shared" si="6"/>
        <v>91</v>
      </c>
      <c r="H208" s="11" t="s">
        <v>681</v>
      </c>
      <c r="I208" s="27">
        <v>244</v>
      </c>
      <c r="J208" s="28">
        <v>8.2</v>
      </c>
      <c r="K208" s="29">
        <f t="shared" si="7"/>
        <v>8.444</v>
      </c>
      <c r="L208" s="144" t="s">
        <v>274</v>
      </c>
      <c r="M208" s="142" t="str">
        <f>VLOOKUP(L208,Packaging!$B$3:$C$21,2,0)</f>
        <v>290 X 200 X 100</v>
      </c>
      <c r="N208" s="11"/>
      <c r="O208" s="11">
        <v>250</v>
      </c>
      <c r="P208" s="11" t="s">
        <v>55</v>
      </c>
    </row>
    <row r="209" ht="17.25" spans="1:16">
      <c r="A209" s="7" t="s">
        <v>682</v>
      </c>
      <c r="B209" s="11">
        <v>950591</v>
      </c>
      <c r="C209" s="9" t="s">
        <v>683</v>
      </c>
      <c r="D209" s="11" t="s">
        <v>569</v>
      </c>
      <c r="E209" s="18">
        <v>1000</v>
      </c>
      <c r="F209" s="19"/>
      <c r="G209" s="20">
        <f t="shared" si="6"/>
        <v>91</v>
      </c>
      <c r="H209" s="11" t="s">
        <v>684</v>
      </c>
      <c r="I209" s="27">
        <v>244</v>
      </c>
      <c r="J209" s="28">
        <v>8.2</v>
      </c>
      <c r="K209" s="29">
        <f t="shared" si="7"/>
        <v>8.444</v>
      </c>
      <c r="L209" s="144" t="s">
        <v>274</v>
      </c>
      <c r="M209" s="142" t="str">
        <f>VLOOKUP(L209,Packaging!$B$3:$C$21,2,0)</f>
        <v>290 X 200 X 100</v>
      </c>
      <c r="N209" s="11"/>
      <c r="O209" s="11">
        <v>250</v>
      </c>
      <c r="P209" s="11" t="s">
        <v>55</v>
      </c>
    </row>
    <row r="210" ht="17.25" spans="1:16">
      <c r="A210" s="7" t="s">
        <v>685</v>
      </c>
      <c r="B210" s="11">
        <v>952568</v>
      </c>
      <c r="C210" s="9" t="s">
        <v>686</v>
      </c>
      <c r="D210" s="11" t="s">
        <v>569</v>
      </c>
      <c r="E210" s="18">
        <v>1000</v>
      </c>
      <c r="F210" s="19"/>
      <c r="G210" s="20">
        <f t="shared" si="6"/>
        <v>91</v>
      </c>
      <c r="H210" s="11" t="s">
        <v>687</v>
      </c>
      <c r="I210" s="27">
        <v>244</v>
      </c>
      <c r="J210" s="28">
        <v>11.4</v>
      </c>
      <c r="K210" s="29">
        <f t="shared" si="7"/>
        <v>11.644</v>
      </c>
      <c r="L210" s="144" t="s">
        <v>274</v>
      </c>
      <c r="M210" s="142" t="str">
        <f>VLOOKUP(L210,Packaging!$B$3:$C$21,2,0)</f>
        <v>290 X 200 X 100</v>
      </c>
      <c r="N210" s="11"/>
      <c r="O210" s="11">
        <v>250</v>
      </c>
      <c r="P210" s="11" t="s">
        <v>55</v>
      </c>
    </row>
    <row r="211" ht="17.25" spans="1:16">
      <c r="A211" s="7" t="s">
        <v>688</v>
      </c>
      <c r="B211" s="11">
        <v>952566</v>
      </c>
      <c r="C211" s="9" t="s">
        <v>689</v>
      </c>
      <c r="D211" s="11" t="s">
        <v>569</v>
      </c>
      <c r="E211" s="18">
        <v>350</v>
      </c>
      <c r="F211" s="19"/>
      <c r="G211" s="20">
        <f t="shared" si="6"/>
        <v>91</v>
      </c>
      <c r="H211" s="11" t="s">
        <v>690</v>
      </c>
      <c r="I211" s="27">
        <v>280</v>
      </c>
      <c r="J211" s="28">
        <v>61.2</v>
      </c>
      <c r="K211" s="29">
        <f t="shared" si="7"/>
        <v>21.7</v>
      </c>
      <c r="L211" s="142" t="s">
        <v>54</v>
      </c>
      <c r="M211" s="142" t="str">
        <f>VLOOKUP(L211,Packaging!$B$3:$C$21,2,0)</f>
        <v>290 X 200 X 140</v>
      </c>
      <c r="N211" s="11"/>
      <c r="O211" s="11">
        <v>50</v>
      </c>
      <c r="P211" s="11" t="s">
        <v>55</v>
      </c>
    </row>
    <row r="212" ht="17.25" spans="1:16">
      <c r="A212" s="7" t="s">
        <v>691</v>
      </c>
      <c r="B212" s="11">
        <v>954190</v>
      </c>
      <c r="C212" s="9" t="s">
        <v>692</v>
      </c>
      <c r="D212" s="11" t="s">
        <v>569</v>
      </c>
      <c r="E212" s="18">
        <v>1000</v>
      </c>
      <c r="F212" s="19"/>
      <c r="G212" s="20">
        <f t="shared" si="6"/>
        <v>91</v>
      </c>
      <c r="H212" s="11" t="s">
        <v>693</v>
      </c>
      <c r="I212" s="27">
        <v>244</v>
      </c>
      <c r="J212" s="28">
        <v>11.6</v>
      </c>
      <c r="K212" s="29">
        <f t="shared" si="7"/>
        <v>11.844</v>
      </c>
      <c r="L212" s="144" t="s">
        <v>274</v>
      </c>
      <c r="M212" s="142" t="str">
        <f>VLOOKUP(L212,Packaging!$B$3:$C$21,2,0)</f>
        <v>290 X 200 X 100</v>
      </c>
      <c r="N212" s="11"/>
      <c r="O212" s="11">
        <v>250</v>
      </c>
      <c r="P212" s="11" t="s">
        <v>55</v>
      </c>
    </row>
    <row r="213" ht="17.25" spans="1:16">
      <c r="A213" s="7" t="s">
        <v>694</v>
      </c>
      <c r="B213" s="11">
        <v>954191</v>
      </c>
      <c r="C213" s="9" t="s">
        <v>695</v>
      </c>
      <c r="D213" s="11" t="s">
        <v>569</v>
      </c>
      <c r="E213" s="18">
        <v>1000</v>
      </c>
      <c r="F213" s="19"/>
      <c r="G213" s="20">
        <f t="shared" si="6"/>
        <v>91</v>
      </c>
      <c r="H213" s="11" t="s">
        <v>696</v>
      </c>
      <c r="I213" s="27">
        <v>244</v>
      </c>
      <c r="J213" s="28">
        <v>11.2</v>
      </c>
      <c r="K213" s="29">
        <f t="shared" si="7"/>
        <v>11.444</v>
      </c>
      <c r="L213" s="144" t="s">
        <v>274</v>
      </c>
      <c r="M213" s="142" t="str">
        <f>VLOOKUP(L213,Packaging!$B$3:$C$21,2,0)</f>
        <v>290 X 200 X 100</v>
      </c>
      <c r="N213" s="11"/>
      <c r="O213" s="11">
        <v>250</v>
      </c>
      <c r="P213" s="11" t="s">
        <v>55</v>
      </c>
    </row>
    <row r="214" ht="17.25" spans="1:16">
      <c r="A214" s="7" t="s">
        <v>697</v>
      </c>
      <c r="B214" s="11">
        <v>954192</v>
      </c>
      <c r="C214" s="9" t="s">
        <v>698</v>
      </c>
      <c r="D214" s="11" t="s">
        <v>569</v>
      </c>
      <c r="E214" s="18">
        <v>1000</v>
      </c>
      <c r="F214" s="19"/>
      <c r="G214" s="20">
        <f t="shared" si="6"/>
        <v>91</v>
      </c>
      <c r="H214" s="11" t="s">
        <v>699</v>
      </c>
      <c r="I214" s="27">
        <v>244</v>
      </c>
      <c r="J214" s="28">
        <v>10.4</v>
      </c>
      <c r="K214" s="29">
        <f t="shared" si="7"/>
        <v>10.644</v>
      </c>
      <c r="L214" s="144" t="s">
        <v>274</v>
      </c>
      <c r="M214" s="142" t="str">
        <f>VLOOKUP(L214,Packaging!$B$3:$C$21,2,0)</f>
        <v>290 X 200 X 100</v>
      </c>
      <c r="N214" s="11"/>
      <c r="O214" s="11">
        <v>250</v>
      </c>
      <c r="P214" s="11" t="s">
        <v>55</v>
      </c>
    </row>
    <row r="215" ht="17.25" spans="1:16">
      <c r="A215" s="7" t="s">
        <v>700</v>
      </c>
      <c r="B215" s="11">
        <v>954193</v>
      </c>
      <c r="C215" s="9" t="s">
        <v>701</v>
      </c>
      <c r="D215" s="11" t="s">
        <v>569</v>
      </c>
      <c r="E215" s="18">
        <v>1000</v>
      </c>
      <c r="F215" s="19"/>
      <c r="G215" s="20">
        <f t="shared" si="6"/>
        <v>91</v>
      </c>
      <c r="H215" s="11" t="s">
        <v>702</v>
      </c>
      <c r="I215" s="27">
        <v>244</v>
      </c>
      <c r="J215" s="28">
        <v>9.6</v>
      </c>
      <c r="K215" s="29">
        <f t="shared" si="7"/>
        <v>9.844</v>
      </c>
      <c r="L215" s="144" t="s">
        <v>274</v>
      </c>
      <c r="M215" s="142" t="str">
        <f>VLOOKUP(L215,Packaging!$B$3:$C$21,2,0)</f>
        <v>290 X 200 X 100</v>
      </c>
      <c r="N215" s="11"/>
      <c r="O215" s="11">
        <v>250</v>
      </c>
      <c r="P215" s="11" t="s">
        <v>55</v>
      </c>
    </row>
    <row r="216" ht="17.25" spans="1:16">
      <c r="A216" s="7" t="s">
        <v>703</v>
      </c>
      <c r="B216" s="11">
        <v>952772</v>
      </c>
      <c r="C216" s="9" t="s">
        <v>692</v>
      </c>
      <c r="D216" s="11" t="s">
        <v>569</v>
      </c>
      <c r="E216" s="18">
        <v>1000</v>
      </c>
      <c r="F216" s="19"/>
      <c r="G216" s="20">
        <f t="shared" si="6"/>
        <v>91</v>
      </c>
      <c r="H216" s="11" t="s">
        <v>704</v>
      </c>
      <c r="I216" s="27">
        <v>244</v>
      </c>
      <c r="J216" s="28">
        <v>12.6</v>
      </c>
      <c r="K216" s="29">
        <f t="shared" si="7"/>
        <v>12.844</v>
      </c>
      <c r="L216" s="144" t="s">
        <v>274</v>
      </c>
      <c r="M216" s="142" t="str">
        <f>VLOOKUP(L216,Packaging!$B$3:$C$21,2,0)</f>
        <v>290 X 200 X 100</v>
      </c>
      <c r="N216" s="11"/>
      <c r="O216" s="11">
        <v>250</v>
      </c>
      <c r="P216" s="11" t="s">
        <v>55</v>
      </c>
    </row>
    <row r="217" ht="17.25" spans="1:16">
      <c r="A217" s="7" t="s">
        <v>705</v>
      </c>
      <c r="B217" s="11">
        <v>952773</v>
      </c>
      <c r="C217" s="9" t="s">
        <v>706</v>
      </c>
      <c r="D217" s="11" t="s">
        <v>569</v>
      </c>
      <c r="E217" s="18">
        <v>1000</v>
      </c>
      <c r="F217" s="19"/>
      <c r="G217" s="20">
        <f t="shared" si="6"/>
        <v>91</v>
      </c>
      <c r="H217" s="11" t="s">
        <v>707</v>
      </c>
      <c r="I217" s="27">
        <v>244</v>
      </c>
      <c r="J217" s="28">
        <v>12.4</v>
      </c>
      <c r="K217" s="29">
        <f t="shared" si="7"/>
        <v>12.644</v>
      </c>
      <c r="L217" s="144" t="s">
        <v>274</v>
      </c>
      <c r="M217" s="142" t="str">
        <f>VLOOKUP(L217,Packaging!$B$3:$C$21,2,0)</f>
        <v>290 X 200 X 100</v>
      </c>
      <c r="N217" s="11"/>
      <c r="O217" s="11">
        <v>250</v>
      </c>
      <c r="P217" s="11" t="s">
        <v>55</v>
      </c>
    </row>
    <row r="218" ht="17.25" spans="1:16">
      <c r="A218" s="7" t="s">
        <v>708</v>
      </c>
      <c r="B218" s="11">
        <v>952774</v>
      </c>
      <c r="C218" s="9" t="s">
        <v>698</v>
      </c>
      <c r="D218" s="11" t="s">
        <v>569</v>
      </c>
      <c r="E218" s="18">
        <v>1000</v>
      </c>
      <c r="F218" s="19"/>
      <c r="G218" s="20">
        <f t="shared" si="6"/>
        <v>91</v>
      </c>
      <c r="H218" s="11" t="s">
        <v>709</v>
      </c>
      <c r="I218" s="27">
        <v>244</v>
      </c>
      <c r="J218" s="28">
        <v>11.6</v>
      </c>
      <c r="K218" s="29">
        <f t="shared" si="7"/>
        <v>11.844</v>
      </c>
      <c r="L218" s="144" t="s">
        <v>274</v>
      </c>
      <c r="M218" s="142" t="str">
        <f>VLOOKUP(L218,Packaging!$B$3:$C$21,2,0)</f>
        <v>290 X 200 X 100</v>
      </c>
      <c r="N218" s="11"/>
      <c r="O218" s="11">
        <v>250</v>
      </c>
      <c r="P218" s="11" t="s">
        <v>55</v>
      </c>
    </row>
    <row r="219" ht="17.25" spans="1:16">
      <c r="A219" s="7" t="s">
        <v>710</v>
      </c>
      <c r="B219" s="11">
        <v>952775</v>
      </c>
      <c r="C219" s="9" t="s">
        <v>711</v>
      </c>
      <c r="D219" s="11" t="s">
        <v>569</v>
      </c>
      <c r="E219" s="18">
        <v>1000</v>
      </c>
      <c r="F219" s="19"/>
      <c r="G219" s="20">
        <f t="shared" si="6"/>
        <v>91</v>
      </c>
      <c r="H219" s="11" t="s">
        <v>712</v>
      </c>
      <c r="I219" s="27">
        <v>244</v>
      </c>
      <c r="J219" s="28">
        <v>10.4</v>
      </c>
      <c r="K219" s="29">
        <f t="shared" si="7"/>
        <v>10.644</v>
      </c>
      <c r="L219" s="144" t="s">
        <v>274</v>
      </c>
      <c r="M219" s="142" t="str">
        <f>VLOOKUP(L219,Packaging!$B$3:$C$21,2,0)</f>
        <v>290 X 200 X 100</v>
      </c>
      <c r="N219" s="11"/>
      <c r="O219" s="11">
        <v>250</v>
      </c>
      <c r="P219" s="11" t="s">
        <v>55</v>
      </c>
    </row>
    <row r="220" ht="17.25" spans="1:16">
      <c r="A220" s="7" t="s">
        <v>713</v>
      </c>
      <c r="B220" s="11">
        <v>816717</v>
      </c>
      <c r="C220" s="9" t="s">
        <v>714</v>
      </c>
      <c r="D220" s="11" t="s">
        <v>569</v>
      </c>
      <c r="E220" s="18">
        <v>800</v>
      </c>
      <c r="F220" s="19"/>
      <c r="G220" s="20">
        <f t="shared" si="6"/>
        <v>91</v>
      </c>
      <c r="H220" s="11" t="s">
        <v>715</v>
      </c>
      <c r="I220" s="27">
        <v>244</v>
      </c>
      <c r="J220" s="28">
        <v>22.2</v>
      </c>
      <c r="K220" s="29">
        <f t="shared" si="7"/>
        <v>18.004</v>
      </c>
      <c r="L220" s="144" t="s">
        <v>274</v>
      </c>
      <c r="M220" s="142" t="str">
        <f>VLOOKUP(L220,Packaging!$B$3:$C$21,2,0)</f>
        <v>290 X 200 X 100</v>
      </c>
      <c r="N220" s="11"/>
      <c r="O220" s="11">
        <v>50</v>
      </c>
      <c r="P220" s="11" t="s">
        <v>55</v>
      </c>
    </row>
    <row r="221" ht="17.25" spans="1:16">
      <c r="A221" s="7" t="s">
        <v>716</v>
      </c>
      <c r="B221" s="11">
        <v>816718</v>
      </c>
      <c r="C221" s="9" t="s">
        <v>717</v>
      </c>
      <c r="D221" s="11" t="s">
        <v>569</v>
      </c>
      <c r="E221" s="18">
        <v>800</v>
      </c>
      <c r="F221" s="19"/>
      <c r="G221" s="20">
        <f t="shared" si="6"/>
        <v>91</v>
      </c>
      <c r="H221" s="11" t="s">
        <v>718</v>
      </c>
      <c r="I221" s="27">
        <v>244</v>
      </c>
      <c r="J221" s="28">
        <v>20.8</v>
      </c>
      <c r="K221" s="29">
        <f t="shared" si="7"/>
        <v>16.884</v>
      </c>
      <c r="L221" s="144" t="s">
        <v>274</v>
      </c>
      <c r="M221" s="142" t="str">
        <f>VLOOKUP(L221,Packaging!$B$3:$C$21,2,0)</f>
        <v>290 X 200 X 100</v>
      </c>
      <c r="N221" s="11"/>
      <c r="O221" s="11">
        <v>50</v>
      </c>
      <c r="P221" s="11" t="s">
        <v>55</v>
      </c>
    </row>
    <row r="222" ht="17.25" spans="1:16">
      <c r="A222" s="7" t="s">
        <v>719</v>
      </c>
      <c r="B222" s="11">
        <v>816719</v>
      </c>
      <c r="C222" s="9" t="s">
        <v>720</v>
      </c>
      <c r="D222" s="11" t="s">
        <v>569</v>
      </c>
      <c r="E222" s="18">
        <v>800</v>
      </c>
      <c r="F222" s="19"/>
      <c r="G222" s="20">
        <f t="shared" si="6"/>
        <v>91</v>
      </c>
      <c r="H222" s="11" t="s">
        <v>721</v>
      </c>
      <c r="I222" s="27">
        <v>244</v>
      </c>
      <c r="J222" s="28">
        <v>19.2</v>
      </c>
      <c r="K222" s="29">
        <f t="shared" si="7"/>
        <v>15.604</v>
      </c>
      <c r="L222" s="144" t="s">
        <v>274</v>
      </c>
      <c r="M222" s="142" t="str">
        <f>VLOOKUP(L222,Packaging!$B$3:$C$21,2,0)</f>
        <v>290 X 200 X 100</v>
      </c>
      <c r="N222" s="11"/>
      <c r="O222" s="11">
        <v>50</v>
      </c>
      <c r="P222" s="11" t="s">
        <v>55</v>
      </c>
    </row>
    <row r="223" ht="17.25" spans="1:16">
      <c r="A223" s="7" t="s">
        <v>722</v>
      </c>
      <c r="B223" s="11">
        <v>818042</v>
      </c>
      <c r="C223" s="9" t="s">
        <v>723</v>
      </c>
      <c r="D223" s="11" t="s">
        <v>569</v>
      </c>
      <c r="E223" s="18">
        <v>800</v>
      </c>
      <c r="F223" s="19"/>
      <c r="G223" s="20">
        <f t="shared" si="6"/>
        <v>91</v>
      </c>
      <c r="H223" s="11" t="s">
        <v>724</v>
      </c>
      <c r="I223" s="27">
        <v>244</v>
      </c>
      <c r="J223" s="28">
        <v>27.6</v>
      </c>
      <c r="K223" s="29">
        <f t="shared" si="7"/>
        <v>22.324</v>
      </c>
      <c r="L223" s="144" t="s">
        <v>274</v>
      </c>
      <c r="M223" s="142" t="str">
        <f>VLOOKUP(L223,Packaging!$B$3:$C$21,2,0)</f>
        <v>290 X 200 X 100</v>
      </c>
      <c r="N223" s="11"/>
      <c r="O223" s="11">
        <v>50</v>
      </c>
      <c r="P223" s="11" t="s">
        <v>55</v>
      </c>
    </row>
    <row r="224" ht="17.25" spans="1:16">
      <c r="A224" s="7" t="s">
        <v>725</v>
      </c>
      <c r="B224" s="11">
        <v>818043</v>
      </c>
      <c r="C224" s="9" t="s">
        <v>726</v>
      </c>
      <c r="D224" s="11" t="s">
        <v>569</v>
      </c>
      <c r="E224" s="18">
        <v>800</v>
      </c>
      <c r="F224" s="19"/>
      <c r="G224" s="20">
        <f t="shared" si="6"/>
        <v>91</v>
      </c>
      <c r="H224" s="11" t="s">
        <v>727</v>
      </c>
      <c r="I224" s="27">
        <v>244</v>
      </c>
      <c r="J224" s="28">
        <v>23.6</v>
      </c>
      <c r="K224" s="29">
        <f t="shared" si="7"/>
        <v>19.124</v>
      </c>
      <c r="L224" s="144" t="s">
        <v>274</v>
      </c>
      <c r="M224" s="142" t="str">
        <f>VLOOKUP(L224,Packaging!$B$3:$C$21,2,0)</f>
        <v>290 X 200 X 100</v>
      </c>
      <c r="N224" s="11"/>
      <c r="O224" s="11">
        <v>50</v>
      </c>
      <c r="P224" s="11" t="s">
        <v>55</v>
      </c>
    </row>
    <row r="225" ht="17.25" spans="1:16">
      <c r="A225" s="7" t="s">
        <v>728</v>
      </c>
      <c r="B225" s="11">
        <v>818677</v>
      </c>
      <c r="C225" s="9" t="s">
        <v>729</v>
      </c>
      <c r="D225" s="11" t="s">
        <v>569</v>
      </c>
      <c r="E225" s="18">
        <v>1000</v>
      </c>
      <c r="F225" s="19"/>
      <c r="G225" s="20">
        <f t="shared" si="6"/>
        <v>91</v>
      </c>
      <c r="H225" s="11" t="s">
        <v>730</v>
      </c>
      <c r="I225" s="27">
        <v>244</v>
      </c>
      <c r="J225" s="28">
        <v>13.2</v>
      </c>
      <c r="K225" s="29">
        <f t="shared" si="7"/>
        <v>13.444</v>
      </c>
      <c r="L225" s="144" t="s">
        <v>274</v>
      </c>
      <c r="M225" s="142" t="str">
        <f>VLOOKUP(L225,Packaging!$B$3:$C$21,2,0)</f>
        <v>290 X 200 X 100</v>
      </c>
      <c r="N225" s="11"/>
      <c r="O225" s="11">
        <v>250</v>
      </c>
      <c r="P225" s="11" t="s">
        <v>55</v>
      </c>
    </row>
    <row r="226" ht="17.25" spans="1:16">
      <c r="A226" s="7" t="s">
        <v>731</v>
      </c>
      <c r="B226" s="11">
        <v>818678</v>
      </c>
      <c r="C226" s="9" t="s">
        <v>695</v>
      </c>
      <c r="D226" s="11" t="s">
        <v>569</v>
      </c>
      <c r="E226" s="18">
        <v>1000</v>
      </c>
      <c r="F226" s="19"/>
      <c r="G226" s="20">
        <f t="shared" si="6"/>
        <v>91</v>
      </c>
      <c r="H226" s="11" t="s">
        <v>732</v>
      </c>
      <c r="I226" s="27">
        <v>244</v>
      </c>
      <c r="J226" s="28">
        <v>12.2</v>
      </c>
      <c r="K226" s="29">
        <f t="shared" si="7"/>
        <v>12.444</v>
      </c>
      <c r="L226" s="144" t="s">
        <v>274</v>
      </c>
      <c r="M226" s="142" t="str">
        <f>VLOOKUP(L226,Packaging!$B$3:$C$21,2,0)</f>
        <v>290 X 200 X 100</v>
      </c>
      <c r="N226" s="11"/>
      <c r="O226" s="11">
        <v>250</v>
      </c>
      <c r="P226" s="11" t="s">
        <v>55</v>
      </c>
    </row>
    <row r="227" ht="17.25" spans="1:16">
      <c r="A227" s="7" t="s">
        <v>733</v>
      </c>
      <c r="B227" s="11">
        <v>818679</v>
      </c>
      <c r="C227" s="9" t="s">
        <v>698</v>
      </c>
      <c r="D227" s="11" t="s">
        <v>569</v>
      </c>
      <c r="E227" s="18">
        <v>1000</v>
      </c>
      <c r="F227" s="19"/>
      <c r="G227" s="20">
        <f t="shared" si="6"/>
        <v>91</v>
      </c>
      <c r="H227" s="11" t="s">
        <v>734</v>
      </c>
      <c r="I227" s="27">
        <v>244</v>
      </c>
      <c r="J227" s="28">
        <v>12</v>
      </c>
      <c r="K227" s="29">
        <f t="shared" si="7"/>
        <v>12.244</v>
      </c>
      <c r="L227" s="144" t="s">
        <v>274</v>
      </c>
      <c r="M227" s="142" t="str">
        <f>VLOOKUP(L227,Packaging!$B$3:$C$21,2,0)</f>
        <v>290 X 200 X 100</v>
      </c>
      <c r="N227" s="11"/>
      <c r="O227" s="11">
        <v>250</v>
      </c>
      <c r="P227" s="11" t="s">
        <v>55</v>
      </c>
    </row>
    <row r="228" ht="17.25" spans="1:16">
      <c r="A228" s="7" t="s">
        <v>735</v>
      </c>
      <c r="B228" s="11">
        <v>818680</v>
      </c>
      <c r="C228" s="9" t="s">
        <v>701</v>
      </c>
      <c r="D228" s="11" t="s">
        <v>569</v>
      </c>
      <c r="E228" s="18">
        <v>1000</v>
      </c>
      <c r="F228" s="19"/>
      <c r="G228" s="20">
        <f t="shared" si="6"/>
        <v>91</v>
      </c>
      <c r="H228" s="11" t="s">
        <v>736</v>
      </c>
      <c r="I228" s="27">
        <v>244</v>
      </c>
      <c r="J228" s="28">
        <v>10.6</v>
      </c>
      <c r="K228" s="29">
        <f t="shared" si="7"/>
        <v>10.844</v>
      </c>
      <c r="L228" s="144" t="s">
        <v>274</v>
      </c>
      <c r="M228" s="142" t="str">
        <f>VLOOKUP(L228,Packaging!$B$3:$C$21,2,0)</f>
        <v>290 X 200 X 100</v>
      </c>
      <c r="N228" s="11"/>
      <c r="O228" s="11">
        <v>250</v>
      </c>
      <c r="P228" s="11" t="s">
        <v>55</v>
      </c>
    </row>
    <row r="229" ht="17.25" spans="1:16">
      <c r="A229" s="7" t="s">
        <v>737</v>
      </c>
      <c r="B229" s="11">
        <v>955981</v>
      </c>
      <c r="C229" s="9" t="s">
        <v>738</v>
      </c>
      <c r="D229" s="11" t="s">
        <v>569</v>
      </c>
      <c r="E229" s="18">
        <v>1000</v>
      </c>
      <c r="F229" s="19"/>
      <c r="G229" s="20">
        <f t="shared" si="6"/>
        <v>91</v>
      </c>
      <c r="H229" s="11" t="s">
        <v>739</v>
      </c>
      <c r="I229" s="27">
        <v>280</v>
      </c>
      <c r="J229" s="28">
        <v>3.5</v>
      </c>
      <c r="K229" s="29">
        <f t="shared" si="7"/>
        <v>3.78</v>
      </c>
      <c r="L229" s="142" t="s">
        <v>54</v>
      </c>
      <c r="M229" s="142" t="str">
        <f>VLOOKUP(L229,Packaging!$B$3:$C$21,2,0)</f>
        <v>290 X 200 X 140</v>
      </c>
      <c r="N229" s="11"/>
      <c r="O229" s="11">
        <v>200</v>
      </c>
      <c r="P229" s="11" t="s">
        <v>55</v>
      </c>
    </row>
    <row r="230" ht="17.25" spans="1:16">
      <c r="A230" s="7" t="s">
        <v>17</v>
      </c>
      <c r="B230" s="11">
        <v>955985</v>
      </c>
      <c r="C230" s="9" t="s">
        <v>740</v>
      </c>
      <c r="D230" s="11" t="s">
        <v>569</v>
      </c>
      <c r="E230" s="18">
        <v>1000</v>
      </c>
      <c r="F230" s="19"/>
      <c r="G230" s="20">
        <f t="shared" si="6"/>
        <v>91</v>
      </c>
      <c r="H230" s="11" t="s">
        <v>741</v>
      </c>
      <c r="I230" s="27">
        <v>280</v>
      </c>
      <c r="J230" s="28">
        <v>4.2</v>
      </c>
      <c r="K230" s="29">
        <f t="shared" si="7"/>
        <v>4.48</v>
      </c>
      <c r="L230" s="142" t="s">
        <v>54</v>
      </c>
      <c r="M230" s="142" t="str">
        <f>VLOOKUP(L230,Packaging!$B$3:$C$21,2,0)</f>
        <v>290 X 200 X 140</v>
      </c>
      <c r="N230" s="11"/>
      <c r="O230" s="11">
        <v>200</v>
      </c>
      <c r="P230" s="11" t="s">
        <v>55</v>
      </c>
    </row>
    <row r="231" ht="17.25" spans="1:16">
      <c r="A231" s="7" t="s">
        <v>742</v>
      </c>
      <c r="B231" s="11">
        <v>955989</v>
      </c>
      <c r="C231" s="9" t="s">
        <v>743</v>
      </c>
      <c r="D231" s="11" t="s">
        <v>569</v>
      </c>
      <c r="E231" s="18">
        <v>8</v>
      </c>
      <c r="F231" s="19"/>
      <c r="G231" s="20">
        <f t="shared" si="6"/>
        <v>91</v>
      </c>
      <c r="H231" s="11" t="s">
        <v>744</v>
      </c>
      <c r="I231" s="27"/>
      <c r="J231" s="28">
        <v>624.2</v>
      </c>
      <c r="K231" s="29">
        <f t="shared" si="7"/>
        <v>4.9936</v>
      </c>
      <c r="L231" s="11"/>
      <c r="M231" s="21" t="e">
        <f>VLOOKUP(L231,Packaging!$B$3:$C$21,2,0)</f>
        <v>#N/A</v>
      </c>
      <c r="N231" s="11"/>
      <c r="O231" s="11"/>
      <c r="P231" s="11" t="s">
        <v>55</v>
      </c>
    </row>
    <row r="232" ht="17.25" spans="1:16">
      <c r="A232" s="7" t="s">
        <v>745</v>
      </c>
      <c r="B232" s="11">
        <v>956052</v>
      </c>
      <c r="C232" s="9" t="s">
        <v>746</v>
      </c>
      <c r="D232" s="11" t="s">
        <v>569</v>
      </c>
      <c r="E232" s="18">
        <v>5</v>
      </c>
      <c r="F232" s="19"/>
      <c r="G232" s="20">
        <f t="shared" si="6"/>
        <v>91</v>
      </c>
      <c r="H232" s="11" t="s">
        <v>747</v>
      </c>
      <c r="I232" s="27">
        <v>766</v>
      </c>
      <c r="J232" s="28">
        <v>832.8</v>
      </c>
      <c r="K232" s="29">
        <f t="shared" si="7"/>
        <v>4.93</v>
      </c>
      <c r="L232" s="142" t="s">
        <v>72</v>
      </c>
      <c r="M232" s="142" t="str">
        <f>VLOOKUP(L232,Packaging!$B$3:$C$21,2,0)</f>
        <v>390 X 350 X 280</v>
      </c>
      <c r="N232" s="11"/>
      <c r="O232" s="11"/>
      <c r="P232" s="11" t="s">
        <v>55</v>
      </c>
    </row>
    <row r="233" ht="17.25" spans="1:16">
      <c r="A233" s="7" t="s">
        <v>748</v>
      </c>
      <c r="B233" s="11">
        <v>956004</v>
      </c>
      <c r="C233" s="9" t="s">
        <v>749</v>
      </c>
      <c r="D233" s="11" t="s">
        <v>569</v>
      </c>
      <c r="E233" s="18">
        <v>120</v>
      </c>
      <c r="F233" s="19"/>
      <c r="G233" s="20">
        <f t="shared" si="6"/>
        <v>91</v>
      </c>
      <c r="H233" s="11" t="s">
        <v>750</v>
      </c>
      <c r="I233" s="27">
        <v>280</v>
      </c>
      <c r="J233" s="28">
        <v>65.4</v>
      </c>
      <c r="K233" s="29">
        <f t="shared" si="7"/>
        <v>8.128</v>
      </c>
      <c r="L233" s="142" t="s">
        <v>54</v>
      </c>
      <c r="M233" s="142" t="str">
        <f>VLOOKUP(L233,Packaging!$B$3:$C$21,2,0)</f>
        <v>290 X 200 X 140</v>
      </c>
      <c r="N233" s="11"/>
      <c r="O233" s="11">
        <v>20</v>
      </c>
      <c r="P233" s="11" t="s">
        <v>55</v>
      </c>
    </row>
    <row r="234" ht="17.25" spans="1:16">
      <c r="A234" s="7" t="s">
        <v>751</v>
      </c>
      <c r="B234" s="11">
        <v>956213</v>
      </c>
      <c r="C234" s="9" t="s">
        <v>752</v>
      </c>
      <c r="D234" s="11" t="s">
        <v>569</v>
      </c>
      <c r="E234" s="18" t="s">
        <v>53</v>
      </c>
      <c r="F234" s="19"/>
      <c r="G234" s="20">
        <f t="shared" si="6"/>
        <v>91</v>
      </c>
      <c r="H234" s="11" t="s">
        <v>753</v>
      </c>
      <c r="I234" s="27"/>
      <c r="J234" s="28">
        <v>4.8</v>
      </c>
      <c r="K234" s="29" t="e">
        <f t="shared" si="7"/>
        <v>#VALUE!</v>
      </c>
      <c r="L234" s="11"/>
      <c r="M234" s="21" t="e">
        <f>VLOOKUP(L234,Packaging!$B$3:$C$21,2,0)</f>
        <v>#N/A</v>
      </c>
      <c r="N234" s="11"/>
      <c r="O234" s="11"/>
      <c r="P234" s="11" t="s">
        <v>55</v>
      </c>
    </row>
    <row r="235" ht="17.25" spans="1:16">
      <c r="A235" s="7" t="s">
        <v>754</v>
      </c>
      <c r="B235" s="11">
        <v>956399</v>
      </c>
      <c r="C235" s="9" t="s">
        <v>755</v>
      </c>
      <c r="D235" s="11" t="s">
        <v>569</v>
      </c>
      <c r="E235" s="18">
        <v>500</v>
      </c>
      <c r="F235" s="19"/>
      <c r="G235" s="20">
        <f t="shared" si="6"/>
        <v>91</v>
      </c>
      <c r="H235" s="11" t="s">
        <v>756</v>
      </c>
      <c r="I235" s="27">
        <v>280</v>
      </c>
      <c r="J235" s="28">
        <v>30</v>
      </c>
      <c r="K235" s="29">
        <f t="shared" si="7"/>
        <v>15.28</v>
      </c>
      <c r="L235" s="142" t="s">
        <v>54</v>
      </c>
      <c r="M235" s="142" t="str">
        <f>VLOOKUP(L235,Packaging!$B$3:$C$21,2,0)</f>
        <v>290 X 200 X 140</v>
      </c>
      <c r="N235" s="11"/>
      <c r="O235" s="11"/>
      <c r="P235" s="11" t="s">
        <v>55</v>
      </c>
    </row>
    <row r="236" ht="17.25" spans="1:16">
      <c r="A236" s="7" t="s">
        <v>757</v>
      </c>
      <c r="B236" s="11" t="s">
        <v>758</v>
      </c>
      <c r="C236" s="9" t="s">
        <v>759</v>
      </c>
      <c r="D236" s="11" t="s">
        <v>569</v>
      </c>
      <c r="E236" s="18">
        <v>20</v>
      </c>
      <c r="F236" s="19"/>
      <c r="G236" s="20">
        <f t="shared" si="6"/>
        <v>91</v>
      </c>
      <c r="H236" s="11" t="s">
        <v>760</v>
      </c>
      <c r="I236" s="27"/>
      <c r="J236" s="28">
        <v>161</v>
      </c>
      <c r="K236" s="29">
        <f t="shared" si="7"/>
        <v>3.22</v>
      </c>
      <c r="L236" s="11"/>
      <c r="M236" s="21" t="e">
        <f>VLOOKUP(L236,Packaging!$B$3:$C$21,2,0)</f>
        <v>#N/A</v>
      </c>
      <c r="N236" s="11" t="s">
        <v>761</v>
      </c>
      <c r="O236" s="11"/>
      <c r="P236" s="11" t="s">
        <v>55</v>
      </c>
    </row>
    <row r="237" ht="17.25" spans="1:16">
      <c r="A237" s="7" t="s">
        <v>762</v>
      </c>
      <c r="B237" s="11" t="s">
        <v>763</v>
      </c>
      <c r="C237" s="9" t="s">
        <v>764</v>
      </c>
      <c r="D237" s="11" t="s">
        <v>569</v>
      </c>
      <c r="E237" s="18" t="s">
        <v>53</v>
      </c>
      <c r="F237" s="19"/>
      <c r="G237" s="20">
        <f t="shared" si="6"/>
        <v>91</v>
      </c>
      <c r="H237" s="11" t="s">
        <v>765</v>
      </c>
      <c r="I237" s="27">
        <v>280</v>
      </c>
      <c r="J237" s="28">
        <v>10.8</v>
      </c>
      <c r="K237" s="29" t="e">
        <f t="shared" si="7"/>
        <v>#VALUE!</v>
      </c>
      <c r="L237" s="142" t="s">
        <v>54</v>
      </c>
      <c r="M237" s="142" t="str">
        <f>VLOOKUP(L237,Packaging!$B$3:$C$21,2,0)</f>
        <v>290 X 200 X 140</v>
      </c>
      <c r="N237" s="11"/>
      <c r="O237" s="11">
        <v>20</v>
      </c>
      <c r="P237" s="11" t="s">
        <v>55</v>
      </c>
    </row>
    <row r="238" ht="17.25" spans="1:16">
      <c r="A238" s="7" t="s">
        <v>766</v>
      </c>
      <c r="B238" s="11">
        <v>956423</v>
      </c>
      <c r="C238" s="9" t="s">
        <v>767</v>
      </c>
      <c r="D238" s="11" t="s">
        <v>569</v>
      </c>
      <c r="E238" s="18">
        <v>1000</v>
      </c>
      <c r="F238" s="19"/>
      <c r="G238" s="20">
        <f t="shared" si="6"/>
        <v>91</v>
      </c>
      <c r="H238" s="11" t="s">
        <v>768</v>
      </c>
      <c r="I238" s="27">
        <v>244</v>
      </c>
      <c r="J238" s="28">
        <v>12.6</v>
      </c>
      <c r="K238" s="29">
        <f t="shared" si="7"/>
        <v>12.844</v>
      </c>
      <c r="L238" s="144" t="s">
        <v>274</v>
      </c>
      <c r="M238" s="142" t="str">
        <f>VLOOKUP(L238,Packaging!$B$3:$C$21,2,0)</f>
        <v>290 X 200 X 100</v>
      </c>
      <c r="N238" s="11"/>
      <c r="O238" s="11">
        <v>250</v>
      </c>
      <c r="P238" s="11" t="s">
        <v>55</v>
      </c>
    </row>
    <row r="239" ht="17.25" spans="1:16">
      <c r="A239" s="7" t="s">
        <v>769</v>
      </c>
      <c r="B239" s="11">
        <v>956463</v>
      </c>
      <c r="C239" s="9" t="s">
        <v>770</v>
      </c>
      <c r="D239" s="11" t="s">
        <v>569</v>
      </c>
      <c r="E239" s="18">
        <v>1000</v>
      </c>
      <c r="F239" s="19"/>
      <c r="G239" s="20">
        <f t="shared" si="6"/>
        <v>91</v>
      </c>
      <c r="H239" s="11" t="s">
        <v>771</v>
      </c>
      <c r="I239" s="27">
        <v>244</v>
      </c>
      <c r="J239" s="28">
        <v>11.6</v>
      </c>
      <c r="K239" s="29">
        <f t="shared" si="7"/>
        <v>11.844</v>
      </c>
      <c r="L239" s="144" t="s">
        <v>274</v>
      </c>
      <c r="M239" s="142" t="str">
        <f>VLOOKUP(L239,Packaging!$B$3:$C$21,2,0)</f>
        <v>290 X 200 X 100</v>
      </c>
      <c r="N239" s="11"/>
      <c r="O239" s="11">
        <v>250</v>
      </c>
      <c r="P239" s="11" t="s">
        <v>55</v>
      </c>
    </row>
    <row r="240" ht="17.25" spans="1:16">
      <c r="A240" s="7" t="s">
        <v>772</v>
      </c>
      <c r="B240" s="37">
        <v>3000007326</v>
      </c>
      <c r="C240" s="13" t="s">
        <v>773</v>
      </c>
      <c r="D240" s="11" t="s">
        <v>569</v>
      </c>
      <c r="E240" s="18">
        <v>60</v>
      </c>
      <c r="F240" s="19"/>
      <c r="G240" s="20">
        <f t="shared" si="6"/>
        <v>91</v>
      </c>
      <c r="H240" s="11" t="s">
        <v>774</v>
      </c>
      <c r="I240" s="27">
        <v>280</v>
      </c>
      <c r="J240" s="28">
        <v>86</v>
      </c>
      <c r="K240" s="29">
        <f t="shared" si="7"/>
        <v>5.44</v>
      </c>
      <c r="L240" s="142" t="s">
        <v>54</v>
      </c>
      <c r="M240" s="142" t="str">
        <f>VLOOKUP(L240,Packaging!$B$3:$C$21,2,0)</f>
        <v>290 X 200 X 140</v>
      </c>
      <c r="N240" s="11"/>
      <c r="O240" s="11"/>
      <c r="P240" s="11" t="s">
        <v>55</v>
      </c>
    </row>
    <row r="241" ht="17.25" spans="1:16">
      <c r="A241" s="7" t="s">
        <v>775</v>
      </c>
      <c r="B241" s="11" t="s">
        <v>776</v>
      </c>
      <c r="C241" s="9" t="s">
        <v>777</v>
      </c>
      <c r="D241" s="11" t="s">
        <v>569</v>
      </c>
      <c r="E241" s="18">
        <v>30</v>
      </c>
      <c r="F241" s="19"/>
      <c r="G241" s="20">
        <f t="shared" si="6"/>
        <v>91</v>
      </c>
      <c r="H241" s="11" t="s">
        <v>778</v>
      </c>
      <c r="I241" s="27">
        <v>580</v>
      </c>
      <c r="J241" s="28">
        <v>512.4</v>
      </c>
      <c r="K241" s="29">
        <f t="shared" si="7"/>
        <v>15.952</v>
      </c>
      <c r="L241" s="144" t="s">
        <v>101</v>
      </c>
      <c r="M241" s="142" t="str">
        <f>VLOOKUP(L241,Packaging!$B$3:$C$21,2,0)</f>
        <v>1380 X 150 X 80</v>
      </c>
      <c r="N241" s="11"/>
      <c r="O241" s="11"/>
      <c r="P241" s="11" t="s">
        <v>55</v>
      </c>
    </row>
    <row r="242" ht="17.25" spans="1:16">
      <c r="A242" s="7" t="s">
        <v>779</v>
      </c>
      <c r="B242" s="11" t="s">
        <v>780</v>
      </c>
      <c r="C242" s="9" t="s">
        <v>781</v>
      </c>
      <c r="D242" s="11" t="s">
        <v>569</v>
      </c>
      <c r="E242" s="18">
        <v>100</v>
      </c>
      <c r="F242" s="19"/>
      <c r="G242" s="20">
        <f t="shared" si="6"/>
        <v>91</v>
      </c>
      <c r="H242" s="11" t="s">
        <v>782</v>
      </c>
      <c r="I242" s="27"/>
      <c r="J242" s="28">
        <v>217.2</v>
      </c>
      <c r="K242" s="29">
        <f t="shared" si="7"/>
        <v>21.72</v>
      </c>
      <c r="L242" s="11"/>
      <c r="M242" s="21" t="e">
        <f>VLOOKUP(L242,Packaging!$B$3:$C$21,2,0)</f>
        <v>#N/A</v>
      </c>
      <c r="N242" s="11"/>
      <c r="O242" s="11">
        <v>5</v>
      </c>
      <c r="P242" s="11" t="s">
        <v>55</v>
      </c>
    </row>
    <row r="243" ht="17.25" spans="1:16">
      <c r="A243" s="7" t="s">
        <v>783</v>
      </c>
      <c r="B243" s="11" t="s">
        <v>784</v>
      </c>
      <c r="C243" s="9" t="s">
        <v>785</v>
      </c>
      <c r="D243" s="11" t="s">
        <v>569</v>
      </c>
      <c r="E243" s="18">
        <v>400</v>
      </c>
      <c r="F243" s="19"/>
      <c r="G243" s="20">
        <f t="shared" si="6"/>
        <v>91</v>
      </c>
      <c r="H243" s="11" t="s">
        <v>786</v>
      </c>
      <c r="I243" s="27">
        <v>378</v>
      </c>
      <c r="J243" s="28">
        <v>13.8</v>
      </c>
      <c r="K243" s="29">
        <f t="shared" si="7"/>
        <v>5.898</v>
      </c>
      <c r="L243" s="144" t="s">
        <v>91</v>
      </c>
      <c r="M243" s="142" t="str">
        <f>VLOOKUP(L243,Packaging!$B$3:$C$21,2,0)</f>
        <v>400 X 240 X 130</v>
      </c>
      <c r="N243" s="11"/>
      <c r="O243" s="11">
        <v>50</v>
      </c>
      <c r="P243" s="11" t="s">
        <v>55</v>
      </c>
    </row>
    <row r="244" ht="17.25" spans="1:16">
      <c r="A244" s="7" t="s">
        <v>787</v>
      </c>
      <c r="B244" s="11" t="s">
        <v>788</v>
      </c>
      <c r="C244" s="9" t="s">
        <v>789</v>
      </c>
      <c r="D244" s="11" t="s">
        <v>569</v>
      </c>
      <c r="E244" s="18">
        <v>600</v>
      </c>
      <c r="F244" s="19"/>
      <c r="G244" s="20">
        <f t="shared" si="6"/>
        <v>91</v>
      </c>
      <c r="H244" s="11" t="s">
        <v>790</v>
      </c>
      <c r="I244" s="27"/>
      <c r="J244" s="28">
        <v>21.2</v>
      </c>
      <c r="K244" s="29">
        <f t="shared" si="7"/>
        <v>12.72</v>
      </c>
      <c r="L244" s="11"/>
      <c r="M244" s="21" t="e">
        <f>VLOOKUP(L244,Packaging!$B$3:$C$21,2,0)</f>
        <v>#N/A</v>
      </c>
      <c r="N244" s="11"/>
      <c r="O244" s="11"/>
      <c r="P244" s="11" t="s">
        <v>55</v>
      </c>
    </row>
    <row r="245" ht="17.25" spans="1:16">
      <c r="A245" s="7" t="s">
        <v>791</v>
      </c>
      <c r="B245" s="11" t="s">
        <v>792</v>
      </c>
      <c r="C245" s="9" t="s">
        <v>793</v>
      </c>
      <c r="D245" s="11" t="s">
        <v>569</v>
      </c>
      <c r="E245" s="18">
        <v>2000</v>
      </c>
      <c r="F245" s="19"/>
      <c r="G245" s="20">
        <f t="shared" si="6"/>
        <v>91</v>
      </c>
      <c r="H245" s="11" t="s">
        <v>794</v>
      </c>
      <c r="I245" s="27">
        <v>280</v>
      </c>
      <c r="J245" s="28">
        <v>1.6</v>
      </c>
      <c r="K245" s="29">
        <f t="shared" si="7"/>
        <v>3.48</v>
      </c>
      <c r="L245" s="144" t="s">
        <v>54</v>
      </c>
      <c r="M245" s="142" t="str">
        <f>VLOOKUP(L245,Packaging!$B$3:$C$21,2,0)</f>
        <v>290 X 200 X 140</v>
      </c>
      <c r="N245" s="11"/>
      <c r="O245" s="11">
        <v>250</v>
      </c>
      <c r="P245" s="11" t="s">
        <v>55</v>
      </c>
    </row>
    <row r="246" ht="17.25" spans="1:16">
      <c r="A246" s="7" t="s">
        <v>795</v>
      </c>
      <c r="B246" s="11" t="s">
        <v>796</v>
      </c>
      <c r="C246" s="9" t="s">
        <v>797</v>
      </c>
      <c r="D246" s="11" t="s">
        <v>569</v>
      </c>
      <c r="E246" s="18">
        <v>300</v>
      </c>
      <c r="F246" s="19"/>
      <c r="G246" s="20">
        <f t="shared" si="6"/>
        <v>91</v>
      </c>
      <c r="H246" s="11" t="s">
        <v>798</v>
      </c>
      <c r="I246" s="27">
        <v>280</v>
      </c>
      <c r="J246" s="28">
        <v>13.4</v>
      </c>
      <c r="K246" s="29">
        <f t="shared" si="7"/>
        <v>4.3</v>
      </c>
      <c r="L246" s="144" t="s">
        <v>54</v>
      </c>
      <c r="M246" s="142" t="str">
        <f>VLOOKUP(L246,Packaging!$B$3:$C$21,2,0)</f>
        <v>290 X 200 X 140</v>
      </c>
      <c r="N246" s="11"/>
      <c r="O246" s="11">
        <v>50</v>
      </c>
      <c r="P246" s="11" t="s">
        <v>55</v>
      </c>
    </row>
    <row r="247" ht="17.25" spans="1:16">
      <c r="A247" s="7" t="s">
        <v>799</v>
      </c>
      <c r="B247" s="11" t="s">
        <v>800</v>
      </c>
      <c r="C247" s="9" t="s">
        <v>801</v>
      </c>
      <c r="D247" s="11" t="s">
        <v>569</v>
      </c>
      <c r="E247" s="18">
        <v>20</v>
      </c>
      <c r="F247" s="19"/>
      <c r="G247" s="20">
        <f t="shared" si="6"/>
        <v>91</v>
      </c>
      <c r="H247" s="11" t="s">
        <v>802</v>
      </c>
      <c r="I247" s="27">
        <v>378</v>
      </c>
      <c r="J247" s="28">
        <v>185</v>
      </c>
      <c r="K247" s="29">
        <f t="shared" si="7"/>
        <v>4.078</v>
      </c>
      <c r="L247" s="144" t="s">
        <v>91</v>
      </c>
      <c r="M247" s="142" t="str">
        <f>VLOOKUP(L247,Packaging!$B$3:$C$21,2,0)</f>
        <v>400 X 240 X 130</v>
      </c>
      <c r="N247" s="11"/>
      <c r="O247" s="11">
        <v>2</v>
      </c>
      <c r="P247" s="11" t="s">
        <v>55</v>
      </c>
    </row>
    <row r="248" ht="17.25" spans="1:16">
      <c r="A248" s="7" t="s">
        <v>803</v>
      </c>
      <c r="B248" s="40">
        <v>813910</v>
      </c>
      <c r="C248" s="41" t="s">
        <v>804</v>
      </c>
      <c r="D248" s="11" t="s">
        <v>569</v>
      </c>
      <c r="E248" s="18"/>
      <c r="F248" s="19"/>
      <c r="G248" s="20">
        <f t="shared" si="6"/>
        <v>91</v>
      </c>
      <c r="H248" s="11">
        <v>813910</v>
      </c>
      <c r="I248" s="27">
        <v>244</v>
      </c>
      <c r="J248" s="28">
        <v>61</v>
      </c>
      <c r="K248" s="29">
        <f t="shared" si="7"/>
        <v>0.244</v>
      </c>
      <c r="L248" s="11"/>
      <c r="M248" s="21" t="e">
        <f>VLOOKUP(L248,Packaging!$B$3:$C$21,2,0)</f>
        <v>#N/A</v>
      </c>
      <c r="N248" s="11"/>
      <c r="O248" s="11">
        <v>5</v>
      </c>
      <c r="P248" s="11" t="s">
        <v>55</v>
      </c>
    </row>
    <row r="249" ht="17.25" spans="1:16">
      <c r="A249" s="7" t="s">
        <v>805</v>
      </c>
      <c r="B249" s="11" t="s">
        <v>806</v>
      </c>
      <c r="C249" s="9" t="s">
        <v>807</v>
      </c>
      <c r="D249" s="11" t="s">
        <v>569</v>
      </c>
      <c r="E249" s="18">
        <v>100</v>
      </c>
      <c r="F249" s="19"/>
      <c r="G249" s="20">
        <f t="shared" si="6"/>
        <v>91</v>
      </c>
      <c r="H249" s="11" t="s">
        <v>808</v>
      </c>
      <c r="I249" s="27"/>
      <c r="J249" s="28">
        <v>154</v>
      </c>
      <c r="K249" s="29">
        <f t="shared" si="7"/>
        <v>15.4</v>
      </c>
      <c r="L249" s="144" t="s">
        <v>91</v>
      </c>
      <c r="M249" s="142" t="str">
        <f>VLOOKUP(L249,Packaging!$B$3:$C$21,2,0)</f>
        <v>400 X 240 X 130</v>
      </c>
      <c r="N249" s="11"/>
      <c r="O249" s="11">
        <v>5</v>
      </c>
      <c r="P249" s="11" t="s">
        <v>55</v>
      </c>
    </row>
    <row r="250" ht="17.25" spans="1:16">
      <c r="A250" s="7" t="s">
        <v>809</v>
      </c>
      <c r="B250" s="11" t="s">
        <v>810</v>
      </c>
      <c r="C250" s="9" t="s">
        <v>811</v>
      </c>
      <c r="D250" s="11" t="s">
        <v>569</v>
      </c>
      <c r="E250" s="18">
        <v>180</v>
      </c>
      <c r="F250" s="19"/>
      <c r="G250" s="20">
        <f t="shared" si="6"/>
        <v>91</v>
      </c>
      <c r="H250" s="11" t="s">
        <v>812</v>
      </c>
      <c r="I250" s="27">
        <v>280</v>
      </c>
      <c r="J250" s="28">
        <v>98</v>
      </c>
      <c r="K250" s="29">
        <f t="shared" si="7"/>
        <v>17.92</v>
      </c>
      <c r="L250" s="144" t="s">
        <v>54</v>
      </c>
      <c r="M250" s="142" t="str">
        <f>VLOOKUP(L250,Packaging!$B$3:$C$21,2,0)</f>
        <v>290 X 200 X 140</v>
      </c>
      <c r="N250" s="11"/>
      <c r="O250" s="11"/>
      <c r="P250" s="11" t="s">
        <v>55</v>
      </c>
    </row>
    <row r="251" ht="17.25" spans="1:16">
      <c r="A251" s="7" t="s">
        <v>813</v>
      </c>
      <c r="B251" s="11" t="s">
        <v>814</v>
      </c>
      <c r="C251" s="9" t="s">
        <v>815</v>
      </c>
      <c r="D251" s="11" t="s">
        <v>569</v>
      </c>
      <c r="E251" s="18">
        <v>12</v>
      </c>
      <c r="F251" s="19"/>
      <c r="G251" s="20">
        <f t="shared" si="6"/>
        <v>91</v>
      </c>
      <c r="H251" s="11" t="s">
        <v>816</v>
      </c>
      <c r="I251" s="27"/>
      <c r="J251" s="28">
        <v>270</v>
      </c>
      <c r="K251" s="29">
        <f t="shared" si="7"/>
        <v>3.24</v>
      </c>
      <c r="L251" s="11"/>
      <c r="M251" s="21" t="e">
        <f>VLOOKUP(L251,Packaging!$B$3:$C$21,2,0)</f>
        <v>#N/A</v>
      </c>
      <c r="N251" s="11"/>
      <c r="O251" s="11"/>
      <c r="P251" s="11" t="s">
        <v>55</v>
      </c>
    </row>
    <row r="252" ht="17.25" spans="1:16">
      <c r="A252" s="7" t="s">
        <v>817</v>
      </c>
      <c r="B252" s="11">
        <v>951656</v>
      </c>
      <c r="C252" s="9" t="s">
        <v>818</v>
      </c>
      <c r="D252" s="11" t="s">
        <v>569</v>
      </c>
      <c r="E252" s="18">
        <v>540</v>
      </c>
      <c r="F252" s="19"/>
      <c r="G252" s="20">
        <f t="shared" si="6"/>
        <v>91</v>
      </c>
      <c r="H252" s="11" t="s">
        <v>652</v>
      </c>
      <c r="I252" s="27">
        <v>280</v>
      </c>
      <c r="J252" s="28">
        <v>35.4</v>
      </c>
      <c r="K252" s="29">
        <f t="shared" si="7"/>
        <v>19.396</v>
      </c>
      <c r="L252" s="144" t="s">
        <v>54</v>
      </c>
      <c r="M252" s="142" t="str">
        <f>VLOOKUP(L252,Packaging!$B$3:$C$21,2,0)</f>
        <v>290 X 200 X 140</v>
      </c>
      <c r="N252" s="11"/>
      <c r="O252" s="11">
        <v>15</v>
      </c>
      <c r="P252" s="11" t="s">
        <v>55</v>
      </c>
    </row>
    <row r="253" ht="17.25" spans="1:16">
      <c r="A253" s="7" t="s">
        <v>819</v>
      </c>
      <c r="B253" s="11">
        <v>951657</v>
      </c>
      <c r="C253" s="9" t="s">
        <v>820</v>
      </c>
      <c r="D253" s="11" t="s">
        <v>569</v>
      </c>
      <c r="E253" s="18">
        <v>540</v>
      </c>
      <c r="F253" s="19"/>
      <c r="G253" s="20">
        <f t="shared" si="6"/>
        <v>91</v>
      </c>
      <c r="H253" s="11" t="s">
        <v>652</v>
      </c>
      <c r="I253" s="27">
        <v>280</v>
      </c>
      <c r="J253" s="28">
        <v>35.4</v>
      </c>
      <c r="K253" s="29">
        <f t="shared" si="7"/>
        <v>19.396</v>
      </c>
      <c r="L253" s="144" t="s">
        <v>54</v>
      </c>
      <c r="M253" s="142" t="str">
        <f>VLOOKUP(L253,Packaging!$B$3:$C$21,2,0)</f>
        <v>290 X 200 X 140</v>
      </c>
      <c r="N253" s="11"/>
      <c r="O253" s="11">
        <v>15</v>
      </c>
      <c r="P253" s="11" t="s">
        <v>55</v>
      </c>
    </row>
    <row r="254" ht="17.25" spans="1:16">
      <c r="A254" s="7" t="s">
        <v>821</v>
      </c>
      <c r="B254" s="11">
        <v>3000003867</v>
      </c>
      <c r="C254" s="9" t="s">
        <v>822</v>
      </c>
      <c r="D254" s="11" t="s">
        <v>569</v>
      </c>
      <c r="E254" s="18">
        <v>28</v>
      </c>
      <c r="F254" s="19"/>
      <c r="G254" s="20">
        <f t="shared" si="6"/>
        <v>91</v>
      </c>
      <c r="H254" s="11" t="s">
        <v>823</v>
      </c>
      <c r="I254" s="27"/>
      <c r="J254" s="29">
        <v>1.064</v>
      </c>
      <c r="K254" s="29">
        <f t="shared" si="7"/>
        <v>0.029792</v>
      </c>
      <c r="L254" s="11"/>
      <c r="M254" s="21" t="e">
        <f>VLOOKUP(L254,Packaging!$B$3:$C$21,2,0)</f>
        <v>#N/A</v>
      </c>
      <c r="N254" s="11"/>
      <c r="O254" s="11"/>
      <c r="P254" s="11" t="s">
        <v>55</v>
      </c>
    </row>
    <row r="255" ht="17.25" spans="1:16">
      <c r="A255" s="7" t="s">
        <v>824</v>
      </c>
      <c r="B255" s="11">
        <v>3000004582</v>
      </c>
      <c r="C255" s="9" t="s">
        <v>825</v>
      </c>
      <c r="D255" s="11" t="s">
        <v>569</v>
      </c>
      <c r="E255" s="18">
        <v>5</v>
      </c>
      <c r="F255" s="19"/>
      <c r="G255" s="20">
        <f t="shared" si="6"/>
        <v>91</v>
      </c>
      <c r="H255" s="11" t="s">
        <v>826</v>
      </c>
      <c r="I255" s="27">
        <v>766</v>
      </c>
      <c r="J255" s="28">
        <v>1271.8</v>
      </c>
      <c r="K255" s="29">
        <f t="shared" si="7"/>
        <v>7.125</v>
      </c>
      <c r="L255" s="144" t="s">
        <v>72</v>
      </c>
      <c r="M255" s="142" t="str">
        <f>VLOOKUP(L255,Packaging!$B$3:$C$21,2,0)</f>
        <v>390 X 350 X 280</v>
      </c>
      <c r="N255" s="11"/>
      <c r="O255" s="11"/>
      <c r="P255" s="11" t="s">
        <v>55</v>
      </c>
    </row>
    <row r="256" ht="17.25" spans="1:16">
      <c r="A256" s="7" t="s">
        <v>827</v>
      </c>
      <c r="B256" s="11">
        <v>3000004578</v>
      </c>
      <c r="C256" s="9" t="s">
        <v>828</v>
      </c>
      <c r="D256" s="11" t="s">
        <v>569</v>
      </c>
      <c r="E256" s="18">
        <v>26</v>
      </c>
      <c r="F256" s="19"/>
      <c r="G256" s="20">
        <f t="shared" si="6"/>
        <v>91</v>
      </c>
      <c r="H256" s="11" t="s">
        <v>829</v>
      </c>
      <c r="I256" s="27">
        <v>280</v>
      </c>
      <c r="J256" s="28">
        <v>520.4</v>
      </c>
      <c r="K256" s="29">
        <f t="shared" si="7"/>
        <v>13.8104</v>
      </c>
      <c r="L256" s="144" t="s">
        <v>54</v>
      </c>
      <c r="M256" s="142" t="str">
        <f>VLOOKUP(L256,Packaging!$B$3:$C$21,2,0)</f>
        <v>290 X 200 X 140</v>
      </c>
      <c r="N256" s="11"/>
      <c r="O256" s="11"/>
      <c r="P256" s="11" t="s">
        <v>55</v>
      </c>
    </row>
    <row r="257" ht="17.25" spans="1:16">
      <c r="A257" s="7" t="s">
        <v>830</v>
      </c>
      <c r="B257" s="11">
        <v>3000004579</v>
      </c>
      <c r="C257" s="9" t="s">
        <v>831</v>
      </c>
      <c r="D257" s="11" t="s">
        <v>569</v>
      </c>
      <c r="E257" s="18">
        <v>70</v>
      </c>
      <c r="F257" s="19"/>
      <c r="G257" s="20">
        <f t="shared" si="6"/>
        <v>91</v>
      </c>
      <c r="H257" s="11" t="s">
        <v>832</v>
      </c>
      <c r="I257" s="27">
        <v>378</v>
      </c>
      <c r="J257" s="28">
        <v>210.4</v>
      </c>
      <c r="K257" s="29">
        <f t="shared" si="7"/>
        <v>15.106</v>
      </c>
      <c r="L257" s="144" t="s">
        <v>91</v>
      </c>
      <c r="M257" s="142" t="str">
        <f>VLOOKUP(L257,Packaging!$B$3:$C$21,2,0)</f>
        <v>400 X 240 X 130</v>
      </c>
      <c r="N257" s="11"/>
      <c r="O257" s="11">
        <v>5</v>
      </c>
      <c r="P257" s="11" t="s">
        <v>55</v>
      </c>
    </row>
    <row r="258" ht="17.25" spans="1:16">
      <c r="A258" s="7" t="s">
        <v>833</v>
      </c>
      <c r="B258" s="11">
        <v>3000004587</v>
      </c>
      <c r="C258" s="9" t="s">
        <v>834</v>
      </c>
      <c r="D258" s="11" t="s">
        <v>569</v>
      </c>
      <c r="E258" s="18">
        <v>12</v>
      </c>
      <c r="F258" s="19"/>
      <c r="G258" s="20">
        <f t="shared" si="6"/>
        <v>91</v>
      </c>
      <c r="H258" s="11" t="s">
        <v>835</v>
      </c>
      <c r="I258" s="27">
        <v>378</v>
      </c>
      <c r="J258" s="28">
        <v>164.6</v>
      </c>
      <c r="K258" s="29">
        <f t="shared" si="7"/>
        <v>2.3532</v>
      </c>
      <c r="L258" s="144" t="s">
        <v>91</v>
      </c>
      <c r="M258" s="142" t="str">
        <f>VLOOKUP(L258,Packaging!$B$3:$C$21,2,0)</f>
        <v>400 X 240 X 130</v>
      </c>
      <c r="N258" s="11"/>
      <c r="O258" s="11"/>
      <c r="P258" s="11" t="s">
        <v>55</v>
      </c>
    </row>
    <row r="259" ht="17.25" spans="1:16">
      <c r="A259" s="7" t="s">
        <v>836</v>
      </c>
      <c r="B259" s="11">
        <v>3000005012</v>
      </c>
      <c r="C259" s="9" t="s">
        <v>825</v>
      </c>
      <c r="D259" s="11" t="s">
        <v>569</v>
      </c>
      <c r="E259" s="18">
        <v>5</v>
      </c>
      <c r="F259" s="19"/>
      <c r="G259" s="20">
        <f t="shared" si="6"/>
        <v>91</v>
      </c>
      <c r="H259" s="11" t="s">
        <v>837</v>
      </c>
      <c r="I259" s="27">
        <v>766</v>
      </c>
      <c r="J259" s="47">
        <v>1.555</v>
      </c>
      <c r="K259" s="29">
        <f t="shared" si="7"/>
        <v>0.773775</v>
      </c>
      <c r="L259" s="144" t="s">
        <v>72</v>
      </c>
      <c r="M259" s="142" t="str">
        <f>VLOOKUP(L259,Packaging!$B$3:$C$21,2,0)</f>
        <v>390 X 350 X 280</v>
      </c>
      <c r="N259" s="11"/>
      <c r="O259" s="11"/>
      <c r="P259" s="11" t="s">
        <v>55</v>
      </c>
    </row>
    <row r="260" ht="17.25" spans="1:16">
      <c r="A260" s="7" t="s">
        <v>838</v>
      </c>
      <c r="B260" s="11">
        <v>3000004754</v>
      </c>
      <c r="C260" s="9" t="s">
        <v>839</v>
      </c>
      <c r="D260" s="11" t="s">
        <v>569</v>
      </c>
      <c r="E260" s="18">
        <v>100</v>
      </c>
      <c r="F260" s="19"/>
      <c r="G260" s="20">
        <f t="shared" si="6"/>
        <v>91</v>
      </c>
      <c r="H260" s="11" t="s">
        <v>840</v>
      </c>
      <c r="I260" s="27">
        <v>244</v>
      </c>
      <c r="J260" s="28">
        <v>11.2</v>
      </c>
      <c r="K260" s="29">
        <f t="shared" si="7"/>
        <v>1.364</v>
      </c>
      <c r="L260" s="11" t="s">
        <v>274</v>
      </c>
      <c r="M260" s="142" t="str">
        <f>VLOOKUP(L260,Packaging!$B$3:$C$21,2,0)</f>
        <v>290 X 200 X 100</v>
      </c>
      <c r="N260" s="11"/>
      <c r="O260" s="11">
        <v>10</v>
      </c>
      <c r="P260" s="11" t="s">
        <v>55</v>
      </c>
    </row>
    <row r="261" ht="17.25" spans="1:16">
      <c r="A261" s="7" t="s">
        <v>841</v>
      </c>
      <c r="B261" s="11">
        <v>3000005448</v>
      </c>
      <c r="C261" s="9" t="s">
        <v>842</v>
      </c>
      <c r="D261" s="11" t="s">
        <v>569</v>
      </c>
      <c r="E261" s="18">
        <v>70</v>
      </c>
      <c r="F261" s="19"/>
      <c r="G261" s="20">
        <f t="shared" ref="G261:G324" si="8">F261+91</f>
        <v>91</v>
      </c>
      <c r="H261" s="11" t="s">
        <v>843</v>
      </c>
      <c r="I261" s="27">
        <v>28</v>
      </c>
      <c r="J261" s="28">
        <v>65.2</v>
      </c>
      <c r="K261" s="29">
        <f t="shared" ref="K261:K324" si="9">(I261+(J261*E261))/1000</f>
        <v>4.592</v>
      </c>
      <c r="L261" s="144" t="s">
        <v>161</v>
      </c>
      <c r="M261" s="142" t="str">
        <f>VLOOKUP(L261,Packaging!$B$3:$C$21,2,0)</f>
        <v>360 X 270 X 128</v>
      </c>
      <c r="N261" s="11"/>
      <c r="O261" s="11"/>
      <c r="P261" s="11" t="s">
        <v>55</v>
      </c>
    </row>
    <row r="262" ht="17.25" spans="1:16">
      <c r="A262" s="7" t="s">
        <v>844</v>
      </c>
      <c r="B262" s="11">
        <v>3000005728</v>
      </c>
      <c r="C262" s="9" t="s">
        <v>845</v>
      </c>
      <c r="D262" s="11" t="s">
        <v>569</v>
      </c>
      <c r="E262" s="18">
        <v>440</v>
      </c>
      <c r="F262" s="19"/>
      <c r="G262" s="20">
        <f t="shared" si="8"/>
        <v>91</v>
      </c>
      <c r="H262" s="11" t="s">
        <v>846</v>
      </c>
      <c r="I262" s="27">
        <v>280</v>
      </c>
      <c r="J262" s="28">
        <v>26.4</v>
      </c>
      <c r="K262" s="29">
        <f t="shared" si="9"/>
        <v>11.896</v>
      </c>
      <c r="L262" s="11" t="s">
        <v>54</v>
      </c>
      <c r="M262" s="142" t="str">
        <f>VLOOKUP(L262,Packaging!$B$3:$C$21,2,0)</f>
        <v>290 X 200 X 140</v>
      </c>
      <c r="N262" s="11"/>
      <c r="O262" s="11">
        <v>44</v>
      </c>
      <c r="P262" s="11" t="s">
        <v>55</v>
      </c>
    </row>
    <row r="263" ht="17.25" spans="1:16">
      <c r="A263" s="7" t="s">
        <v>847</v>
      </c>
      <c r="B263" s="11">
        <v>3000005729</v>
      </c>
      <c r="C263" s="9" t="s">
        <v>613</v>
      </c>
      <c r="D263" s="11" t="s">
        <v>569</v>
      </c>
      <c r="E263" s="18">
        <v>450</v>
      </c>
      <c r="F263" s="19"/>
      <c r="G263" s="20">
        <f t="shared" si="8"/>
        <v>91</v>
      </c>
      <c r="H263" s="11" t="s">
        <v>848</v>
      </c>
      <c r="I263" s="27">
        <v>280</v>
      </c>
      <c r="J263" s="28">
        <v>24</v>
      </c>
      <c r="K263" s="29">
        <f t="shared" si="9"/>
        <v>11.08</v>
      </c>
      <c r="L263" s="11" t="s">
        <v>54</v>
      </c>
      <c r="M263" s="142" t="str">
        <f>VLOOKUP(L263,Packaging!$B$3:$C$21,2,0)</f>
        <v>290 X 200 X 140</v>
      </c>
      <c r="N263" s="11"/>
      <c r="O263" s="11">
        <v>75</v>
      </c>
      <c r="P263" s="11" t="s">
        <v>55</v>
      </c>
    </row>
    <row r="264" ht="17.25" spans="1:16">
      <c r="A264" s="7" t="s">
        <v>849</v>
      </c>
      <c r="B264" s="11">
        <v>3000005730</v>
      </c>
      <c r="C264" s="9" t="s">
        <v>850</v>
      </c>
      <c r="D264" s="11" t="s">
        <v>569</v>
      </c>
      <c r="E264" s="18">
        <v>250</v>
      </c>
      <c r="F264" s="19"/>
      <c r="G264" s="20">
        <f t="shared" si="8"/>
        <v>91</v>
      </c>
      <c r="H264" s="11" t="s">
        <v>851</v>
      </c>
      <c r="I264" s="27">
        <v>280</v>
      </c>
      <c r="J264" s="28">
        <v>52.2</v>
      </c>
      <c r="K264" s="29">
        <f t="shared" si="9"/>
        <v>13.33</v>
      </c>
      <c r="L264" s="11" t="s">
        <v>54</v>
      </c>
      <c r="M264" s="142" t="str">
        <f>VLOOKUP(L264,Packaging!$B$3:$C$21,2,0)</f>
        <v>290 X 200 X 140</v>
      </c>
      <c r="N264" s="11"/>
      <c r="O264" s="11">
        <v>50</v>
      </c>
      <c r="P264" s="11" t="s">
        <v>55</v>
      </c>
    </row>
    <row r="265" ht="17.25" spans="1:16">
      <c r="A265" s="7" t="s">
        <v>852</v>
      </c>
      <c r="B265" s="11" t="s">
        <v>853</v>
      </c>
      <c r="C265" s="9" t="s">
        <v>854</v>
      </c>
      <c r="D265" s="11" t="s">
        <v>569</v>
      </c>
      <c r="E265" s="18">
        <v>30</v>
      </c>
      <c r="F265" s="19"/>
      <c r="G265" s="20">
        <f t="shared" si="8"/>
        <v>91</v>
      </c>
      <c r="H265" s="11" t="s">
        <v>855</v>
      </c>
      <c r="I265" s="27">
        <v>580</v>
      </c>
      <c r="J265" s="28">
        <v>542.6</v>
      </c>
      <c r="K265" s="29">
        <f t="shared" si="9"/>
        <v>16.858</v>
      </c>
      <c r="L265" s="144" t="s">
        <v>101</v>
      </c>
      <c r="M265" s="142" t="str">
        <f>VLOOKUP(L265,Packaging!$B$3:$C$21,2,0)</f>
        <v>1380 X 150 X 80</v>
      </c>
      <c r="N265" s="11"/>
      <c r="O265" s="11"/>
      <c r="P265" s="11" t="s">
        <v>55</v>
      </c>
    </row>
    <row r="266" ht="17.25" spans="1:16">
      <c r="A266" s="7" t="s">
        <v>856</v>
      </c>
      <c r="B266" s="42">
        <v>3000001306</v>
      </c>
      <c r="C266" s="43" t="s">
        <v>773</v>
      </c>
      <c r="D266" s="42" t="s">
        <v>569</v>
      </c>
      <c r="E266" s="44">
        <v>60</v>
      </c>
      <c r="F266" s="45"/>
      <c r="G266" s="46">
        <f t="shared" si="8"/>
        <v>91</v>
      </c>
      <c r="H266" s="42">
        <v>3000001306</v>
      </c>
      <c r="I266" s="48">
        <v>280</v>
      </c>
      <c r="J266" s="49"/>
      <c r="K266" s="50">
        <f t="shared" si="9"/>
        <v>0.28</v>
      </c>
      <c r="L266" s="42" t="s">
        <v>54</v>
      </c>
      <c r="M266" s="145" t="str">
        <f>VLOOKUP(L266,Packaging!$B$3:$C$21,2,0)</f>
        <v>290 X 200 X 140</v>
      </c>
      <c r="N266" s="42" t="s">
        <v>857</v>
      </c>
      <c r="O266" s="11"/>
      <c r="P266" s="11" t="s">
        <v>55</v>
      </c>
    </row>
    <row r="267" ht="17.25" spans="1:16">
      <c r="A267" s="7" t="s">
        <v>858</v>
      </c>
      <c r="B267" s="11" t="s">
        <v>859</v>
      </c>
      <c r="C267" s="9" t="s">
        <v>860</v>
      </c>
      <c r="D267" s="11" t="s">
        <v>569</v>
      </c>
      <c r="E267" s="18">
        <v>40</v>
      </c>
      <c r="F267" s="19"/>
      <c r="G267" s="20">
        <f t="shared" si="8"/>
        <v>91</v>
      </c>
      <c r="H267" s="11" t="s">
        <v>861</v>
      </c>
      <c r="I267" s="27">
        <v>278</v>
      </c>
      <c r="J267" s="28">
        <v>153.5</v>
      </c>
      <c r="K267" s="29">
        <f t="shared" si="9"/>
        <v>6.418</v>
      </c>
      <c r="L267" s="144" t="s">
        <v>161</v>
      </c>
      <c r="M267" s="142" t="str">
        <f>VLOOKUP(L267,Packaging!$B$3:$C$21,2,0)</f>
        <v>360 X 270 X 128</v>
      </c>
      <c r="N267" s="11"/>
      <c r="O267" s="11">
        <v>2</v>
      </c>
      <c r="P267" s="11" t="s">
        <v>55</v>
      </c>
    </row>
    <row r="268" ht="17.25" spans="1:16">
      <c r="A268" s="7" t="s">
        <v>862</v>
      </c>
      <c r="B268" s="11">
        <v>949825</v>
      </c>
      <c r="C268" s="9" t="s">
        <v>863</v>
      </c>
      <c r="D268" s="11" t="s">
        <v>569</v>
      </c>
      <c r="E268" s="18">
        <v>600</v>
      </c>
      <c r="F268" s="19"/>
      <c r="G268" s="20">
        <f t="shared" si="8"/>
        <v>91</v>
      </c>
      <c r="H268" s="11" t="s">
        <v>864</v>
      </c>
      <c r="I268" s="27">
        <v>280</v>
      </c>
      <c r="J268" s="28">
        <v>20</v>
      </c>
      <c r="K268" s="29">
        <f t="shared" si="9"/>
        <v>12.28</v>
      </c>
      <c r="L268" s="11" t="s">
        <v>54</v>
      </c>
      <c r="M268" s="142" t="str">
        <f>VLOOKUP(L268,Packaging!$B$3:$C$21,2,0)</f>
        <v>290 X 200 X 140</v>
      </c>
      <c r="N268" s="11"/>
      <c r="O268" s="11">
        <v>100</v>
      </c>
      <c r="P268" s="11" t="s">
        <v>55</v>
      </c>
    </row>
    <row r="269" ht="17.25" spans="1:16">
      <c r="A269" s="7" t="s">
        <v>865</v>
      </c>
      <c r="B269" s="11" t="s">
        <v>866</v>
      </c>
      <c r="C269" s="9" t="s">
        <v>867</v>
      </c>
      <c r="D269" s="11" t="s">
        <v>569</v>
      </c>
      <c r="E269" s="18">
        <v>120</v>
      </c>
      <c r="F269" s="19"/>
      <c r="G269" s="20">
        <f t="shared" si="8"/>
        <v>91</v>
      </c>
      <c r="H269" s="11" t="s">
        <v>868</v>
      </c>
      <c r="I269" s="27">
        <v>378</v>
      </c>
      <c r="J269" s="28">
        <v>153.4</v>
      </c>
      <c r="K269" s="29">
        <f t="shared" si="9"/>
        <v>18.786</v>
      </c>
      <c r="L269" s="144" t="s">
        <v>91</v>
      </c>
      <c r="M269" s="142" t="str">
        <f>VLOOKUP(L269,Packaging!$B$3:$C$21,2,0)</f>
        <v>400 X 240 X 130</v>
      </c>
      <c r="N269" s="11"/>
      <c r="O269" s="11">
        <v>5</v>
      </c>
      <c r="P269" s="11" t="s">
        <v>55</v>
      </c>
    </row>
    <row r="270" ht="17.25" spans="1:16">
      <c r="A270" s="7" t="s">
        <v>869</v>
      </c>
      <c r="B270" s="11" t="s">
        <v>870</v>
      </c>
      <c r="C270" s="9" t="s">
        <v>871</v>
      </c>
      <c r="D270" s="11" t="s">
        <v>569</v>
      </c>
      <c r="E270" s="18">
        <v>120</v>
      </c>
      <c r="F270" s="19"/>
      <c r="G270" s="20">
        <f t="shared" si="8"/>
        <v>91</v>
      </c>
      <c r="H270" s="11" t="s">
        <v>868</v>
      </c>
      <c r="I270" s="27">
        <v>378</v>
      </c>
      <c r="J270" s="28">
        <v>153.4</v>
      </c>
      <c r="K270" s="29">
        <f t="shared" si="9"/>
        <v>18.786</v>
      </c>
      <c r="L270" s="144" t="s">
        <v>91</v>
      </c>
      <c r="M270" s="142" t="str">
        <f>VLOOKUP(L270,Packaging!$B$3:$C$21,2,0)</f>
        <v>400 X 240 X 130</v>
      </c>
      <c r="N270" s="11"/>
      <c r="O270" s="11">
        <v>5</v>
      </c>
      <c r="P270" s="11" t="s">
        <v>55</v>
      </c>
    </row>
    <row r="271" ht="17.25" spans="1:16">
      <c r="A271" s="7" t="s">
        <v>872</v>
      </c>
      <c r="B271" s="11" t="s">
        <v>873</v>
      </c>
      <c r="C271" s="9" t="s">
        <v>874</v>
      </c>
      <c r="D271" s="11" t="s">
        <v>569</v>
      </c>
      <c r="E271" s="18"/>
      <c r="F271" s="19"/>
      <c r="G271" s="20">
        <f t="shared" si="8"/>
        <v>91</v>
      </c>
      <c r="H271" s="11" t="s">
        <v>875</v>
      </c>
      <c r="I271" s="27"/>
      <c r="J271" s="28">
        <v>20</v>
      </c>
      <c r="K271" s="29">
        <f t="shared" si="9"/>
        <v>0</v>
      </c>
      <c r="L271" s="11"/>
      <c r="M271" s="21" t="e">
        <f>VLOOKUP(L271,Packaging!$B$3:$C$21,2,0)</f>
        <v>#N/A</v>
      </c>
      <c r="N271" s="11"/>
      <c r="O271" s="11"/>
      <c r="P271" s="11" t="s">
        <v>55</v>
      </c>
    </row>
    <row r="272" ht="17.25" spans="1:16">
      <c r="A272" s="7" t="s">
        <v>876</v>
      </c>
      <c r="B272" s="11">
        <v>953529</v>
      </c>
      <c r="C272" s="9" t="s">
        <v>877</v>
      </c>
      <c r="D272" s="11" t="s">
        <v>878</v>
      </c>
      <c r="E272" s="18">
        <v>200</v>
      </c>
      <c r="F272" s="19"/>
      <c r="G272" s="20">
        <f t="shared" si="8"/>
        <v>91</v>
      </c>
      <c r="H272" s="11" t="s">
        <v>879</v>
      </c>
      <c r="I272" s="27">
        <v>280</v>
      </c>
      <c r="J272" s="28">
        <v>74.7</v>
      </c>
      <c r="K272" s="29">
        <f t="shared" si="9"/>
        <v>15.22</v>
      </c>
      <c r="L272" s="144" t="s">
        <v>54</v>
      </c>
      <c r="M272" s="142" t="str">
        <f>VLOOKUP(L272,Packaging!$B$3:$C$21,2,0)</f>
        <v>290 X 200 X 140</v>
      </c>
      <c r="N272" s="11"/>
      <c r="O272" s="11">
        <v>5</v>
      </c>
      <c r="P272" s="11" t="s">
        <v>55</v>
      </c>
    </row>
    <row r="273" ht="17.25" spans="1:16">
      <c r="A273" s="7" t="s">
        <v>880</v>
      </c>
      <c r="B273" s="11">
        <v>953531</v>
      </c>
      <c r="C273" s="9" t="s">
        <v>881</v>
      </c>
      <c r="D273" s="11" t="s">
        <v>569</v>
      </c>
      <c r="E273" s="18"/>
      <c r="F273" s="19"/>
      <c r="G273" s="20">
        <f t="shared" si="8"/>
        <v>91</v>
      </c>
      <c r="H273" s="11" t="s">
        <v>882</v>
      </c>
      <c r="I273" s="27"/>
      <c r="J273" s="28">
        <v>212.4</v>
      </c>
      <c r="K273" s="29">
        <f t="shared" si="9"/>
        <v>0</v>
      </c>
      <c r="L273" s="11"/>
      <c r="M273" s="21" t="e">
        <f>VLOOKUP(L273,Packaging!$B$3:$C$21,2,0)</f>
        <v>#N/A</v>
      </c>
      <c r="N273" s="11"/>
      <c r="O273" s="11"/>
      <c r="P273" s="11" t="s">
        <v>55</v>
      </c>
    </row>
    <row r="274" ht="17.25" spans="1:16">
      <c r="A274" s="7" t="s">
        <v>883</v>
      </c>
      <c r="B274" s="11" t="s">
        <v>884</v>
      </c>
      <c r="C274" s="9" t="s">
        <v>885</v>
      </c>
      <c r="D274" s="11" t="s">
        <v>886</v>
      </c>
      <c r="E274" s="18">
        <v>16</v>
      </c>
      <c r="F274" s="19"/>
      <c r="G274" s="20">
        <f t="shared" si="8"/>
        <v>91</v>
      </c>
      <c r="H274" s="146" t="s">
        <v>53</v>
      </c>
      <c r="I274" s="27">
        <v>580</v>
      </c>
      <c r="J274" s="28">
        <v>1046.2</v>
      </c>
      <c r="K274" s="29">
        <f t="shared" si="9"/>
        <v>17.3192</v>
      </c>
      <c r="L274" s="144" t="s">
        <v>101</v>
      </c>
      <c r="M274" s="142" t="s">
        <v>887</v>
      </c>
      <c r="N274" s="11"/>
      <c r="O274" s="11"/>
      <c r="P274" s="11" t="s">
        <v>55</v>
      </c>
    </row>
    <row r="275" ht="17.25" spans="1:16">
      <c r="A275" s="7" t="s">
        <v>888</v>
      </c>
      <c r="B275" s="11" t="s">
        <v>889</v>
      </c>
      <c r="C275" s="9" t="s">
        <v>890</v>
      </c>
      <c r="D275" s="11" t="s">
        <v>886</v>
      </c>
      <c r="E275" s="18">
        <v>10</v>
      </c>
      <c r="F275" s="19"/>
      <c r="G275" s="20">
        <f t="shared" si="8"/>
        <v>91</v>
      </c>
      <c r="H275" s="146" t="s">
        <v>53</v>
      </c>
      <c r="I275" s="27">
        <v>134</v>
      </c>
      <c r="J275" s="28">
        <v>828.2</v>
      </c>
      <c r="K275" s="29">
        <f t="shared" si="9"/>
        <v>8.416</v>
      </c>
      <c r="L275" s="144" t="s">
        <v>891</v>
      </c>
      <c r="M275" s="142" t="str">
        <f>VLOOKUP(L275,Packaging!$B$3:$C$21,2,0)</f>
        <v>280 X 90 X 150</v>
      </c>
      <c r="N275" s="11"/>
      <c r="O275" s="11">
        <v>10</v>
      </c>
      <c r="P275" s="11" t="s">
        <v>55</v>
      </c>
    </row>
    <row r="276" ht="17.25" spans="1:16">
      <c r="A276" s="7" t="s">
        <v>892</v>
      </c>
      <c r="B276" s="11" t="s">
        <v>893</v>
      </c>
      <c r="C276" s="9" t="s">
        <v>894</v>
      </c>
      <c r="D276" s="11" t="s">
        <v>886</v>
      </c>
      <c r="E276" s="18">
        <v>10</v>
      </c>
      <c r="F276" s="19"/>
      <c r="G276" s="20">
        <f t="shared" si="8"/>
        <v>91</v>
      </c>
      <c r="H276" s="146" t="s">
        <v>53</v>
      </c>
      <c r="I276" s="27">
        <v>134</v>
      </c>
      <c r="J276" s="28">
        <v>824.6</v>
      </c>
      <c r="K276" s="29">
        <f t="shared" si="9"/>
        <v>8.38</v>
      </c>
      <c r="L276" s="144" t="s">
        <v>891</v>
      </c>
      <c r="M276" s="142" t="str">
        <f>VLOOKUP(L276,Packaging!$B$3:$C$21,2,0)</f>
        <v>280 X 90 X 150</v>
      </c>
      <c r="N276" s="11"/>
      <c r="O276" s="11">
        <v>10</v>
      </c>
      <c r="P276" s="11" t="s">
        <v>55</v>
      </c>
    </row>
    <row r="277" ht="17.25" spans="1:16">
      <c r="A277" s="7" t="s">
        <v>895</v>
      </c>
      <c r="B277" s="11" t="s">
        <v>896</v>
      </c>
      <c r="C277" s="9" t="s">
        <v>897</v>
      </c>
      <c r="D277" s="11" t="s">
        <v>886</v>
      </c>
      <c r="E277" s="18">
        <v>10</v>
      </c>
      <c r="F277" s="19"/>
      <c r="G277" s="20">
        <f t="shared" si="8"/>
        <v>91</v>
      </c>
      <c r="H277" s="146" t="s">
        <v>53</v>
      </c>
      <c r="I277" s="27"/>
      <c r="J277" s="28">
        <v>1287.8</v>
      </c>
      <c r="K277" s="29">
        <f t="shared" si="9"/>
        <v>12.878</v>
      </c>
      <c r="L277" s="11"/>
      <c r="M277" s="21" t="e">
        <f>VLOOKUP(L277,Packaging!$B$3:$C$21,2,0)</f>
        <v>#N/A</v>
      </c>
      <c r="N277" s="11"/>
      <c r="O277" s="11"/>
      <c r="P277" s="11" t="s">
        <v>55</v>
      </c>
    </row>
    <row r="278" ht="17.25" spans="1:16">
      <c r="A278" s="7" t="s">
        <v>898</v>
      </c>
      <c r="B278" s="11" t="s">
        <v>899</v>
      </c>
      <c r="C278" s="9" t="s">
        <v>900</v>
      </c>
      <c r="D278" s="11" t="s">
        <v>886</v>
      </c>
      <c r="E278" s="18">
        <v>100</v>
      </c>
      <c r="F278" s="19"/>
      <c r="G278" s="20">
        <f t="shared" si="8"/>
        <v>91</v>
      </c>
      <c r="H278" s="146" t="s">
        <v>53</v>
      </c>
      <c r="I278" s="27">
        <v>244</v>
      </c>
      <c r="J278" s="28">
        <v>112</v>
      </c>
      <c r="K278" s="29">
        <f t="shared" si="9"/>
        <v>11.444</v>
      </c>
      <c r="L278" s="144" t="s">
        <v>274</v>
      </c>
      <c r="M278" s="142" t="str">
        <f>VLOOKUP(L278,Packaging!$B$3:$C$21,2,0)</f>
        <v>290 X 200 X 100</v>
      </c>
      <c r="N278" s="11"/>
      <c r="O278" s="11">
        <v>10</v>
      </c>
      <c r="P278" s="11" t="s">
        <v>55</v>
      </c>
    </row>
    <row r="279" ht="17.25" spans="1:16">
      <c r="A279" s="7" t="s">
        <v>901</v>
      </c>
      <c r="B279" s="11" t="s">
        <v>902</v>
      </c>
      <c r="C279" s="9" t="s">
        <v>903</v>
      </c>
      <c r="D279" s="11" t="s">
        <v>886</v>
      </c>
      <c r="E279" s="18">
        <v>100</v>
      </c>
      <c r="F279" s="19"/>
      <c r="G279" s="20">
        <f t="shared" si="8"/>
        <v>91</v>
      </c>
      <c r="H279" s="146" t="s">
        <v>53</v>
      </c>
      <c r="I279" s="27">
        <v>244</v>
      </c>
      <c r="J279" s="28">
        <v>112.8</v>
      </c>
      <c r="K279" s="29">
        <f t="shared" si="9"/>
        <v>11.524</v>
      </c>
      <c r="L279" s="144" t="s">
        <v>274</v>
      </c>
      <c r="M279" s="142" t="str">
        <f>VLOOKUP(L279,Packaging!$B$3:$C$21,2,0)</f>
        <v>290 X 200 X 100</v>
      </c>
      <c r="N279" s="11"/>
      <c r="O279" s="11">
        <v>10</v>
      </c>
      <c r="P279" s="11" t="s">
        <v>55</v>
      </c>
    </row>
    <row r="280" ht="17.25" spans="1:16">
      <c r="A280" s="7" t="s">
        <v>904</v>
      </c>
      <c r="B280" s="11" t="s">
        <v>905</v>
      </c>
      <c r="C280" s="9" t="s">
        <v>906</v>
      </c>
      <c r="D280" s="11" t="s">
        <v>886</v>
      </c>
      <c r="E280" s="18">
        <v>100</v>
      </c>
      <c r="F280" s="19"/>
      <c r="G280" s="20">
        <f t="shared" si="8"/>
        <v>91</v>
      </c>
      <c r="H280" s="146" t="s">
        <v>53</v>
      </c>
      <c r="I280" s="27">
        <v>244</v>
      </c>
      <c r="J280" s="28">
        <v>114.2</v>
      </c>
      <c r="K280" s="29">
        <f t="shared" si="9"/>
        <v>11.664</v>
      </c>
      <c r="L280" s="144" t="s">
        <v>274</v>
      </c>
      <c r="M280" s="142" t="str">
        <f>VLOOKUP(L280,Packaging!$B$3:$C$21,2,0)</f>
        <v>290 X 200 X 100</v>
      </c>
      <c r="N280" s="11"/>
      <c r="O280" s="11">
        <v>5</v>
      </c>
      <c r="P280" s="11" t="s">
        <v>55</v>
      </c>
    </row>
    <row r="281" ht="17.25" spans="1:16">
      <c r="A281" s="7" t="s">
        <v>907</v>
      </c>
      <c r="B281" s="11" t="s">
        <v>908</v>
      </c>
      <c r="C281" s="9" t="s">
        <v>909</v>
      </c>
      <c r="D281" s="11" t="s">
        <v>886</v>
      </c>
      <c r="E281" s="18">
        <v>100</v>
      </c>
      <c r="F281" s="19"/>
      <c r="G281" s="20">
        <f t="shared" si="8"/>
        <v>91</v>
      </c>
      <c r="H281" s="146" t="s">
        <v>53</v>
      </c>
      <c r="I281" s="27">
        <v>244</v>
      </c>
      <c r="J281" s="28">
        <v>114.2</v>
      </c>
      <c r="K281" s="29">
        <f t="shared" si="9"/>
        <v>11.664</v>
      </c>
      <c r="L281" s="144" t="s">
        <v>274</v>
      </c>
      <c r="M281" s="142" t="str">
        <f>VLOOKUP(L281,Packaging!$B$3:$C$21,2,0)</f>
        <v>290 X 200 X 100</v>
      </c>
      <c r="N281" s="11"/>
      <c r="O281" s="11">
        <v>5</v>
      </c>
      <c r="P281" s="11" t="s">
        <v>55</v>
      </c>
    </row>
    <row r="282" ht="17.25" spans="1:16">
      <c r="A282" s="7" t="s">
        <v>910</v>
      </c>
      <c r="B282" s="11" t="s">
        <v>911</v>
      </c>
      <c r="C282" s="9" t="s">
        <v>912</v>
      </c>
      <c r="D282" s="11" t="s">
        <v>886</v>
      </c>
      <c r="E282" s="18">
        <v>14</v>
      </c>
      <c r="F282" s="19"/>
      <c r="G282" s="20">
        <f t="shared" si="8"/>
        <v>91</v>
      </c>
      <c r="H282" s="146" t="s">
        <v>53</v>
      </c>
      <c r="I282" s="27">
        <v>766</v>
      </c>
      <c r="J282" s="28">
        <v>504</v>
      </c>
      <c r="K282" s="29">
        <f t="shared" si="9"/>
        <v>7.822</v>
      </c>
      <c r="L282" s="144" t="s">
        <v>72</v>
      </c>
      <c r="M282" s="142" t="str">
        <f>VLOOKUP(L282,Packaging!$B$3:$C$21,2,0)</f>
        <v>390 X 350 X 280</v>
      </c>
      <c r="N282" s="11"/>
      <c r="O282" s="11">
        <v>14</v>
      </c>
      <c r="P282" s="11" t="s">
        <v>55</v>
      </c>
    </row>
    <row r="283" ht="17.25" spans="1:16">
      <c r="A283" s="7" t="s">
        <v>913</v>
      </c>
      <c r="B283" s="11" t="s">
        <v>914</v>
      </c>
      <c r="C283" s="9" t="s">
        <v>915</v>
      </c>
      <c r="D283" s="11" t="s">
        <v>886</v>
      </c>
      <c r="E283" s="18">
        <v>200</v>
      </c>
      <c r="F283" s="19"/>
      <c r="G283" s="20">
        <f t="shared" si="8"/>
        <v>91</v>
      </c>
      <c r="H283" s="146" t="s">
        <v>53</v>
      </c>
      <c r="I283" s="27">
        <v>280</v>
      </c>
      <c r="J283" s="28">
        <v>32</v>
      </c>
      <c r="K283" s="29">
        <f t="shared" si="9"/>
        <v>6.68</v>
      </c>
      <c r="L283" s="144" t="s">
        <v>54</v>
      </c>
      <c r="M283" s="142" t="str">
        <f>VLOOKUP(L283,Packaging!$B$3:$C$21,2,0)</f>
        <v>290 X 200 X 140</v>
      </c>
      <c r="N283" s="11"/>
      <c r="O283" s="11">
        <v>200</v>
      </c>
      <c r="P283" s="11" t="s">
        <v>55</v>
      </c>
    </row>
    <row r="284" ht="17.25" spans="1:16">
      <c r="A284" s="7" t="s">
        <v>916</v>
      </c>
      <c r="B284" s="11" t="s">
        <v>917</v>
      </c>
      <c r="C284" s="9" t="s">
        <v>918</v>
      </c>
      <c r="D284" s="11" t="s">
        <v>886</v>
      </c>
      <c r="E284" s="18">
        <v>150</v>
      </c>
      <c r="F284" s="19"/>
      <c r="G284" s="20">
        <f t="shared" si="8"/>
        <v>91</v>
      </c>
      <c r="H284" s="146" t="s">
        <v>53</v>
      </c>
      <c r="I284" s="27">
        <v>280</v>
      </c>
      <c r="J284" s="28">
        <v>33</v>
      </c>
      <c r="K284" s="29">
        <f t="shared" si="9"/>
        <v>5.23</v>
      </c>
      <c r="L284" s="144" t="s">
        <v>54</v>
      </c>
      <c r="M284" s="142" t="str">
        <f>VLOOKUP(L284,Packaging!$B$3:$C$21,2,0)</f>
        <v>290 X 200 X 140</v>
      </c>
      <c r="N284" s="11"/>
      <c r="O284" s="11">
        <v>150</v>
      </c>
      <c r="P284" s="11" t="s">
        <v>55</v>
      </c>
    </row>
    <row r="285" ht="17.25" spans="1:16">
      <c r="A285" s="7" t="s">
        <v>919</v>
      </c>
      <c r="B285" s="11" t="s">
        <v>920</v>
      </c>
      <c r="C285" s="9" t="s">
        <v>921</v>
      </c>
      <c r="D285" s="11" t="s">
        <v>886</v>
      </c>
      <c r="E285" s="18">
        <v>150</v>
      </c>
      <c r="F285" s="19"/>
      <c r="G285" s="20">
        <f t="shared" si="8"/>
        <v>91</v>
      </c>
      <c r="H285" s="146" t="s">
        <v>53</v>
      </c>
      <c r="I285" s="27">
        <v>280</v>
      </c>
      <c r="J285" s="28">
        <v>33</v>
      </c>
      <c r="K285" s="29">
        <f t="shared" si="9"/>
        <v>5.23</v>
      </c>
      <c r="L285" s="144" t="s">
        <v>54</v>
      </c>
      <c r="M285" s="142" t="str">
        <f>VLOOKUP(L285,Packaging!$B$3:$C$21,2,0)</f>
        <v>290 X 200 X 140</v>
      </c>
      <c r="N285" s="11"/>
      <c r="O285" s="11">
        <v>150</v>
      </c>
      <c r="P285" s="11" t="s">
        <v>55</v>
      </c>
    </row>
    <row r="286" ht="17.25" spans="1:16">
      <c r="A286" s="7" t="s">
        <v>922</v>
      </c>
      <c r="B286" s="11" t="s">
        <v>923</v>
      </c>
      <c r="C286" s="9" t="s">
        <v>924</v>
      </c>
      <c r="D286" s="11" t="s">
        <v>886</v>
      </c>
      <c r="E286" s="18">
        <v>150</v>
      </c>
      <c r="F286" s="19"/>
      <c r="G286" s="20">
        <f t="shared" si="8"/>
        <v>91</v>
      </c>
      <c r="H286" s="146" t="s">
        <v>53</v>
      </c>
      <c r="I286" s="27">
        <v>280</v>
      </c>
      <c r="J286" s="28">
        <v>31.6</v>
      </c>
      <c r="K286" s="29">
        <f t="shared" si="9"/>
        <v>5.02</v>
      </c>
      <c r="L286" s="144" t="s">
        <v>54</v>
      </c>
      <c r="M286" s="142" t="str">
        <f>VLOOKUP(L286,Packaging!$B$3:$C$21,2,0)</f>
        <v>290 X 200 X 140</v>
      </c>
      <c r="N286" s="11"/>
      <c r="O286" s="11">
        <v>150</v>
      </c>
      <c r="P286" s="11" t="s">
        <v>55</v>
      </c>
    </row>
    <row r="287" ht="17.25" spans="1:16">
      <c r="A287" s="7" t="s">
        <v>925</v>
      </c>
      <c r="B287" s="11" t="s">
        <v>926</v>
      </c>
      <c r="C287" s="9" t="s">
        <v>927</v>
      </c>
      <c r="D287" s="11" t="s">
        <v>886</v>
      </c>
      <c r="E287" s="18">
        <v>200</v>
      </c>
      <c r="F287" s="19"/>
      <c r="G287" s="20">
        <f t="shared" si="8"/>
        <v>91</v>
      </c>
      <c r="H287" s="146" t="s">
        <v>53</v>
      </c>
      <c r="I287" s="27">
        <v>280</v>
      </c>
      <c r="J287" s="28">
        <v>31.4</v>
      </c>
      <c r="K287" s="29">
        <f t="shared" si="9"/>
        <v>6.56</v>
      </c>
      <c r="L287" s="144" t="s">
        <v>54</v>
      </c>
      <c r="M287" s="142" t="str">
        <f>VLOOKUP(L287,Packaging!$B$3:$C$21,2,0)</f>
        <v>290 X 200 X 140</v>
      </c>
      <c r="N287" s="11"/>
      <c r="O287" s="11">
        <v>200</v>
      </c>
      <c r="P287" s="11" t="s">
        <v>55</v>
      </c>
    </row>
    <row r="288" ht="17.25" spans="1:16">
      <c r="A288" s="7" t="s">
        <v>928</v>
      </c>
      <c r="B288" s="11" t="s">
        <v>929</v>
      </c>
      <c r="C288" s="9" t="s">
        <v>930</v>
      </c>
      <c r="D288" s="11" t="s">
        <v>886</v>
      </c>
      <c r="E288" s="18">
        <v>12</v>
      </c>
      <c r="F288" s="19"/>
      <c r="G288" s="20">
        <f t="shared" si="8"/>
        <v>91</v>
      </c>
      <c r="H288" s="146" t="s">
        <v>53</v>
      </c>
      <c r="I288" s="27">
        <v>766</v>
      </c>
      <c r="J288" s="28">
        <v>597</v>
      </c>
      <c r="K288" s="29">
        <f t="shared" si="9"/>
        <v>7.93</v>
      </c>
      <c r="L288" s="144" t="s">
        <v>72</v>
      </c>
      <c r="M288" s="142" t="str">
        <f>VLOOKUP(L288,Packaging!$B$3:$C$21,2,0)</f>
        <v>390 X 350 X 280</v>
      </c>
      <c r="N288" s="11"/>
      <c r="O288" s="11">
        <v>12</v>
      </c>
      <c r="P288" s="11" t="s">
        <v>55</v>
      </c>
    </row>
    <row r="289" ht="17.25" spans="1:16">
      <c r="A289" s="7" t="s">
        <v>931</v>
      </c>
      <c r="B289" s="11" t="s">
        <v>932</v>
      </c>
      <c r="C289" s="9" t="s">
        <v>933</v>
      </c>
      <c r="D289" s="11" t="s">
        <v>886</v>
      </c>
      <c r="E289" s="18">
        <v>140</v>
      </c>
      <c r="F289" s="19"/>
      <c r="G289" s="20">
        <f t="shared" si="8"/>
        <v>91</v>
      </c>
      <c r="H289" s="146" t="s">
        <v>53</v>
      </c>
      <c r="I289" s="27">
        <v>280</v>
      </c>
      <c r="J289" s="28">
        <v>123.4</v>
      </c>
      <c r="K289" s="29">
        <f t="shared" si="9"/>
        <v>17.556</v>
      </c>
      <c r="L289" s="144" t="s">
        <v>54</v>
      </c>
      <c r="M289" s="142" t="str">
        <f>VLOOKUP(L289,Packaging!$B$3:$C$21,2,0)</f>
        <v>290 X 200 X 140</v>
      </c>
      <c r="N289" s="11"/>
      <c r="O289" s="11">
        <v>140</v>
      </c>
      <c r="P289" s="11" t="s">
        <v>55</v>
      </c>
    </row>
    <row r="290" ht="17.25" spans="1:16">
      <c r="A290" s="7" t="s">
        <v>934</v>
      </c>
      <c r="B290" s="11" t="s">
        <v>935</v>
      </c>
      <c r="C290" s="9" t="s">
        <v>936</v>
      </c>
      <c r="D290" s="11" t="s">
        <v>937</v>
      </c>
      <c r="E290" s="18">
        <v>1050</v>
      </c>
      <c r="F290" s="19"/>
      <c r="G290" s="20">
        <f t="shared" si="8"/>
        <v>91</v>
      </c>
      <c r="H290" s="146" t="s">
        <v>53</v>
      </c>
      <c r="I290" s="27">
        <v>280</v>
      </c>
      <c r="J290" s="28">
        <v>16.4</v>
      </c>
      <c r="K290" s="29">
        <f t="shared" si="9"/>
        <v>17.5</v>
      </c>
      <c r="L290" s="144" t="s">
        <v>54</v>
      </c>
      <c r="M290" s="142" t="str">
        <f>VLOOKUP(L290,Packaging!$B$3:$C$21,2,0)</f>
        <v>290 X 200 X 140</v>
      </c>
      <c r="N290" s="11"/>
      <c r="O290" s="11">
        <v>20</v>
      </c>
      <c r="P290" s="11" t="s">
        <v>55</v>
      </c>
    </row>
    <row r="291" ht="17.25" spans="1:16">
      <c r="A291" s="7" t="s">
        <v>938</v>
      </c>
      <c r="B291" s="11" t="s">
        <v>939</v>
      </c>
      <c r="C291" s="9" t="s">
        <v>940</v>
      </c>
      <c r="D291" s="11" t="s">
        <v>937</v>
      </c>
      <c r="E291" s="18">
        <v>48</v>
      </c>
      <c r="F291" s="19"/>
      <c r="G291" s="20">
        <f t="shared" si="8"/>
        <v>91</v>
      </c>
      <c r="H291" s="146" t="s">
        <v>53</v>
      </c>
      <c r="I291" s="27">
        <v>278</v>
      </c>
      <c r="J291" s="28">
        <v>206</v>
      </c>
      <c r="K291" s="29">
        <f t="shared" si="9"/>
        <v>10.166</v>
      </c>
      <c r="L291" s="144" t="s">
        <v>161</v>
      </c>
      <c r="M291" s="142" t="str">
        <f>VLOOKUP(L291,Packaging!$B$3:$C$21,2,0)</f>
        <v>360 X 270 X 128</v>
      </c>
      <c r="N291" s="11"/>
      <c r="O291" s="11">
        <v>48</v>
      </c>
      <c r="P291" s="11" t="s">
        <v>55</v>
      </c>
    </row>
    <row r="292" ht="17.25" spans="1:16">
      <c r="A292" s="7" t="s">
        <v>941</v>
      </c>
      <c r="B292" s="11" t="s">
        <v>942</v>
      </c>
      <c r="C292" s="9" t="s">
        <v>943</v>
      </c>
      <c r="D292" s="11" t="s">
        <v>944</v>
      </c>
      <c r="E292" s="18">
        <v>900</v>
      </c>
      <c r="F292" s="19"/>
      <c r="G292" s="20">
        <f t="shared" si="8"/>
        <v>91</v>
      </c>
      <c r="H292" s="146" t="s">
        <v>53</v>
      </c>
      <c r="I292" s="27">
        <v>280</v>
      </c>
      <c r="J292" s="28">
        <v>12.6</v>
      </c>
      <c r="K292" s="29">
        <f t="shared" si="9"/>
        <v>11.62</v>
      </c>
      <c r="L292" s="144" t="s">
        <v>54</v>
      </c>
      <c r="M292" s="142" t="str">
        <f>VLOOKUP(L292,Packaging!$B$3:$C$21,2,0)</f>
        <v>290 X 200 X 140</v>
      </c>
      <c r="N292" s="11"/>
      <c r="O292" s="11">
        <v>100</v>
      </c>
      <c r="P292" s="11" t="s">
        <v>55</v>
      </c>
    </row>
    <row r="293" ht="17.25" spans="1:16">
      <c r="A293" s="7" t="s">
        <v>945</v>
      </c>
      <c r="B293" s="11" t="s">
        <v>946</v>
      </c>
      <c r="C293" s="9" t="s">
        <v>947</v>
      </c>
      <c r="D293" s="11" t="s">
        <v>944</v>
      </c>
      <c r="E293" s="18">
        <v>300</v>
      </c>
      <c r="F293" s="19"/>
      <c r="G293" s="20">
        <f t="shared" si="8"/>
        <v>91</v>
      </c>
      <c r="H293" s="146" t="s">
        <v>53</v>
      </c>
      <c r="I293" s="27">
        <v>280</v>
      </c>
      <c r="J293" s="28">
        <v>28</v>
      </c>
      <c r="K293" s="29">
        <f t="shared" si="9"/>
        <v>8.68</v>
      </c>
      <c r="L293" s="144" t="s">
        <v>54</v>
      </c>
      <c r="M293" s="142" t="str">
        <f>VLOOKUP(L293,Packaging!$B$3:$C$21,2,0)</f>
        <v>290 X 200 X 140</v>
      </c>
      <c r="N293" s="11"/>
      <c r="O293" s="11">
        <v>50</v>
      </c>
      <c r="P293" s="11" t="s">
        <v>55</v>
      </c>
    </row>
    <row r="294" ht="17.25" spans="1:16">
      <c r="A294" s="7" t="s">
        <v>948</v>
      </c>
      <c r="B294" s="11" t="s">
        <v>949</v>
      </c>
      <c r="C294" s="9" t="s">
        <v>950</v>
      </c>
      <c r="D294" s="11" t="s">
        <v>944</v>
      </c>
      <c r="E294" s="18">
        <v>350</v>
      </c>
      <c r="F294" s="19"/>
      <c r="G294" s="20">
        <f t="shared" si="8"/>
        <v>91</v>
      </c>
      <c r="H294" s="146" t="s">
        <v>53</v>
      </c>
      <c r="I294" s="27"/>
      <c r="J294" s="28">
        <v>69.6</v>
      </c>
      <c r="K294" s="29">
        <f t="shared" si="9"/>
        <v>24.36</v>
      </c>
      <c r="L294" s="11"/>
      <c r="M294" s="21" t="e">
        <f>VLOOKUP(L294,Packaging!$B$3:$C$21,2,0)</f>
        <v>#N/A</v>
      </c>
      <c r="N294" s="11"/>
      <c r="O294" s="11">
        <v>50</v>
      </c>
      <c r="P294" s="11" t="s">
        <v>55</v>
      </c>
    </row>
    <row r="295" ht="17.25" spans="1:16">
      <c r="A295" s="7" t="s">
        <v>951</v>
      </c>
      <c r="B295" s="11" t="s">
        <v>952</v>
      </c>
      <c r="C295" s="9" t="s">
        <v>953</v>
      </c>
      <c r="D295" s="11" t="s">
        <v>944</v>
      </c>
      <c r="E295" s="18">
        <v>350</v>
      </c>
      <c r="F295" s="19"/>
      <c r="G295" s="20">
        <f t="shared" si="8"/>
        <v>91</v>
      </c>
      <c r="H295" s="146" t="s">
        <v>53</v>
      </c>
      <c r="I295" s="27">
        <v>280</v>
      </c>
      <c r="J295" s="28">
        <v>36</v>
      </c>
      <c r="K295" s="29">
        <f t="shared" si="9"/>
        <v>12.88</v>
      </c>
      <c r="L295" s="144" t="s">
        <v>54</v>
      </c>
      <c r="M295" s="142" t="str">
        <f>VLOOKUP(L295,Packaging!$B$3:$C$21,2,0)</f>
        <v>290 X 200 X 140</v>
      </c>
      <c r="N295" s="11"/>
      <c r="O295" s="11">
        <v>50</v>
      </c>
      <c r="P295" s="11" t="s">
        <v>55</v>
      </c>
    </row>
    <row r="296" ht="17.25" spans="1:16">
      <c r="A296" s="7" t="s">
        <v>954</v>
      </c>
      <c r="B296" s="11">
        <v>932945</v>
      </c>
      <c r="C296" s="9" t="s">
        <v>955</v>
      </c>
      <c r="D296" s="11" t="s">
        <v>956</v>
      </c>
      <c r="E296" s="18">
        <v>200</v>
      </c>
      <c r="F296" s="19"/>
      <c r="G296" s="20">
        <f t="shared" si="8"/>
        <v>91</v>
      </c>
      <c r="H296" s="11" t="s">
        <v>957</v>
      </c>
      <c r="I296" s="27">
        <v>278</v>
      </c>
      <c r="J296" s="28">
        <v>64.8</v>
      </c>
      <c r="K296" s="29">
        <f t="shared" si="9"/>
        <v>13.238</v>
      </c>
      <c r="L296" s="144" t="s">
        <v>161</v>
      </c>
      <c r="M296" s="142" t="str">
        <f>VLOOKUP(L296,Packaging!$B$3:$C$21,2,0)</f>
        <v>360 X 270 X 128</v>
      </c>
      <c r="N296" s="11"/>
      <c r="O296" s="11"/>
      <c r="P296" s="11" t="s">
        <v>55</v>
      </c>
    </row>
    <row r="297" ht="17.25" spans="1:16">
      <c r="A297" s="7" t="s">
        <v>958</v>
      </c>
      <c r="B297" s="11">
        <v>933075</v>
      </c>
      <c r="C297" s="41" t="s">
        <v>959</v>
      </c>
      <c r="D297" s="11" t="s">
        <v>956</v>
      </c>
      <c r="E297" s="18">
        <v>450</v>
      </c>
      <c r="F297" s="19"/>
      <c r="G297" s="20">
        <f t="shared" si="8"/>
        <v>91</v>
      </c>
      <c r="H297" s="146" t="s">
        <v>960</v>
      </c>
      <c r="I297" s="27">
        <v>280</v>
      </c>
      <c r="J297" s="28">
        <v>18</v>
      </c>
      <c r="K297" s="29">
        <f t="shared" si="9"/>
        <v>8.38</v>
      </c>
      <c r="L297" s="144" t="s">
        <v>54</v>
      </c>
      <c r="M297" s="142" t="str">
        <f>VLOOKUP(L297,Packaging!$B$3:$C$21,2,0)</f>
        <v>290 X 200 X 140</v>
      </c>
      <c r="N297" s="11"/>
      <c r="O297" s="11"/>
      <c r="P297" s="11" t="s">
        <v>55</v>
      </c>
    </row>
    <row r="298" ht="17.25" spans="1:16">
      <c r="A298" s="7" t="s">
        <v>961</v>
      </c>
      <c r="B298" s="11">
        <v>933080</v>
      </c>
      <c r="C298" s="41" t="s">
        <v>962</v>
      </c>
      <c r="D298" s="11" t="s">
        <v>956</v>
      </c>
      <c r="E298" s="18">
        <v>450</v>
      </c>
      <c r="F298" s="19"/>
      <c r="G298" s="20">
        <f t="shared" si="8"/>
        <v>91</v>
      </c>
      <c r="H298" s="146" t="s">
        <v>960</v>
      </c>
      <c r="I298" s="27">
        <v>280</v>
      </c>
      <c r="J298" s="28">
        <v>18</v>
      </c>
      <c r="K298" s="29">
        <f t="shared" si="9"/>
        <v>8.38</v>
      </c>
      <c r="L298" s="144" t="s">
        <v>54</v>
      </c>
      <c r="M298" s="142" t="str">
        <f>VLOOKUP(L298,Packaging!$B$3:$C$21,2,0)</f>
        <v>290 X 200 X 140</v>
      </c>
      <c r="N298" s="11"/>
      <c r="O298" s="11"/>
      <c r="P298" s="11" t="s">
        <v>55</v>
      </c>
    </row>
    <row r="299" ht="17.25" spans="1:16">
      <c r="A299" s="7" t="s">
        <v>963</v>
      </c>
      <c r="B299" s="11">
        <v>947584</v>
      </c>
      <c r="C299" s="9" t="s">
        <v>964</v>
      </c>
      <c r="D299" s="11" t="s">
        <v>956</v>
      </c>
      <c r="E299" s="18">
        <v>100</v>
      </c>
      <c r="F299" s="19"/>
      <c r="G299" s="20">
        <f t="shared" si="8"/>
        <v>91</v>
      </c>
      <c r="H299" s="11" t="s">
        <v>965</v>
      </c>
      <c r="I299" s="27"/>
      <c r="J299" s="28">
        <v>160.8</v>
      </c>
      <c r="K299" s="29">
        <f t="shared" si="9"/>
        <v>16.08</v>
      </c>
      <c r="L299" s="11"/>
      <c r="M299" s="21" t="e">
        <f>VLOOKUP(L299,Packaging!$B$3:$C$21,2,0)</f>
        <v>#N/A</v>
      </c>
      <c r="N299" s="11"/>
      <c r="O299" s="11"/>
      <c r="P299" s="11" t="s">
        <v>55</v>
      </c>
    </row>
    <row r="300" ht="17.25" spans="1:16">
      <c r="A300" s="7" t="s">
        <v>966</v>
      </c>
      <c r="B300" s="11" t="s">
        <v>967</v>
      </c>
      <c r="C300" s="9" t="s">
        <v>968</v>
      </c>
      <c r="D300" s="11" t="s">
        <v>969</v>
      </c>
      <c r="E300" s="18">
        <v>50000</v>
      </c>
      <c r="F300" s="19"/>
      <c r="G300" s="20">
        <f t="shared" si="8"/>
        <v>91</v>
      </c>
      <c r="H300" s="146" t="s">
        <v>53</v>
      </c>
      <c r="I300" s="27">
        <v>280</v>
      </c>
      <c r="J300" s="29">
        <v>0.22</v>
      </c>
      <c r="K300" s="29">
        <f t="shared" si="9"/>
        <v>11.28</v>
      </c>
      <c r="L300" s="144" t="s">
        <v>54</v>
      </c>
      <c r="M300" s="142" t="str">
        <f>VLOOKUP(L300,Packaging!$B$3:$C$21,2,0)</f>
        <v>290 X 200 X 140</v>
      </c>
      <c r="N300" s="11"/>
      <c r="O300" s="11">
        <v>2000</v>
      </c>
      <c r="P300" s="11" t="s">
        <v>55</v>
      </c>
    </row>
    <row r="301" ht="17.25" spans="1:16">
      <c r="A301" s="7" t="s">
        <v>970</v>
      </c>
      <c r="B301" s="11" t="s">
        <v>971</v>
      </c>
      <c r="C301" s="9" t="s">
        <v>972</v>
      </c>
      <c r="D301" s="11" t="s">
        <v>969</v>
      </c>
      <c r="E301" s="18">
        <v>50000</v>
      </c>
      <c r="F301" s="19"/>
      <c r="G301" s="20">
        <f t="shared" si="8"/>
        <v>91</v>
      </c>
      <c r="H301" s="146" t="s">
        <v>53</v>
      </c>
      <c r="I301" s="27">
        <v>280</v>
      </c>
      <c r="J301" s="29">
        <v>0.25</v>
      </c>
      <c r="K301" s="29">
        <f t="shared" si="9"/>
        <v>12.78</v>
      </c>
      <c r="L301" s="144" t="s">
        <v>54</v>
      </c>
      <c r="M301" s="142" t="str">
        <f>VLOOKUP(L301,Packaging!$B$3:$C$21,2,0)</f>
        <v>290 X 200 X 140</v>
      </c>
      <c r="N301" s="11"/>
      <c r="O301" s="11">
        <v>2000</v>
      </c>
      <c r="P301" s="11" t="s">
        <v>55</v>
      </c>
    </row>
    <row r="302" ht="17.25" spans="1:16">
      <c r="A302" s="7" t="s">
        <v>973</v>
      </c>
      <c r="B302" s="11" t="s">
        <v>974</v>
      </c>
      <c r="C302" s="9" t="s">
        <v>975</v>
      </c>
      <c r="D302" s="11" t="s">
        <v>969</v>
      </c>
      <c r="E302" s="18">
        <v>50000</v>
      </c>
      <c r="F302" s="19"/>
      <c r="G302" s="20">
        <f t="shared" si="8"/>
        <v>91</v>
      </c>
      <c r="H302" s="146" t="s">
        <v>53</v>
      </c>
      <c r="I302" s="27">
        <v>280</v>
      </c>
      <c r="J302" s="29">
        <v>0.278</v>
      </c>
      <c r="K302" s="29">
        <f t="shared" si="9"/>
        <v>14.18</v>
      </c>
      <c r="L302" s="144" t="s">
        <v>54</v>
      </c>
      <c r="M302" s="142" t="str">
        <f>VLOOKUP(L302,Packaging!$B$3:$C$21,2,0)</f>
        <v>290 X 200 X 140</v>
      </c>
      <c r="N302" s="11"/>
      <c r="O302" s="11">
        <v>2000</v>
      </c>
      <c r="P302" s="11" t="s">
        <v>55</v>
      </c>
    </row>
    <row r="303" ht="17.25" spans="1:16">
      <c r="A303" s="7" t="s">
        <v>976</v>
      </c>
      <c r="B303" s="11">
        <v>814997</v>
      </c>
      <c r="C303" s="9" t="s">
        <v>977</v>
      </c>
      <c r="D303" s="11" t="s">
        <v>978</v>
      </c>
      <c r="E303" s="18">
        <v>1000</v>
      </c>
      <c r="F303" s="19"/>
      <c r="G303" s="20">
        <f t="shared" si="8"/>
        <v>91</v>
      </c>
      <c r="H303" s="11" t="s">
        <v>979</v>
      </c>
      <c r="I303" s="27"/>
      <c r="J303" s="28">
        <v>3.2</v>
      </c>
      <c r="K303" s="29">
        <f t="shared" si="9"/>
        <v>3.2</v>
      </c>
      <c r="L303" s="11"/>
      <c r="M303" s="21" t="e">
        <f>VLOOKUP(L303,Packaging!$B$3:$C$21,2,0)</f>
        <v>#N/A</v>
      </c>
      <c r="N303" s="11"/>
      <c r="O303" s="11"/>
      <c r="P303" s="11" t="s">
        <v>55</v>
      </c>
    </row>
    <row r="304" ht="17.25" spans="1:16">
      <c r="A304" s="7" t="s">
        <v>980</v>
      </c>
      <c r="B304" s="40">
        <v>932975</v>
      </c>
      <c r="C304" s="41" t="s">
        <v>981</v>
      </c>
      <c r="D304" s="11" t="s">
        <v>978</v>
      </c>
      <c r="E304" s="18">
        <v>700</v>
      </c>
      <c r="F304" s="19"/>
      <c r="G304" s="20">
        <f t="shared" si="8"/>
        <v>91</v>
      </c>
      <c r="H304" s="146" t="s">
        <v>982</v>
      </c>
      <c r="I304" s="27">
        <v>280</v>
      </c>
      <c r="J304" s="28">
        <v>12.4</v>
      </c>
      <c r="K304" s="29">
        <f t="shared" si="9"/>
        <v>8.96</v>
      </c>
      <c r="L304" s="144" t="s">
        <v>54</v>
      </c>
      <c r="M304" s="142" t="str">
        <f>VLOOKUP(L304,Packaging!$B$3:$C$21,2,0)</f>
        <v>290 X 200 X 140</v>
      </c>
      <c r="N304" s="11"/>
      <c r="O304" s="11">
        <v>100</v>
      </c>
      <c r="P304" s="11" t="s">
        <v>55</v>
      </c>
    </row>
    <row r="305" ht="17.25" spans="1:16">
      <c r="A305" s="7" t="s">
        <v>983</v>
      </c>
      <c r="B305" s="40">
        <v>933075</v>
      </c>
      <c r="C305" s="41" t="s">
        <v>984</v>
      </c>
      <c r="D305" s="11" t="s">
        <v>978</v>
      </c>
      <c r="E305" s="18">
        <v>450</v>
      </c>
      <c r="F305" s="19"/>
      <c r="G305" s="20">
        <f t="shared" si="8"/>
        <v>91</v>
      </c>
      <c r="H305" s="146" t="s">
        <v>960</v>
      </c>
      <c r="I305" s="27">
        <v>280</v>
      </c>
      <c r="J305" s="28">
        <v>18</v>
      </c>
      <c r="K305" s="29">
        <f t="shared" si="9"/>
        <v>8.38</v>
      </c>
      <c r="L305" s="144" t="s">
        <v>54</v>
      </c>
      <c r="M305" s="142" t="str">
        <f>VLOOKUP(L305,Packaging!$B$3:$C$21,2,0)</f>
        <v>290 X 200 X 140</v>
      </c>
      <c r="N305" s="11"/>
      <c r="O305" s="11"/>
      <c r="P305" s="11" t="s">
        <v>55</v>
      </c>
    </row>
    <row r="306" ht="17.25" spans="1:16">
      <c r="A306" s="7" t="s">
        <v>985</v>
      </c>
      <c r="B306" s="40">
        <v>933080</v>
      </c>
      <c r="C306" s="41" t="s">
        <v>986</v>
      </c>
      <c r="D306" s="11" t="s">
        <v>978</v>
      </c>
      <c r="E306" s="18">
        <v>450</v>
      </c>
      <c r="F306" s="19"/>
      <c r="G306" s="20">
        <f t="shared" si="8"/>
        <v>91</v>
      </c>
      <c r="H306" s="146" t="s">
        <v>960</v>
      </c>
      <c r="I306" s="27">
        <v>280</v>
      </c>
      <c r="J306" s="28">
        <v>18</v>
      </c>
      <c r="K306" s="29">
        <f t="shared" si="9"/>
        <v>8.38</v>
      </c>
      <c r="L306" s="144" t="s">
        <v>54</v>
      </c>
      <c r="M306" s="142" t="str">
        <f>VLOOKUP(L306,Packaging!$B$3:$C$21,2,0)</f>
        <v>290 X 200 X 140</v>
      </c>
      <c r="N306" s="11"/>
      <c r="O306" s="11"/>
      <c r="P306" s="11" t="s">
        <v>55</v>
      </c>
    </row>
    <row r="307" ht="17.25" spans="1:16">
      <c r="A307" s="7" t="s">
        <v>987</v>
      </c>
      <c r="B307" s="11">
        <v>935090</v>
      </c>
      <c r="C307" s="9" t="s">
        <v>988</v>
      </c>
      <c r="D307" s="11" t="s">
        <v>978</v>
      </c>
      <c r="E307" s="18">
        <v>450</v>
      </c>
      <c r="F307" s="19"/>
      <c r="G307" s="20">
        <f t="shared" si="8"/>
        <v>91</v>
      </c>
      <c r="H307" s="11" t="s">
        <v>989</v>
      </c>
      <c r="I307" s="27">
        <v>280</v>
      </c>
      <c r="J307" s="28">
        <v>14.6</v>
      </c>
      <c r="K307" s="29">
        <f t="shared" si="9"/>
        <v>6.85</v>
      </c>
      <c r="L307" s="144" t="s">
        <v>54</v>
      </c>
      <c r="M307" s="142" t="str">
        <f>VLOOKUP(L307,Packaging!$B$3:$C$21,2,0)</f>
        <v>290 X 200 X 140</v>
      </c>
      <c r="N307" s="11"/>
      <c r="O307" s="11">
        <v>50</v>
      </c>
      <c r="P307" s="11" t="s">
        <v>55</v>
      </c>
    </row>
    <row r="308" ht="17.25" spans="1:16">
      <c r="A308" s="7" t="s">
        <v>990</v>
      </c>
      <c r="B308" s="11">
        <v>954407</v>
      </c>
      <c r="C308" s="9" t="s">
        <v>991</v>
      </c>
      <c r="D308" s="11" t="s">
        <v>978</v>
      </c>
      <c r="E308" s="18">
        <v>1000</v>
      </c>
      <c r="F308" s="19"/>
      <c r="G308" s="20">
        <f t="shared" si="8"/>
        <v>91</v>
      </c>
      <c r="H308" s="11" t="s">
        <v>992</v>
      </c>
      <c r="I308" s="27">
        <v>280</v>
      </c>
      <c r="J308" s="28">
        <v>3.2</v>
      </c>
      <c r="K308" s="29">
        <f t="shared" si="9"/>
        <v>3.48</v>
      </c>
      <c r="L308" s="144" t="s">
        <v>54</v>
      </c>
      <c r="M308" s="142" t="str">
        <f>VLOOKUP(L308,Packaging!$B$3:$C$21,2,0)</f>
        <v>290 X 200 X 140</v>
      </c>
      <c r="N308" s="11" t="s">
        <v>993</v>
      </c>
      <c r="O308" s="11">
        <v>250</v>
      </c>
      <c r="P308" s="11" t="s">
        <v>55</v>
      </c>
    </row>
    <row r="309" ht="17.25" spans="1:16">
      <c r="A309" s="7" t="s">
        <v>994</v>
      </c>
      <c r="B309" s="11">
        <v>954419</v>
      </c>
      <c r="C309" s="9" t="s">
        <v>995</v>
      </c>
      <c r="D309" s="11" t="s">
        <v>978</v>
      </c>
      <c r="E309" s="18">
        <v>800</v>
      </c>
      <c r="F309" s="19"/>
      <c r="G309" s="20">
        <f t="shared" si="8"/>
        <v>91</v>
      </c>
      <c r="H309" s="11" t="s">
        <v>996</v>
      </c>
      <c r="I309" s="27"/>
      <c r="J309" s="28">
        <v>20.2</v>
      </c>
      <c r="K309" s="29">
        <f t="shared" si="9"/>
        <v>16.16</v>
      </c>
      <c r="L309" s="11"/>
      <c r="M309" s="21" t="e">
        <f>VLOOKUP(L309,Packaging!$B$3:$C$21,2,0)</f>
        <v>#N/A</v>
      </c>
      <c r="N309" s="11"/>
      <c r="O309" s="11">
        <v>100</v>
      </c>
      <c r="P309" s="11" t="s">
        <v>55</v>
      </c>
    </row>
    <row r="310" ht="17.25" spans="1:16">
      <c r="A310" s="7" t="s">
        <v>997</v>
      </c>
      <c r="B310" s="11" t="s">
        <v>998</v>
      </c>
      <c r="C310" s="9" t="s">
        <v>850</v>
      </c>
      <c r="D310" s="11" t="s">
        <v>978</v>
      </c>
      <c r="E310" s="18">
        <v>300</v>
      </c>
      <c r="F310" s="19"/>
      <c r="G310" s="20">
        <f t="shared" si="8"/>
        <v>91</v>
      </c>
      <c r="H310" s="11" t="s">
        <v>999</v>
      </c>
      <c r="I310" s="27">
        <v>280</v>
      </c>
      <c r="J310" s="28">
        <v>8.4</v>
      </c>
      <c r="K310" s="29">
        <f t="shared" si="9"/>
        <v>2.8</v>
      </c>
      <c r="L310" s="144" t="s">
        <v>54</v>
      </c>
      <c r="M310" s="142" t="str">
        <f>VLOOKUP(L310,Packaging!$B$3:$C$21,2,0)</f>
        <v>290 X 200 X 140</v>
      </c>
      <c r="N310" s="11"/>
      <c r="O310" s="11">
        <v>30</v>
      </c>
      <c r="P310" s="11" t="s">
        <v>55</v>
      </c>
    </row>
    <row r="311" ht="17.25" spans="1:16">
      <c r="A311" s="7" t="s">
        <v>1000</v>
      </c>
      <c r="B311" s="11" t="s">
        <v>1001</v>
      </c>
      <c r="C311" s="9" t="s">
        <v>1002</v>
      </c>
      <c r="D311" s="11" t="s">
        <v>1003</v>
      </c>
      <c r="E311" s="18">
        <v>28</v>
      </c>
      <c r="F311" s="19"/>
      <c r="G311" s="20">
        <f t="shared" si="8"/>
        <v>91</v>
      </c>
      <c r="H311" s="11" t="s">
        <v>1004</v>
      </c>
      <c r="I311" s="27">
        <v>580</v>
      </c>
      <c r="J311" s="28">
        <v>697</v>
      </c>
      <c r="K311" s="29">
        <f t="shared" si="9"/>
        <v>20.096</v>
      </c>
      <c r="L311" s="144" t="s">
        <v>101</v>
      </c>
      <c r="M311" s="142" t="str">
        <f>VLOOKUP(L311,Packaging!$B$3:$C$21,2,0)</f>
        <v>1380 X 150 X 80</v>
      </c>
      <c r="N311" s="11"/>
      <c r="O311" s="11"/>
      <c r="P311" s="11" t="s">
        <v>55</v>
      </c>
    </row>
    <row r="312" ht="17.25" spans="1:16">
      <c r="A312" s="7" t="s">
        <v>1005</v>
      </c>
      <c r="B312" s="42" t="s">
        <v>1006</v>
      </c>
      <c r="C312" s="43" t="s">
        <v>1007</v>
      </c>
      <c r="D312" s="42" t="s">
        <v>1003</v>
      </c>
      <c r="E312" s="44">
        <v>4</v>
      </c>
      <c r="F312" s="19"/>
      <c r="G312" s="20">
        <f t="shared" si="8"/>
        <v>91</v>
      </c>
      <c r="H312" s="146" t="s">
        <v>53</v>
      </c>
      <c r="I312" s="27"/>
      <c r="J312" s="28">
        <v>1023</v>
      </c>
      <c r="K312" s="29">
        <f t="shared" si="9"/>
        <v>4.092</v>
      </c>
      <c r="L312" s="11"/>
      <c r="M312" s="21" t="e">
        <f>VLOOKUP(L312,Packaging!$B$3:$C$21,2,0)</f>
        <v>#N/A</v>
      </c>
      <c r="N312" s="11"/>
      <c r="O312" s="11"/>
      <c r="P312" s="11" t="s">
        <v>55</v>
      </c>
    </row>
    <row r="313" ht="17.25" spans="1:16">
      <c r="A313" s="7" t="s">
        <v>1008</v>
      </c>
      <c r="B313" s="42" t="s">
        <v>1009</v>
      </c>
      <c r="C313" s="43" t="s">
        <v>1010</v>
      </c>
      <c r="D313" s="42" t="s">
        <v>1003</v>
      </c>
      <c r="E313" s="44">
        <v>4</v>
      </c>
      <c r="F313" s="19"/>
      <c r="G313" s="20">
        <f t="shared" si="8"/>
        <v>91</v>
      </c>
      <c r="H313" s="146" t="s">
        <v>53</v>
      </c>
      <c r="I313" s="27"/>
      <c r="J313" s="28">
        <v>1000</v>
      </c>
      <c r="K313" s="29">
        <f t="shared" si="9"/>
        <v>4</v>
      </c>
      <c r="L313" s="11"/>
      <c r="M313" s="21" t="e">
        <f>VLOOKUP(L313,Packaging!$B$3:$C$21,2,0)</f>
        <v>#N/A</v>
      </c>
      <c r="N313" s="11"/>
      <c r="O313" s="11"/>
      <c r="P313" s="11" t="s">
        <v>55</v>
      </c>
    </row>
    <row r="314" ht="17.25" spans="1:16">
      <c r="A314" s="7" t="s">
        <v>1011</v>
      </c>
      <c r="B314" s="37" t="s">
        <v>1012</v>
      </c>
      <c r="C314" s="13" t="s">
        <v>1013</v>
      </c>
      <c r="D314" s="42" t="s">
        <v>1014</v>
      </c>
      <c r="E314" s="18">
        <v>150</v>
      </c>
      <c r="F314" s="19"/>
      <c r="G314" s="20">
        <f t="shared" si="8"/>
        <v>91</v>
      </c>
      <c r="H314" s="146" t="s">
        <v>53</v>
      </c>
      <c r="I314" s="27">
        <v>280</v>
      </c>
      <c r="J314" s="28"/>
      <c r="K314" s="29">
        <f t="shared" si="9"/>
        <v>0.28</v>
      </c>
      <c r="L314" s="144" t="s">
        <v>54</v>
      </c>
      <c r="M314" s="142" t="str">
        <f>VLOOKUP(L314,Packaging!$B$3:$C$21,2,0)</f>
        <v>290 X 200 X 140</v>
      </c>
      <c r="N314" s="11"/>
      <c r="O314" s="11"/>
      <c r="P314" s="11" t="s">
        <v>55</v>
      </c>
    </row>
    <row r="315" ht="17.25" spans="1:16">
      <c r="A315" s="7" t="s">
        <v>1015</v>
      </c>
      <c r="B315" s="11" t="s">
        <v>1016</v>
      </c>
      <c r="C315" s="9" t="s">
        <v>1017</v>
      </c>
      <c r="D315" s="11" t="s">
        <v>1018</v>
      </c>
      <c r="E315" s="18">
        <v>250</v>
      </c>
      <c r="F315" s="19"/>
      <c r="G315" s="20">
        <f t="shared" si="8"/>
        <v>91</v>
      </c>
      <c r="H315" s="146" t="s">
        <v>53</v>
      </c>
      <c r="I315" s="27">
        <v>280</v>
      </c>
      <c r="J315" s="28">
        <v>36</v>
      </c>
      <c r="K315" s="29">
        <f t="shared" si="9"/>
        <v>9.28</v>
      </c>
      <c r="L315" s="144" t="s">
        <v>54</v>
      </c>
      <c r="M315" s="142" t="str">
        <f>VLOOKUP(L315,Packaging!$B$3:$C$21,2,0)</f>
        <v>290 X 200 X 140</v>
      </c>
      <c r="N315" s="11"/>
      <c r="O315" s="11">
        <v>50</v>
      </c>
      <c r="P315" s="11" t="s">
        <v>55</v>
      </c>
    </row>
    <row r="316" ht="17.25" spans="1:16">
      <c r="A316" s="7" t="s">
        <v>1019</v>
      </c>
      <c r="B316" s="11" t="s">
        <v>1020</v>
      </c>
      <c r="C316" s="9" t="s">
        <v>1021</v>
      </c>
      <c r="D316" s="11" t="s">
        <v>1018</v>
      </c>
      <c r="E316" s="18">
        <v>20</v>
      </c>
      <c r="F316" s="19"/>
      <c r="G316" s="20">
        <f t="shared" si="8"/>
        <v>91</v>
      </c>
      <c r="H316" s="146" t="s">
        <v>53</v>
      </c>
      <c r="I316" s="27">
        <v>278</v>
      </c>
      <c r="J316" s="28">
        <v>60.6</v>
      </c>
      <c r="K316" s="29">
        <f t="shared" si="9"/>
        <v>1.49</v>
      </c>
      <c r="L316" s="144" t="s">
        <v>161</v>
      </c>
      <c r="M316" s="142" t="str">
        <f>VLOOKUP(L316,Packaging!$B$3:$C$21,2,0)</f>
        <v>360 X 270 X 128</v>
      </c>
      <c r="N316" s="11"/>
      <c r="O316" s="11"/>
      <c r="P316" s="11" t="s">
        <v>55</v>
      </c>
    </row>
    <row r="317" ht="17.25" spans="1:16">
      <c r="A317" s="7" t="s">
        <v>1022</v>
      </c>
      <c r="B317" s="11" t="s">
        <v>1023</v>
      </c>
      <c r="C317" s="9" t="s">
        <v>1024</v>
      </c>
      <c r="D317" s="11" t="s">
        <v>1018</v>
      </c>
      <c r="E317" s="18">
        <v>60</v>
      </c>
      <c r="F317" s="19"/>
      <c r="G317" s="20">
        <f t="shared" si="8"/>
        <v>91</v>
      </c>
      <c r="H317" s="146" t="s">
        <v>53</v>
      </c>
      <c r="I317" s="27">
        <v>766</v>
      </c>
      <c r="J317" s="28">
        <v>171.2</v>
      </c>
      <c r="K317" s="29">
        <f t="shared" si="9"/>
        <v>11.038</v>
      </c>
      <c r="L317" s="144" t="s">
        <v>72</v>
      </c>
      <c r="M317" s="142" t="str">
        <f>VLOOKUP(L317,Packaging!$B$3:$C$21,2,0)</f>
        <v>390 X 350 X 280</v>
      </c>
      <c r="N317" s="11"/>
      <c r="O317" s="11"/>
      <c r="P317" s="11" t="s">
        <v>55</v>
      </c>
    </row>
    <row r="318" ht="17.25" spans="1:16">
      <c r="A318" s="7" t="s">
        <v>1025</v>
      </c>
      <c r="B318" s="11" t="s">
        <v>1026</v>
      </c>
      <c r="C318" s="9" t="s">
        <v>1027</v>
      </c>
      <c r="D318" s="11" t="s">
        <v>1018</v>
      </c>
      <c r="E318" s="18">
        <v>120</v>
      </c>
      <c r="F318" s="19"/>
      <c r="G318" s="20">
        <f t="shared" si="8"/>
        <v>91</v>
      </c>
      <c r="H318" s="146" t="s">
        <v>53</v>
      </c>
      <c r="I318" s="27"/>
      <c r="J318" s="28">
        <v>67</v>
      </c>
      <c r="K318" s="29">
        <f t="shared" si="9"/>
        <v>8.04</v>
      </c>
      <c r="L318" s="11"/>
      <c r="M318" s="21" t="e">
        <f>VLOOKUP(L318,Packaging!$B$3:$C$21,2,0)</f>
        <v>#N/A</v>
      </c>
      <c r="N318" s="11"/>
      <c r="O318" s="11">
        <v>10</v>
      </c>
      <c r="P318" s="11" t="s">
        <v>55</v>
      </c>
    </row>
    <row r="319" ht="17.25" spans="1:16">
      <c r="A319" s="7" t="s">
        <v>1028</v>
      </c>
      <c r="B319" s="11" t="s">
        <v>1029</v>
      </c>
      <c r="C319" s="9" t="s">
        <v>1030</v>
      </c>
      <c r="D319" s="11" t="s">
        <v>1018</v>
      </c>
      <c r="E319" s="18">
        <v>84</v>
      </c>
      <c r="F319" s="19"/>
      <c r="G319" s="20">
        <f t="shared" si="8"/>
        <v>91</v>
      </c>
      <c r="H319" s="146" t="s">
        <v>53</v>
      </c>
      <c r="I319" s="27">
        <v>766</v>
      </c>
      <c r="J319" s="28">
        <v>143.2</v>
      </c>
      <c r="K319" s="29">
        <f t="shared" si="9"/>
        <v>12.7948</v>
      </c>
      <c r="L319" s="144" t="s">
        <v>72</v>
      </c>
      <c r="M319" s="142" t="str">
        <f>VLOOKUP(L319,Packaging!$B$3:$C$21,2,0)</f>
        <v>390 X 350 X 280</v>
      </c>
      <c r="N319" s="11"/>
      <c r="O319" s="11">
        <v>2</v>
      </c>
      <c r="P319" s="11" t="s">
        <v>55</v>
      </c>
    </row>
    <row r="320" ht="17.25" spans="1:16">
      <c r="A320" s="7" t="s">
        <v>1031</v>
      </c>
      <c r="B320" s="11" t="s">
        <v>1032</v>
      </c>
      <c r="C320" s="9" t="s">
        <v>1033</v>
      </c>
      <c r="D320" s="11" t="s">
        <v>1018</v>
      </c>
      <c r="E320" s="18">
        <v>32</v>
      </c>
      <c r="F320" s="19"/>
      <c r="G320" s="20">
        <f t="shared" si="8"/>
        <v>91</v>
      </c>
      <c r="H320" s="146" t="s">
        <v>53</v>
      </c>
      <c r="I320" s="27">
        <v>278</v>
      </c>
      <c r="J320" s="28">
        <v>164.2</v>
      </c>
      <c r="K320" s="29">
        <f t="shared" si="9"/>
        <v>5.5324</v>
      </c>
      <c r="L320" s="144" t="s">
        <v>161</v>
      </c>
      <c r="M320" s="142" t="str">
        <f>VLOOKUP(L320,Packaging!$B$3:$C$21,2,0)</f>
        <v>360 X 270 X 128</v>
      </c>
      <c r="N320" s="11"/>
      <c r="O320" s="11"/>
      <c r="P320" s="11" t="s">
        <v>55</v>
      </c>
    </row>
    <row r="321" ht="17.25" spans="1:16">
      <c r="A321" s="7" t="s">
        <v>1034</v>
      </c>
      <c r="B321" s="11" t="s">
        <v>1035</v>
      </c>
      <c r="C321" s="9" t="s">
        <v>1036</v>
      </c>
      <c r="D321" s="11" t="s">
        <v>1018</v>
      </c>
      <c r="E321" s="18">
        <v>2000</v>
      </c>
      <c r="F321" s="19"/>
      <c r="G321" s="20">
        <f t="shared" si="8"/>
        <v>91</v>
      </c>
      <c r="H321" s="146" t="s">
        <v>53</v>
      </c>
      <c r="I321" s="27"/>
      <c r="J321" s="28">
        <v>1.6</v>
      </c>
      <c r="K321" s="29">
        <f t="shared" si="9"/>
        <v>3.2</v>
      </c>
      <c r="L321" s="144" t="s">
        <v>54</v>
      </c>
      <c r="M321" s="142" t="str">
        <f>VLOOKUP(L321,Packaging!$B$3:$C$21,2,0)</f>
        <v>290 X 200 X 140</v>
      </c>
      <c r="N321" s="11"/>
      <c r="O321" s="11">
        <v>500</v>
      </c>
      <c r="P321" s="11" t="s">
        <v>55</v>
      </c>
    </row>
    <row r="322" ht="17.25" spans="1:16">
      <c r="A322" s="7" t="s">
        <v>1037</v>
      </c>
      <c r="B322" s="11" t="s">
        <v>1038</v>
      </c>
      <c r="C322" s="9" t="s">
        <v>1039</v>
      </c>
      <c r="D322" s="11" t="s">
        <v>1040</v>
      </c>
      <c r="E322" s="18">
        <v>400</v>
      </c>
      <c r="F322" s="19"/>
      <c r="G322" s="20">
        <f t="shared" si="8"/>
        <v>91</v>
      </c>
      <c r="H322" s="146" t="s">
        <v>53</v>
      </c>
      <c r="I322" s="27"/>
      <c r="J322" s="28">
        <v>33.6</v>
      </c>
      <c r="K322" s="29">
        <f t="shared" si="9"/>
        <v>13.44</v>
      </c>
      <c r="L322" s="11"/>
      <c r="M322" s="21" t="e">
        <f>VLOOKUP(L322,Packaging!$B$3:$C$21,2,0)</f>
        <v>#N/A</v>
      </c>
      <c r="N322" s="11"/>
      <c r="O322" s="11">
        <v>100</v>
      </c>
      <c r="P322" s="11" t="s">
        <v>55</v>
      </c>
    </row>
    <row r="323" ht="17.25" spans="1:16">
      <c r="A323" s="7" t="s">
        <v>1041</v>
      </c>
      <c r="B323" s="11" t="s">
        <v>1042</v>
      </c>
      <c r="C323" s="9" t="s">
        <v>1043</v>
      </c>
      <c r="D323" s="11" t="s">
        <v>1040</v>
      </c>
      <c r="E323" s="18">
        <v>252</v>
      </c>
      <c r="F323" s="19"/>
      <c r="G323" s="20">
        <f t="shared" si="8"/>
        <v>91</v>
      </c>
      <c r="H323" s="146" t="s">
        <v>53</v>
      </c>
      <c r="I323" s="27">
        <v>378</v>
      </c>
      <c r="J323" s="28">
        <v>64.6</v>
      </c>
      <c r="K323" s="29">
        <f t="shared" si="9"/>
        <v>16.6572</v>
      </c>
      <c r="L323" s="144" t="s">
        <v>91</v>
      </c>
      <c r="M323" s="142" t="str">
        <f>VLOOKUP(L323,Packaging!$B$3:$C$21,2,0)</f>
        <v>400 X 240 X 130</v>
      </c>
      <c r="N323" s="11"/>
      <c r="O323" s="11"/>
      <c r="P323" s="11" t="s">
        <v>55</v>
      </c>
    </row>
    <row r="324" ht="17.25" spans="1:16">
      <c r="A324" s="7" t="s">
        <v>1044</v>
      </c>
      <c r="B324" s="11" t="s">
        <v>1045</v>
      </c>
      <c r="C324" s="9" t="s">
        <v>1046</v>
      </c>
      <c r="D324" s="11" t="s">
        <v>1040</v>
      </c>
      <c r="E324" s="18">
        <v>200</v>
      </c>
      <c r="F324" s="19"/>
      <c r="G324" s="20">
        <f t="shared" si="8"/>
        <v>91</v>
      </c>
      <c r="H324" s="146" t="s">
        <v>53</v>
      </c>
      <c r="I324" s="27">
        <v>280</v>
      </c>
      <c r="J324" s="28">
        <v>59.8</v>
      </c>
      <c r="K324" s="29">
        <f t="shared" si="9"/>
        <v>12.24</v>
      </c>
      <c r="L324" s="144" t="s">
        <v>54</v>
      </c>
      <c r="M324" s="142" t="str">
        <f>VLOOKUP(L324,Packaging!$B$3:$C$21,2,0)</f>
        <v>290 X 200 X 140</v>
      </c>
      <c r="N324" s="11"/>
      <c r="O324" s="11"/>
      <c r="P324" s="11" t="s">
        <v>55</v>
      </c>
    </row>
    <row r="325" ht="17.25" spans="1:16">
      <c r="A325" s="7" t="s">
        <v>1047</v>
      </c>
      <c r="B325" s="11" t="s">
        <v>1048</v>
      </c>
      <c r="C325" s="9" t="s">
        <v>1049</v>
      </c>
      <c r="D325" s="11" t="s">
        <v>1040</v>
      </c>
      <c r="E325" s="18">
        <v>1000</v>
      </c>
      <c r="F325" s="19"/>
      <c r="G325" s="20">
        <f t="shared" ref="G325:G347" si="10">F325+91</f>
        <v>91</v>
      </c>
      <c r="H325" s="146" t="s">
        <v>53</v>
      </c>
      <c r="I325" s="27">
        <v>280</v>
      </c>
      <c r="J325" s="28">
        <v>3.6</v>
      </c>
      <c r="K325" s="29">
        <f t="shared" ref="K325:K345" si="11">(I325+(J325*E325))/1000</f>
        <v>3.88</v>
      </c>
      <c r="L325" s="144" t="s">
        <v>54</v>
      </c>
      <c r="M325" s="142" t="str">
        <f>VLOOKUP(L325,Packaging!$B$3:$C$21,2,0)</f>
        <v>290 X 200 X 140</v>
      </c>
      <c r="N325" s="11"/>
      <c r="O325" s="11"/>
      <c r="P325" s="11" t="s">
        <v>55</v>
      </c>
    </row>
    <row r="326" ht="17.25" spans="1:16">
      <c r="A326" s="7" t="s">
        <v>1050</v>
      </c>
      <c r="B326" s="11" t="s">
        <v>1051</v>
      </c>
      <c r="C326" s="9" t="s">
        <v>1052</v>
      </c>
      <c r="D326" s="11" t="s">
        <v>1040</v>
      </c>
      <c r="E326" s="18">
        <v>84</v>
      </c>
      <c r="F326" s="19"/>
      <c r="G326" s="20">
        <f t="shared" si="10"/>
        <v>91</v>
      </c>
      <c r="H326" s="146" t="s">
        <v>53</v>
      </c>
      <c r="I326" s="27"/>
      <c r="J326" s="28">
        <v>79.8</v>
      </c>
      <c r="K326" s="29">
        <f t="shared" si="11"/>
        <v>6.7032</v>
      </c>
      <c r="L326" s="11"/>
      <c r="M326" s="21" t="e">
        <f>VLOOKUP(L326,Packaging!$B$3:$C$21,2,0)</f>
        <v>#N/A</v>
      </c>
      <c r="N326" s="11"/>
      <c r="O326" s="11"/>
      <c r="P326" s="11" t="s">
        <v>55</v>
      </c>
    </row>
    <row r="327" ht="17.25" spans="1:16">
      <c r="A327" s="143" t="s">
        <v>1053</v>
      </c>
      <c r="B327" s="11" t="s">
        <v>1054</v>
      </c>
      <c r="C327" s="9" t="s">
        <v>1055</v>
      </c>
      <c r="D327" s="11" t="s">
        <v>1056</v>
      </c>
      <c r="E327" s="18">
        <v>40</v>
      </c>
      <c r="F327" s="19"/>
      <c r="G327" s="20">
        <f t="shared" si="10"/>
        <v>91</v>
      </c>
      <c r="H327" s="146" t="s">
        <v>53</v>
      </c>
      <c r="I327" s="29">
        <v>0.68</v>
      </c>
      <c r="J327" s="28">
        <v>19.8</v>
      </c>
      <c r="K327" s="29">
        <f t="shared" si="11"/>
        <v>0.79268</v>
      </c>
      <c r="L327" s="11"/>
      <c r="M327" s="21" t="e">
        <f>VLOOKUP(L327,Packaging!$B$3:$C$21,2,0)</f>
        <v>#N/A</v>
      </c>
      <c r="N327" s="11"/>
      <c r="O327" s="11">
        <v>40</v>
      </c>
      <c r="P327" s="11" t="s">
        <v>55</v>
      </c>
    </row>
    <row r="328" ht="17.25" spans="1:16">
      <c r="A328" s="143" t="s">
        <v>1057</v>
      </c>
      <c r="B328" s="11" t="s">
        <v>1058</v>
      </c>
      <c r="C328" s="9" t="s">
        <v>1059</v>
      </c>
      <c r="D328" s="11" t="s">
        <v>1018</v>
      </c>
      <c r="E328" s="18">
        <v>250</v>
      </c>
      <c r="F328" s="19"/>
      <c r="G328" s="20">
        <f t="shared" si="10"/>
        <v>91</v>
      </c>
      <c r="H328" s="146" t="s">
        <v>53</v>
      </c>
      <c r="I328" s="27">
        <v>280</v>
      </c>
      <c r="J328" s="28">
        <v>37</v>
      </c>
      <c r="K328" s="29">
        <f t="shared" si="11"/>
        <v>9.53</v>
      </c>
      <c r="L328" s="144" t="s">
        <v>54</v>
      </c>
      <c r="M328" s="142" t="str">
        <f>VLOOKUP(L328,Packaging!$B$3:$C$21,2,0)</f>
        <v>290 X 200 X 140</v>
      </c>
      <c r="N328" s="11"/>
      <c r="O328" s="11">
        <v>50</v>
      </c>
      <c r="P328" s="11" t="s">
        <v>55</v>
      </c>
    </row>
    <row r="329" ht="17.25" spans="1:16">
      <c r="A329" s="143" t="s">
        <v>1060</v>
      </c>
      <c r="B329" s="11">
        <v>3000011884</v>
      </c>
      <c r="C329" s="9" t="s">
        <v>1061</v>
      </c>
      <c r="D329" s="11" t="s">
        <v>878</v>
      </c>
      <c r="E329" s="18">
        <v>675</v>
      </c>
      <c r="F329" s="19"/>
      <c r="G329" s="20">
        <f t="shared" si="10"/>
        <v>91</v>
      </c>
      <c r="H329" s="11" t="s">
        <v>1062</v>
      </c>
      <c r="I329" s="27">
        <v>244</v>
      </c>
      <c r="J329" s="28">
        <v>28.8</v>
      </c>
      <c r="K329" s="29">
        <f t="shared" si="11"/>
        <v>19.684</v>
      </c>
      <c r="L329" s="144" t="s">
        <v>274</v>
      </c>
      <c r="M329" s="142" t="str">
        <f>VLOOKUP(L329,Packaging!$B$3:$C$21,2,0)</f>
        <v>290 X 200 X 100</v>
      </c>
      <c r="N329" s="11"/>
      <c r="O329" s="11">
        <v>15</v>
      </c>
      <c r="P329" s="11" t="s">
        <v>55</v>
      </c>
    </row>
    <row r="330" ht="17.25" spans="1:16">
      <c r="A330" s="143" t="s">
        <v>1063</v>
      </c>
      <c r="B330" s="11">
        <v>3000011883</v>
      </c>
      <c r="C330" s="9" t="s">
        <v>619</v>
      </c>
      <c r="D330" s="11" t="s">
        <v>878</v>
      </c>
      <c r="E330" s="18">
        <v>240</v>
      </c>
      <c r="F330" s="19"/>
      <c r="G330" s="20">
        <f t="shared" si="10"/>
        <v>91</v>
      </c>
      <c r="H330" s="11" t="s">
        <v>1064</v>
      </c>
      <c r="I330" s="27">
        <v>280</v>
      </c>
      <c r="J330" s="28">
        <v>59.6</v>
      </c>
      <c r="K330" s="29">
        <f t="shared" si="11"/>
        <v>14.584</v>
      </c>
      <c r="L330" s="144" t="s">
        <v>54</v>
      </c>
      <c r="M330" s="142" t="str">
        <f>VLOOKUP(L330,Packaging!$B$3:$C$21,2,0)</f>
        <v>290 X 200 X 140</v>
      </c>
      <c r="N330" s="11"/>
      <c r="O330" s="11">
        <v>10</v>
      </c>
      <c r="P330" s="11" t="s">
        <v>55</v>
      </c>
    </row>
    <row r="331" ht="17.25" spans="1:16">
      <c r="A331" s="143" t="s">
        <v>1065</v>
      </c>
      <c r="B331" s="11" t="s">
        <v>1066</v>
      </c>
      <c r="C331" s="9" t="s">
        <v>1067</v>
      </c>
      <c r="D331" s="11" t="s">
        <v>569</v>
      </c>
      <c r="E331" s="18"/>
      <c r="F331" s="19"/>
      <c r="G331" s="20">
        <f t="shared" si="10"/>
        <v>91</v>
      </c>
      <c r="H331" s="11" t="s">
        <v>1068</v>
      </c>
      <c r="I331" s="27">
        <v>580</v>
      </c>
      <c r="J331" s="28">
        <v>462</v>
      </c>
      <c r="K331" s="29">
        <f t="shared" si="11"/>
        <v>0.58</v>
      </c>
      <c r="L331" s="144" t="s">
        <v>101</v>
      </c>
      <c r="M331" s="142" t="str">
        <f>VLOOKUP(L331,Packaging!$B$3:$C$21,2,0)</f>
        <v>1380 X 150 X 80</v>
      </c>
      <c r="N331" s="11"/>
      <c r="O331" s="11"/>
      <c r="P331" s="11" t="s">
        <v>55</v>
      </c>
    </row>
    <row r="332" ht="17.25" spans="1:16">
      <c r="A332" s="143" t="s">
        <v>1069</v>
      </c>
      <c r="B332" s="11" t="s">
        <v>1070</v>
      </c>
      <c r="C332" s="9" t="s">
        <v>1071</v>
      </c>
      <c r="D332" s="11" t="s">
        <v>569</v>
      </c>
      <c r="E332" s="18"/>
      <c r="F332" s="19"/>
      <c r="G332" s="20">
        <f t="shared" si="10"/>
        <v>91</v>
      </c>
      <c r="H332" s="11" t="s">
        <v>1072</v>
      </c>
      <c r="I332" s="27">
        <v>580</v>
      </c>
      <c r="J332" s="28">
        <v>802</v>
      </c>
      <c r="K332" s="29">
        <f t="shared" si="11"/>
        <v>0.58</v>
      </c>
      <c r="L332" s="144" t="s">
        <v>101</v>
      </c>
      <c r="M332" s="142" t="str">
        <f>VLOOKUP(L332,Packaging!$B$3:$C$21,2,0)</f>
        <v>1380 X 150 X 80</v>
      </c>
      <c r="N332" s="11"/>
      <c r="O332" s="11"/>
      <c r="P332" s="11" t="s">
        <v>55</v>
      </c>
    </row>
    <row r="333" ht="17.25" spans="1:16">
      <c r="A333" s="143" t="s">
        <v>1073</v>
      </c>
      <c r="B333" s="11" t="s">
        <v>1074</v>
      </c>
      <c r="C333" s="9" t="s">
        <v>1075</v>
      </c>
      <c r="D333" s="11" t="s">
        <v>1076</v>
      </c>
      <c r="E333" s="18">
        <v>8</v>
      </c>
      <c r="F333" s="19"/>
      <c r="G333" s="20">
        <f t="shared" si="10"/>
        <v>91</v>
      </c>
      <c r="H333" s="11" t="s">
        <v>53</v>
      </c>
      <c r="I333" s="27">
        <v>2112</v>
      </c>
      <c r="J333" s="28"/>
      <c r="K333" s="29">
        <f t="shared" si="11"/>
        <v>2.112</v>
      </c>
      <c r="L333" s="144" t="s">
        <v>1077</v>
      </c>
      <c r="M333" s="142" t="str">
        <f>VLOOKUP(L333,Packaging!$B$3:$C$21,2,0)</f>
        <v>1460 X 200 X 160</v>
      </c>
      <c r="N333" s="11"/>
      <c r="O333" s="11"/>
      <c r="P333" s="11" t="s">
        <v>55</v>
      </c>
    </row>
    <row r="334" ht="17.25" spans="1:16">
      <c r="A334" s="143" t="s">
        <v>1078</v>
      </c>
      <c r="B334" s="11" t="s">
        <v>1079</v>
      </c>
      <c r="C334" s="9" t="s">
        <v>1080</v>
      </c>
      <c r="D334" s="11" t="s">
        <v>1081</v>
      </c>
      <c r="E334" s="18" t="s">
        <v>53</v>
      </c>
      <c r="F334" s="19"/>
      <c r="G334" s="20">
        <f t="shared" si="10"/>
        <v>91</v>
      </c>
      <c r="H334" s="11" t="s">
        <v>1082</v>
      </c>
      <c r="I334" s="27"/>
      <c r="J334" s="28"/>
      <c r="K334" s="29" t="e">
        <f t="shared" si="11"/>
        <v>#VALUE!</v>
      </c>
      <c r="L334" s="36"/>
      <c r="M334" s="21" t="e">
        <f>VLOOKUP(L334,Packaging!$B$3:$C$21,2,0)</f>
        <v>#N/A</v>
      </c>
      <c r="N334" s="11"/>
      <c r="O334" s="11"/>
      <c r="P334" s="11" t="s">
        <v>55</v>
      </c>
    </row>
    <row r="335" ht="17.25" spans="1:16">
      <c r="A335" s="143" t="s">
        <v>1083</v>
      </c>
      <c r="B335" s="11" t="s">
        <v>1084</v>
      </c>
      <c r="C335" s="9" t="s">
        <v>1085</v>
      </c>
      <c r="D335" s="11" t="s">
        <v>1081</v>
      </c>
      <c r="E335" s="18" t="s">
        <v>53</v>
      </c>
      <c r="F335" s="19"/>
      <c r="G335" s="20">
        <f t="shared" si="10"/>
        <v>91</v>
      </c>
      <c r="H335" s="11" t="s">
        <v>1082</v>
      </c>
      <c r="I335" s="27"/>
      <c r="J335" s="28"/>
      <c r="K335" s="29" t="e">
        <f t="shared" si="11"/>
        <v>#VALUE!</v>
      </c>
      <c r="L335" s="36"/>
      <c r="M335" s="21" t="e">
        <f>VLOOKUP(L335,Packaging!$B$3:$C$21,2,0)</f>
        <v>#N/A</v>
      </c>
      <c r="N335" s="11"/>
      <c r="O335" s="11"/>
      <c r="P335" s="11" t="s">
        <v>55</v>
      </c>
    </row>
    <row r="336" ht="17.25" spans="1:16">
      <c r="A336" s="143" t="s">
        <v>1086</v>
      </c>
      <c r="B336" s="11" t="s">
        <v>1087</v>
      </c>
      <c r="C336" s="9" t="s">
        <v>1088</v>
      </c>
      <c r="D336" s="11" t="s">
        <v>1081</v>
      </c>
      <c r="E336" s="18">
        <v>1450</v>
      </c>
      <c r="F336" s="19"/>
      <c r="G336" s="20">
        <f t="shared" si="10"/>
        <v>91</v>
      </c>
      <c r="H336" s="11" t="s">
        <v>1089</v>
      </c>
      <c r="I336" s="27"/>
      <c r="J336" s="28"/>
      <c r="K336" s="29">
        <f t="shared" si="11"/>
        <v>0</v>
      </c>
      <c r="L336" s="36"/>
      <c r="M336" s="21" t="e">
        <f>VLOOKUP(L336,Packaging!$B$3:$C$21,2,0)</f>
        <v>#N/A</v>
      </c>
      <c r="N336" s="11"/>
      <c r="O336" s="11"/>
      <c r="P336" s="11" t="s">
        <v>55</v>
      </c>
    </row>
    <row r="337" ht="17.25" spans="1:16">
      <c r="A337" s="143" t="s">
        <v>1090</v>
      </c>
      <c r="B337" s="11" t="s">
        <v>1091</v>
      </c>
      <c r="C337" s="9" t="s">
        <v>1092</v>
      </c>
      <c r="D337" s="11" t="s">
        <v>1093</v>
      </c>
      <c r="E337" s="18">
        <v>30</v>
      </c>
      <c r="F337" s="19"/>
      <c r="G337" s="20">
        <f t="shared" si="10"/>
        <v>91</v>
      </c>
      <c r="H337" s="11" t="s">
        <v>53</v>
      </c>
      <c r="I337" s="27">
        <v>430</v>
      </c>
      <c r="J337" s="28">
        <v>262</v>
      </c>
      <c r="K337" s="29">
        <f t="shared" si="11"/>
        <v>8.29</v>
      </c>
      <c r="L337" s="144" t="s">
        <v>83</v>
      </c>
      <c r="M337" s="142" t="str">
        <f>VLOOKUP(L337,Packaging!$B$3:$C$21,2,0)</f>
        <v>560 X 175 X 155</v>
      </c>
      <c r="N337" s="11" t="s">
        <v>53</v>
      </c>
      <c r="O337" s="11">
        <v>2</v>
      </c>
      <c r="P337" s="11" t="s">
        <v>55</v>
      </c>
    </row>
    <row r="338" ht="17.25" spans="1:16">
      <c r="A338" s="143" t="s">
        <v>1094</v>
      </c>
      <c r="B338" s="11">
        <v>3000003318</v>
      </c>
      <c r="C338" s="9" t="s">
        <v>1095</v>
      </c>
      <c r="D338" s="11" t="s">
        <v>1096</v>
      </c>
      <c r="E338" s="18">
        <v>1</v>
      </c>
      <c r="F338" s="19"/>
      <c r="G338" s="20">
        <f t="shared" si="10"/>
        <v>91</v>
      </c>
      <c r="H338" s="11" t="s">
        <v>1097</v>
      </c>
      <c r="I338" s="27">
        <v>157</v>
      </c>
      <c r="J338" s="28">
        <v>2863</v>
      </c>
      <c r="K338" s="29">
        <f t="shared" si="11"/>
        <v>3.02</v>
      </c>
      <c r="L338" s="144" t="s">
        <v>1098</v>
      </c>
      <c r="M338" s="142" t="str">
        <f>VLOOKUP(L338,Packaging!$B$3:$C$21,2,0)</f>
        <v>620 X 120 X 150</v>
      </c>
      <c r="N338" s="11"/>
      <c r="O338" s="11">
        <v>1</v>
      </c>
      <c r="P338" s="11" t="s">
        <v>55</v>
      </c>
    </row>
    <row r="339" ht="17.25" spans="1:16">
      <c r="A339" s="143" t="s">
        <v>1099</v>
      </c>
      <c r="B339" s="11">
        <v>3000003864</v>
      </c>
      <c r="C339" s="9" t="s">
        <v>1100</v>
      </c>
      <c r="D339" s="11" t="s">
        <v>1096</v>
      </c>
      <c r="E339" s="18"/>
      <c r="F339" s="19"/>
      <c r="G339" s="20">
        <f t="shared" si="10"/>
        <v>91</v>
      </c>
      <c r="H339" s="11" t="s">
        <v>1101</v>
      </c>
      <c r="I339" s="28">
        <v>13.4</v>
      </c>
      <c r="J339" s="28"/>
      <c r="K339" s="29">
        <f t="shared" si="11"/>
        <v>0.0134</v>
      </c>
      <c r="L339" s="144" t="s">
        <v>54</v>
      </c>
      <c r="M339" s="142" t="str">
        <f>VLOOKUP(L339,Packaging!$B$3:$C$21,2,0)</f>
        <v>290 X 200 X 140</v>
      </c>
      <c r="N339" s="11"/>
      <c r="O339" s="11">
        <v>20</v>
      </c>
      <c r="P339" s="11" t="s">
        <v>55</v>
      </c>
    </row>
    <row r="340" ht="17.25" spans="1:16">
      <c r="A340" s="143" t="s">
        <v>1102</v>
      </c>
      <c r="B340" s="11" t="s">
        <v>1103</v>
      </c>
      <c r="C340" s="9" t="s">
        <v>1088</v>
      </c>
      <c r="D340" s="11" t="s">
        <v>1081</v>
      </c>
      <c r="E340" s="18">
        <v>1450</v>
      </c>
      <c r="F340" s="19"/>
      <c r="G340" s="20">
        <f t="shared" si="10"/>
        <v>91</v>
      </c>
      <c r="H340" s="11" t="s">
        <v>53</v>
      </c>
      <c r="I340" s="27" t="s">
        <v>53</v>
      </c>
      <c r="J340" s="28">
        <v>16.3</v>
      </c>
      <c r="K340" s="29" t="e">
        <f t="shared" si="11"/>
        <v>#VALUE!</v>
      </c>
      <c r="L340" s="36"/>
      <c r="M340" s="21" t="e">
        <f>VLOOKUP(L340,Packaging!$B$3:$C$21,2,0)</f>
        <v>#N/A</v>
      </c>
      <c r="N340" s="11"/>
      <c r="O340" s="11">
        <v>15</v>
      </c>
      <c r="P340" s="11" t="s">
        <v>55</v>
      </c>
    </row>
    <row r="341" ht="17.25" spans="1:16">
      <c r="A341" s="143" t="s">
        <v>1104</v>
      </c>
      <c r="B341" s="11" t="s">
        <v>1105</v>
      </c>
      <c r="C341" s="147" t="s">
        <v>1106</v>
      </c>
      <c r="D341" s="11" t="s">
        <v>1107</v>
      </c>
      <c r="E341" s="18">
        <v>480</v>
      </c>
      <c r="F341" s="19"/>
      <c r="G341" s="20">
        <f t="shared" si="10"/>
        <v>91</v>
      </c>
      <c r="H341" s="11" t="s">
        <v>53</v>
      </c>
      <c r="I341" s="27">
        <v>244</v>
      </c>
      <c r="J341" s="28">
        <v>20</v>
      </c>
      <c r="K341" s="29">
        <f t="shared" si="11"/>
        <v>9.844</v>
      </c>
      <c r="L341" s="144" t="s">
        <v>274</v>
      </c>
      <c r="M341" s="142" t="str">
        <f>VLOOKUP(L341,Packaging!$B$3:$C$21,2,0)</f>
        <v>290 X 200 X 100</v>
      </c>
      <c r="N341" s="11"/>
      <c r="O341" s="11">
        <v>24</v>
      </c>
      <c r="P341" s="11" t="s">
        <v>55</v>
      </c>
    </row>
    <row r="342" ht="17.25" spans="1:16">
      <c r="A342" s="143" t="s">
        <v>1108</v>
      </c>
      <c r="B342" s="11" t="s">
        <v>1109</v>
      </c>
      <c r="C342" s="9" t="s">
        <v>1092</v>
      </c>
      <c r="D342" s="11" t="s">
        <v>1093</v>
      </c>
      <c r="E342" s="18">
        <v>30</v>
      </c>
      <c r="F342" s="19"/>
      <c r="G342" s="20">
        <f t="shared" si="10"/>
        <v>91</v>
      </c>
      <c r="H342" s="11" t="s">
        <v>53</v>
      </c>
      <c r="I342" s="27">
        <v>430</v>
      </c>
      <c r="J342" s="28">
        <v>262</v>
      </c>
      <c r="K342" s="29">
        <f t="shared" si="11"/>
        <v>8.29</v>
      </c>
      <c r="L342" s="144" t="s">
        <v>83</v>
      </c>
      <c r="M342" s="142" t="str">
        <f>VLOOKUP(L342,Packaging!$B$3:$C$21,2,0)</f>
        <v>560 X 175 X 155</v>
      </c>
      <c r="N342" s="11"/>
      <c r="O342" s="11">
        <v>2</v>
      </c>
      <c r="P342" s="11" t="s">
        <v>55</v>
      </c>
    </row>
    <row r="343" ht="17.25" spans="1:16">
      <c r="A343" s="143" t="s">
        <v>1110</v>
      </c>
      <c r="B343" s="11" t="s">
        <v>1111</v>
      </c>
      <c r="C343" s="9" t="s">
        <v>1100</v>
      </c>
      <c r="D343" s="11" t="s">
        <v>1096</v>
      </c>
      <c r="E343" s="18"/>
      <c r="F343" s="19"/>
      <c r="G343" s="20">
        <f t="shared" si="10"/>
        <v>91</v>
      </c>
      <c r="H343" s="11" t="s">
        <v>1112</v>
      </c>
      <c r="I343" s="27">
        <v>244</v>
      </c>
      <c r="J343" s="28">
        <v>76</v>
      </c>
      <c r="K343" s="29">
        <f t="shared" si="11"/>
        <v>0.244</v>
      </c>
      <c r="L343" s="144" t="s">
        <v>274</v>
      </c>
      <c r="M343" s="142" t="str">
        <f>VLOOKUP(L343,Packaging!$B$3:$C$21,2,0)</f>
        <v>290 X 200 X 100</v>
      </c>
      <c r="N343" s="11" t="s">
        <v>1113</v>
      </c>
      <c r="O343" s="11"/>
      <c r="P343" s="11" t="s">
        <v>55</v>
      </c>
    </row>
    <row r="344" ht="17.25" spans="1:16">
      <c r="A344" s="143" t="s">
        <v>1114</v>
      </c>
      <c r="B344" s="11" t="s">
        <v>1115</v>
      </c>
      <c r="C344" s="9" t="s">
        <v>1116</v>
      </c>
      <c r="D344" s="11" t="s">
        <v>1096</v>
      </c>
      <c r="E344" s="18"/>
      <c r="F344" s="19"/>
      <c r="G344" s="20">
        <f t="shared" si="10"/>
        <v>91</v>
      </c>
      <c r="H344" s="11" t="s">
        <v>1117</v>
      </c>
      <c r="I344" s="27">
        <v>244</v>
      </c>
      <c r="J344" s="28">
        <v>72</v>
      </c>
      <c r="K344" s="29">
        <f t="shared" si="11"/>
        <v>0.244</v>
      </c>
      <c r="L344" s="144" t="s">
        <v>274</v>
      </c>
      <c r="M344" s="142" t="str">
        <f>VLOOKUP(L344,Packaging!$B$3:$C$21,2,0)</f>
        <v>290 X 200 X 100</v>
      </c>
      <c r="N344" s="11" t="s">
        <v>1113</v>
      </c>
      <c r="O344" s="11"/>
      <c r="P344" s="11" t="s">
        <v>55</v>
      </c>
    </row>
    <row r="345" ht="17.25" spans="1:16">
      <c r="A345" s="143" t="s">
        <v>1118</v>
      </c>
      <c r="B345" s="11" t="s">
        <v>1119</v>
      </c>
      <c r="C345" s="9" t="s">
        <v>1120</v>
      </c>
      <c r="D345" s="11" t="s">
        <v>1121</v>
      </c>
      <c r="E345" s="18">
        <v>800</v>
      </c>
      <c r="F345" s="19"/>
      <c r="G345" s="20">
        <f t="shared" si="10"/>
        <v>91</v>
      </c>
      <c r="H345" s="11" t="s">
        <v>53</v>
      </c>
      <c r="I345" s="27">
        <v>280</v>
      </c>
      <c r="J345" s="28">
        <v>28.5</v>
      </c>
      <c r="K345" s="29">
        <f t="shared" si="11"/>
        <v>23.08</v>
      </c>
      <c r="L345" s="144" t="s">
        <v>54</v>
      </c>
      <c r="M345" s="142" t="str">
        <f>VLOOKUP(L345,Packaging!$B$3:$C$21,2,0)</f>
        <v>290 X 200 X 140</v>
      </c>
      <c r="N345" s="11"/>
      <c r="O345" s="11">
        <v>100</v>
      </c>
      <c r="P345" s="11" t="s">
        <v>55</v>
      </c>
    </row>
    <row r="346" ht="17.25" spans="1:16">
      <c r="A346" s="143" t="s">
        <v>1122</v>
      </c>
      <c r="B346" s="11">
        <v>954966</v>
      </c>
      <c r="C346" s="9" t="s">
        <v>867</v>
      </c>
      <c r="D346" s="11" t="s">
        <v>1096</v>
      </c>
      <c r="E346" s="18">
        <v>100</v>
      </c>
      <c r="F346" s="19"/>
      <c r="G346" s="20">
        <f t="shared" si="10"/>
        <v>91</v>
      </c>
      <c r="H346" s="11" t="s">
        <v>1123</v>
      </c>
      <c r="I346" s="27">
        <v>280</v>
      </c>
      <c r="J346" s="28">
        <v>152.6</v>
      </c>
      <c r="K346" s="29">
        <v>0.28</v>
      </c>
      <c r="L346" s="144" t="s">
        <v>54</v>
      </c>
      <c r="M346" s="142" t="str">
        <f>VLOOKUP(L346,Packaging!$B$3:$C$21,2,0)</f>
        <v>290 X 200 X 140</v>
      </c>
      <c r="N346" s="11"/>
      <c r="O346" s="11">
        <v>5</v>
      </c>
      <c r="P346" s="11" t="s">
        <v>55</v>
      </c>
    </row>
    <row r="347" ht="17.25" spans="1:16">
      <c r="A347" s="143" t="s">
        <v>1124</v>
      </c>
      <c r="B347" s="11">
        <v>954967</v>
      </c>
      <c r="C347" s="9" t="s">
        <v>871</v>
      </c>
      <c r="D347" s="11" t="s">
        <v>1096</v>
      </c>
      <c r="E347" s="18">
        <v>100</v>
      </c>
      <c r="F347" s="19"/>
      <c r="G347" s="20">
        <f t="shared" si="10"/>
        <v>91</v>
      </c>
      <c r="H347" s="11" t="s">
        <v>1123</v>
      </c>
      <c r="I347" s="27">
        <v>280</v>
      </c>
      <c r="J347" s="28">
        <v>152.6</v>
      </c>
      <c r="K347" s="29">
        <v>0.28</v>
      </c>
      <c r="L347" s="144" t="s">
        <v>54</v>
      </c>
      <c r="M347" s="142" t="str">
        <f>VLOOKUP(L347,Packaging!$B$3:$C$21,2,0)</f>
        <v>290 X 200 X 140</v>
      </c>
      <c r="N347" s="11"/>
      <c r="O347" s="11">
        <v>5</v>
      </c>
      <c r="P347" s="11" t="s">
        <v>55</v>
      </c>
    </row>
    <row r="348" ht="17.25" spans="1:16">
      <c r="A348" s="143" t="s">
        <v>1125</v>
      </c>
      <c r="B348" s="11">
        <v>3000013624</v>
      </c>
      <c r="C348" s="9" t="s">
        <v>1126</v>
      </c>
      <c r="D348" s="11" t="s">
        <v>1096</v>
      </c>
      <c r="E348" s="18">
        <v>20</v>
      </c>
      <c r="F348" s="19"/>
      <c r="G348" s="20">
        <v>91</v>
      </c>
      <c r="H348" s="11" t="s">
        <v>1127</v>
      </c>
      <c r="I348" s="27">
        <v>580</v>
      </c>
      <c r="J348" s="28">
        <v>459</v>
      </c>
      <c r="K348" s="29">
        <v>0.58</v>
      </c>
      <c r="L348" s="144" t="s">
        <v>101</v>
      </c>
      <c r="M348" s="142" t="s">
        <v>887</v>
      </c>
      <c r="N348" s="11"/>
      <c r="O348" s="11">
        <v>1</v>
      </c>
      <c r="P348" s="11" t="s">
        <v>55</v>
      </c>
    </row>
    <row r="349" ht="17.25" spans="1:16">
      <c r="A349" s="143" t="s">
        <v>1128</v>
      </c>
      <c r="B349" s="11" t="s">
        <v>1129</v>
      </c>
      <c r="C349" s="9" t="s">
        <v>1130</v>
      </c>
      <c r="D349" s="11" t="s">
        <v>1107</v>
      </c>
      <c r="E349" s="18">
        <v>400</v>
      </c>
      <c r="F349" s="19"/>
      <c r="G349" s="20">
        <f t="shared" ref="G349:G375" si="12">F349+91</f>
        <v>91</v>
      </c>
      <c r="H349" s="11" t="s">
        <v>53</v>
      </c>
      <c r="I349" s="27">
        <v>280</v>
      </c>
      <c r="J349" s="28">
        <v>19.5</v>
      </c>
      <c r="K349" s="29">
        <f t="shared" ref="K349:K375" si="13">(I349+(J349*E349))/1000</f>
        <v>8.08</v>
      </c>
      <c r="L349" s="144" t="s">
        <v>54</v>
      </c>
      <c r="M349" s="142" t="str">
        <f>VLOOKUP(L349,Packaging!$B$3:$C$21,2,0)</f>
        <v>290 X 200 X 140</v>
      </c>
      <c r="N349" s="11"/>
      <c r="O349" s="11">
        <v>20</v>
      </c>
      <c r="P349" s="11" t="s">
        <v>55</v>
      </c>
    </row>
    <row r="350" ht="17.25" spans="1:16">
      <c r="A350" s="143" t="s">
        <v>1131</v>
      </c>
      <c r="B350" s="11" t="s">
        <v>1132</v>
      </c>
      <c r="C350" s="9" t="s">
        <v>1133</v>
      </c>
      <c r="D350" s="11" t="s">
        <v>1107</v>
      </c>
      <c r="E350" s="18">
        <v>400</v>
      </c>
      <c r="F350" s="19"/>
      <c r="G350" s="20">
        <f t="shared" si="12"/>
        <v>91</v>
      </c>
      <c r="H350" s="11" t="s">
        <v>53</v>
      </c>
      <c r="I350" s="27">
        <v>280</v>
      </c>
      <c r="J350" s="28">
        <v>19.5</v>
      </c>
      <c r="K350" s="29">
        <f t="shared" si="13"/>
        <v>8.08</v>
      </c>
      <c r="L350" s="144" t="s">
        <v>54</v>
      </c>
      <c r="M350" s="142" t="str">
        <f>VLOOKUP(L350,Packaging!$B$3:$C$21,2,0)</f>
        <v>290 X 200 X 140</v>
      </c>
      <c r="N350" s="11"/>
      <c r="O350" s="11">
        <v>20</v>
      </c>
      <c r="P350" s="11" t="s">
        <v>55</v>
      </c>
    </row>
    <row r="351" ht="17.25" spans="1:16">
      <c r="A351" s="143" t="s">
        <v>1134</v>
      </c>
      <c r="B351" s="146" t="s">
        <v>1135</v>
      </c>
      <c r="C351" s="9" t="s">
        <v>1120</v>
      </c>
      <c r="D351" s="11" t="s">
        <v>1121</v>
      </c>
      <c r="E351" s="18">
        <v>250</v>
      </c>
      <c r="F351" s="19"/>
      <c r="G351" s="20">
        <f t="shared" si="12"/>
        <v>91</v>
      </c>
      <c r="H351" s="11" t="s">
        <v>53</v>
      </c>
      <c r="I351" s="27">
        <v>244</v>
      </c>
      <c r="J351" s="28">
        <v>76.5</v>
      </c>
      <c r="K351" s="29">
        <f t="shared" si="13"/>
        <v>19.369</v>
      </c>
      <c r="L351" s="144" t="s">
        <v>274</v>
      </c>
      <c r="M351" s="142" t="str">
        <f>VLOOKUP(L351,Packaging!$B$3:$C$21,2,0)</f>
        <v>290 X 200 X 100</v>
      </c>
      <c r="N351" s="11"/>
      <c r="O351" s="11">
        <v>50</v>
      </c>
      <c r="P351" s="11" t="s">
        <v>55</v>
      </c>
    </row>
    <row r="352" ht="17.25" spans="1:16">
      <c r="A352" s="143" t="s">
        <v>1136</v>
      </c>
      <c r="B352" s="146" t="s">
        <v>1137</v>
      </c>
      <c r="C352" s="9" t="s">
        <v>90</v>
      </c>
      <c r="D352" s="11" t="s">
        <v>1138</v>
      </c>
      <c r="E352" s="18">
        <v>28</v>
      </c>
      <c r="F352" s="19"/>
      <c r="G352" s="20">
        <f t="shared" si="12"/>
        <v>91</v>
      </c>
      <c r="H352" s="11" t="s">
        <v>53</v>
      </c>
      <c r="I352" s="27">
        <v>378</v>
      </c>
      <c r="J352" s="28">
        <v>438</v>
      </c>
      <c r="K352" s="29">
        <f t="shared" si="13"/>
        <v>12.642</v>
      </c>
      <c r="L352" s="144" t="s">
        <v>91</v>
      </c>
      <c r="M352" s="142" t="str">
        <f>VLOOKUP(L352,Packaging!$B$3:$C$21,2,0)</f>
        <v>400 X 240 X 130</v>
      </c>
      <c r="N352" s="11"/>
      <c r="O352" s="11">
        <v>2</v>
      </c>
      <c r="P352" s="11" t="s">
        <v>55</v>
      </c>
    </row>
    <row r="353" ht="17.25" spans="1:16">
      <c r="A353" s="143" t="s">
        <v>1139</v>
      </c>
      <c r="B353" s="146" t="s">
        <v>1140</v>
      </c>
      <c r="C353" s="9" t="s">
        <v>1141</v>
      </c>
      <c r="D353" s="11" t="s">
        <v>1107</v>
      </c>
      <c r="E353" s="18">
        <v>40</v>
      </c>
      <c r="F353" s="19"/>
      <c r="G353" s="20">
        <f t="shared" si="12"/>
        <v>91</v>
      </c>
      <c r="H353" s="11" t="s">
        <v>53</v>
      </c>
      <c r="I353" s="27">
        <v>378</v>
      </c>
      <c r="J353" s="28">
        <v>82.5</v>
      </c>
      <c r="K353" s="29">
        <f t="shared" si="13"/>
        <v>3.678</v>
      </c>
      <c r="L353" s="144" t="s">
        <v>91</v>
      </c>
      <c r="M353" s="142" t="str">
        <f>VLOOKUP(L353,Packaging!$B$3:$C$21,2,0)</f>
        <v>400 X 240 X 130</v>
      </c>
      <c r="N353" s="11"/>
      <c r="O353" s="11">
        <v>1</v>
      </c>
      <c r="P353" s="11" t="s">
        <v>55</v>
      </c>
    </row>
    <row r="354" ht="17.25" spans="1:16">
      <c r="A354" s="143" t="s">
        <v>1142</v>
      </c>
      <c r="B354" s="146" t="s">
        <v>1143</v>
      </c>
      <c r="C354" s="9" t="s">
        <v>1075</v>
      </c>
      <c r="D354" s="11" t="s">
        <v>1107</v>
      </c>
      <c r="E354" s="18">
        <v>84</v>
      </c>
      <c r="F354" s="19"/>
      <c r="G354" s="20">
        <f t="shared" si="12"/>
        <v>91</v>
      </c>
      <c r="H354" s="11" t="s">
        <v>53</v>
      </c>
      <c r="I354" s="27">
        <v>378</v>
      </c>
      <c r="J354" s="28">
        <v>40.5</v>
      </c>
      <c r="K354" s="29">
        <f t="shared" si="13"/>
        <v>3.78</v>
      </c>
      <c r="L354" s="144" t="s">
        <v>91</v>
      </c>
      <c r="M354" s="142" t="str">
        <f>VLOOKUP(L354,Packaging!$B$3:$C$21,2,0)</f>
        <v>400 X 240 X 130</v>
      </c>
      <c r="N354" s="11"/>
      <c r="O354" s="11">
        <v>2</v>
      </c>
      <c r="P354" s="11" t="s">
        <v>55</v>
      </c>
    </row>
    <row r="355" ht="17.25" spans="1:16">
      <c r="A355" s="143" t="s">
        <v>1144</v>
      </c>
      <c r="B355" s="146" t="s">
        <v>1145</v>
      </c>
      <c r="C355" s="9" t="s">
        <v>1146</v>
      </c>
      <c r="D355" s="11" t="s">
        <v>1107</v>
      </c>
      <c r="E355" s="18">
        <v>80</v>
      </c>
      <c r="F355" s="19"/>
      <c r="G355" s="20">
        <f t="shared" si="12"/>
        <v>91</v>
      </c>
      <c r="H355" s="11" t="s">
        <v>53</v>
      </c>
      <c r="I355" s="27">
        <v>244</v>
      </c>
      <c r="J355" s="28">
        <v>76</v>
      </c>
      <c r="K355" s="29">
        <f t="shared" si="13"/>
        <v>6.324</v>
      </c>
      <c r="L355" s="144" t="s">
        <v>274</v>
      </c>
      <c r="M355" s="142" t="str">
        <f>VLOOKUP(L355,Packaging!$B$3:$C$21,2,0)</f>
        <v>290 X 200 X 100</v>
      </c>
      <c r="N355" s="11"/>
      <c r="O355" s="11">
        <v>2</v>
      </c>
      <c r="P355" s="11" t="s">
        <v>55</v>
      </c>
    </row>
    <row r="356" ht="17.25" spans="1:16">
      <c r="A356" s="143" t="s">
        <v>1147</v>
      </c>
      <c r="B356" s="146" t="s">
        <v>1148</v>
      </c>
      <c r="C356" s="9" t="s">
        <v>1149</v>
      </c>
      <c r="D356" s="11" t="s">
        <v>1107</v>
      </c>
      <c r="E356" s="18">
        <v>500</v>
      </c>
      <c r="F356" s="19"/>
      <c r="G356" s="20">
        <f t="shared" si="12"/>
        <v>91</v>
      </c>
      <c r="H356" s="11" t="s">
        <v>53</v>
      </c>
      <c r="I356" s="27">
        <v>244</v>
      </c>
      <c r="J356" s="28">
        <v>22</v>
      </c>
      <c r="K356" s="29">
        <f t="shared" si="13"/>
        <v>11.244</v>
      </c>
      <c r="L356" s="144" t="s">
        <v>274</v>
      </c>
      <c r="M356" s="142" t="str">
        <f>VLOOKUP(L356,Packaging!$B$3:$C$21,2,0)</f>
        <v>290 X 200 X 100</v>
      </c>
      <c r="N356" s="11"/>
      <c r="O356" s="11">
        <v>50</v>
      </c>
      <c r="P356" s="11" t="s">
        <v>55</v>
      </c>
    </row>
    <row r="357" ht="17.25" spans="1:16">
      <c r="A357" s="143" t="s">
        <v>1150</v>
      </c>
      <c r="B357" s="146" t="s">
        <v>1151</v>
      </c>
      <c r="C357" s="9" t="s">
        <v>1152</v>
      </c>
      <c r="D357" s="11" t="s">
        <v>1107</v>
      </c>
      <c r="E357" s="18">
        <v>120</v>
      </c>
      <c r="F357" s="19"/>
      <c r="G357" s="20">
        <f t="shared" si="12"/>
        <v>91</v>
      </c>
      <c r="H357" s="11" t="s">
        <v>53</v>
      </c>
      <c r="I357" s="27">
        <v>244</v>
      </c>
      <c r="J357" s="28">
        <v>16.5</v>
      </c>
      <c r="K357" s="29">
        <f t="shared" si="13"/>
        <v>2.224</v>
      </c>
      <c r="L357" s="144" t="s">
        <v>274</v>
      </c>
      <c r="M357" s="142" t="str">
        <f>VLOOKUP(L357,Packaging!$B$3:$C$21,2,0)</f>
        <v>290 X 200 X 100</v>
      </c>
      <c r="N357" s="11"/>
      <c r="O357" s="11">
        <v>10</v>
      </c>
      <c r="P357" s="11" t="s">
        <v>55</v>
      </c>
    </row>
    <row r="358" ht="17.25" spans="1:16">
      <c r="A358" s="143" t="s">
        <v>1153</v>
      </c>
      <c r="B358" s="146" t="s">
        <v>1154</v>
      </c>
      <c r="C358" s="9" t="s">
        <v>1155</v>
      </c>
      <c r="D358" s="11" t="s">
        <v>1107</v>
      </c>
      <c r="E358" s="18">
        <v>35</v>
      </c>
      <c r="F358" s="19"/>
      <c r="G358" s="20">
        <f t="shared" si="12"/>
        <v>91</v>
      </c>
      <c r="H358" s="11" t="s">
        <v>53</v>
      </c>
      <c r="I358" s="27">
        <v>378</v>
      </c>
      <c r="J358" s="28">
        <v>20</v>
      </c>
      <c r="K358" s="29">
        <f t="shared" si="13"/>
        <v>1.078</v>
      </c>
      <c r="L358" s="144" t="s">
        <v>91</v>
      </c>
      <c r="M358" s="142" t="str">
        <f>VLOOKUP(L358,Packaging!$B$3:$C$21,2,0)</f>
        <v>400 X 240 X 130</v>
      </c>
      <c r="N358" s="11"/>
      <c r="O358" s="11">
        <v>5</v>
      </c>
      <c r="P358" s="11" t="s">
        <v>55</v>
      </c>
    </row>
    <row r="359" ht="17.25" spans="1:16">
      <c r="A359" s="143" t="s">
        <v>1156</v>
      </c>
      <c r="B359" s="146" t="s">
        <v>1157</v>
      </c>
      <c r="C359" s="9" t="s">
        <v>1158</v>
      </c>
      <c r="D359" s="11" t="s">
        <v>1107</v>
      </c>
      <c r="E359" s="18">
        <v>500</v>
      </c>
      <c r="F359" s="19"/>
      <c r="G359" s="20">
        <f t="shared" si="12"/>
        <v>91</v>
      </c>
      <c r="H359" s="11" t="s">
        <v>53</v>
      </c>
      <c r="I359" s="27">
        <v>278</v>
      </c>
      <c r="J359" s="28">
        <v>8</v>
      </c>
      <c r="K359" s="29">
        <f t="shared" si="13"/>
        <v>4.278</v>
      </c>
      <c r="L359" s="144" t="s">
        <v>161</v>
      </c>
      <c r="M359" s="142" t="str">
        <f>VLOOKUP(L359,Packaging!$B$3:$C$21,2,0)</f>
        <v>360 X 270 X 128</v>
      </c>
      <c r="N359" s="11"/>
      <c r="O359" s="11">
        <v>50</v>
      </c>
      <c r="P359" s="11" t="s">
        <v>55</v>
      </c>
    </row>
    <row r="360" ht="17.25" spans="1:16">
      <c r="A360" s="143" t="s">
        <v>1159</v>
      </c>
      <c r="B360" s="146" t="s">
        <v>1160</v>
      </c>
      <c r="C360" s="9" t="s">
        <v>1161</v>
      </c>
      <c r="D360" s="11" t="s">
        <v>1107</v>
      </c>
      <c r="E360" s="18">
        <v>40</v>
      </c>
      <c r="F360" s="19"/>
      <c r="G360" s="20">
        <f t="shared" si="12"/>
        <v>91</v>
      </c>
      <c r="H360" s="11" t="s">
        <v>53</v>
      </c>
      <c r="I360" s="27">
        <v>244</v>
      </c>
      <c r="J360" s="28">
        <v>98</v>
      </c>
      <c r="K360" s="29">
        <f t="shared" si="13"/>
        <v>4.164</v>
      </c>
      <c r="L360" s="144" t="s">
        <v>274</v>
      </c>
      <c r="M360" s="142" t="str">
        <f>VLOOKUP(L360,Packaging!$B$3:$C$21,2,0)</f>
        <v>290 X 200 X 100</v>
      </c>
      <c r="N360" s="11"/>
      <c r="O360" s="11">
        <v>1</v>
      </c>
      <c r="P360" s="11" t="s">
        <v>55</v>
      </c>
    </row>
    <row r="361" ht="17.25" spans="1:16">
      <c r="A361" s="143" t="s">
        <v>1162</v>
      </c>
      <c r="B361" s="146" t="s">
        <v>1163</v>
      </c>
      <c r="C361" s="9" t="s">
        <v>1164</v>
      </c>
      <c r="D361" s="11" t="s">
        <v>1107</v>
      </c>
      <c r="E361" s="18">
        <v>1000</v>
      </c>
      <c r="F361" s="19"/>
      <c r="G361" s="20">
        <f t="shared" si="12"/>
        <v>91</v>
      </c>
      <c r="H361" s="11" t="s">
        <v>53</v>
      </c>
      <c r="I361" s="27">
        <v>280</v>
      </c>
      <c r="J361" s="28">
        <v>8</v>
      </c>
      <c r="K361" s="29">
        <f t="shared" si="13"/>
        <v>8.28</v>
      </c>
      <c r="L361" s="144" t="s">
        <v>54</v>
      </c>
      <c r="M361" s="142" t="str">
        <f>VLOOKUP(L361,Packaging!$B$3:$C$21,2,0)</f>
        <v>290 X 200 X 140</v>
      </c>
      <c r="N361" s="11"/>
      <c r="O361" s="11">
        <v>250</v>
      </c>
      <c r="P361" s="11" t="s">
        <v>55</v>
      </c>
    </row>
    <row r="362" ht="17.25" spans="1:16">
      <c r="A362" s="143" t="s">
        <v>1165</v>
      </c>
      <c r="B362" s="146" t="s">
        <v>1166</v>
      </c>
      <c r="C362" s="9" t="s">
        <v>1167</v>
      </c>
      <c r="D362" s="11" t="s">
        <v>1107</v>
      </c>
      <c r="E362" s="18">
        <v>10</v>
      </c>
      <c r="F362" s="19"/>
      <c r="G362" s="20">
        <f t="shared" si="12"/>
        <v>91</v>
      </c>
      <c r="H362" s="11" t="s">
        <v>53</v>
      </c>
      <c r="I362" s="27">
        <v>278</v>
      </c>
      <c r="J362" s="28">
        <v>264</v>
      </c>
      <c r="K362" s="29">
        <f t="shared" si="13"/>
        <v>2.918</v>
      </c>
      <c r="L362" s="144" t="s">
        <v>161</v>
      </c>
      <c r="M362" s="142" t="str">
        <f>VLOOKUP(L362,Packaging!$B$3:$C$21,2,0)</f>
        <v>360 X 270 X 128</v>
      </c>
      <c r="N362" s="11"/>
      <c r="O362" s="11">
        <v>1</v>
      </c>
      <c r="P362" s="11" t="s">
        <v>55</v>
      </c>
    </row>
    <row r="363" ht="17.25" spans="1:16">
      <c r="A363" s="143" t="s">
        <v>1168</v>
      </c>
      <c r="B363" s="146" t="s">
        <v>1169</v>
      </c>
      <c r="C363" s="9" t="s">
        <v>867</v>
      </c>
      <c r="D363" s="11" t="s">
        <v>1096</v>
      </c>
      <c r="E363" s="18"/>
      <c r="F363" s="19"/>
      <c r="G363" s="20">
        <f t="shared" si="12"/>
        <v>91</v>
      </c>
      <c r="H363" s="11" t="s">
        <v>53</v>
      </c>
      <c r="I363" s="27">
        <v>280</v>
      </c>
      <c r="J363" s="28">
        <v>207</v>
      </c>
      <c r="K363" s="29">
        <f t="shared" si="13"/>
        <v>0.28</v>
      </c>
      <c r="L363" s="144" t="s">
        <v>54</v>
      </c>
      <c r="M363" s="142" t="str">
        <f>VLOOKUP(L363,Packaging!$B$3:$C$21,2,0)</f>
        <v>290 X 200 X 140</v>
      </c>
      <c r="N363" s="11"/>
      <c r="O363" s="11">
        <v>5</v>
      </c>
      <c r="P363" s="11" t="s">
        <v>55</v>
      </c>
    </row>
    <row r="364" ht="17.25" spans="1:16">
      <c r="A364" s="143" t="s">
        <v>1170</v>
      </c>
      <c r="B364" s="146" t="s">
        <v>1171</v>
      </c>
      <c r="C364" s="9" t="s">
        <v>871</v>
      </c>
      <c r="D364" s="11" t="s">
        <v>1096</v>
      </c>
      <c r="E364" s="18"/>
      <c r="F364" s="19"/>
      <c r="G364" s="20">
        <f t="shared" si="12"/>
        <v>91</v>
      </c>
      <c r="H364" s="11" t="s">
        <v>53</v>
      </c>
      <c r="I364" s="27">
        <v>280</v>
      </c>
      <c r="J364" s="28">
        <v>207</v>
      </c>
      <c r="K364" s="29">
        <f t="shared" si="13"/>
        <v>0.28</v>
      </c>
      <c r="L364" s="144" t="s">
        <v>54</v>
      </c>
      <c r="M364" s="142" t="str">
        <f>VLOOKUP(L364,Packaging!$B$3:$C$21,2,0)</f>
        <v>290 X 200 X 140</v>
      </c>
      <c r="N364" s="11"/>
      <c r="O364" s="11">
        <v>5</v>
      </c>
      <c r="P364" s="11" t="s">
        <v>55</v>
      </c>
    </row>
    <row r="365" ht="17.25" spans="1:16">
      <c r="A365" s="143" t="s">
        <v>1172</v>
      </c>
      <c r="B365" s="146" t="s">
        <v>1173</v>
      </c>
      <c r="C365" s="9" t="s">
        <v>1174</v>
      </c>
      <c r="D365" s="11" t="s">
        <v>1096</v>
      </c>
      <c r="E365" s="18"/>
      <c r="F365" s="19"/>
      <c r="G365" s="20">
        <f t="shared" si="12"/>
        <v>91</v>
      </c>
      <c r="H365" s="11" t="s">
        <v>53</v>
      </c>
      <c r="I365" s="27">
        <v>244</v>
      </c>
      <c r="J365" s="28">
        <v>72</v>
      </c>
      <c r="K365" s="29">
        <f t="shared" si="13"/>
        <v>0.244</v>
      </c>
      <c r="L365" s="144" t="s">
        <v>274</v>
      </c>
      <c r="M365" s="142" t="str">
        <f>VLOOKUP(L365,Packaging!$B$3:$C$21,2,0)</f>
        <v>290 X 200 X 100</v>
      </c>
      <c r="N365" s="11"/>
      <c r="O365" s="11">
        <v>6</v>
      </c>
      <c r="P365" s="11" t="s">
        <v>55</v>
      </c>
    </row>
    <row r="366" ht="17.25" spans="1:16">
      <c r="A366" s="143" t="s">
        <v>1175</v>
      </c>
      <c r="B366" s="146" t="s">
        <v>1176</v>
      </c>
      <c r="C366" s="9" t="s">
        <v>1177</v>
      </c>
      <c r="D366" s="11" t="s">
        <v>1096</v>
      </c>
      <c r="E366" s="18"/>
      <c r="F366" s="19"/>
      <c r="G366" s="20">
        <f t="shared" si="12"/>
        <v>91</v>
      </c>
      <c r="H366" s="11" t="s">
        <v>53</v>
      </c>
      <c r="I366" s="27">
        <v>244</v>
      </c>
      <c r="J366" s="28">
        <v>124</v>
      </c>
      <c r="K366" s="29">
        <f t="shared" si="13"/>
        <v>0.244</v>
      </c>
      <c r="L366" s="144" t="s">
        <v>274</v>
      </c>
      <c r="M366" s="142" t="str">
        <f>VLOOKUP(L366,Packaging!$B$3:$C$21,2,0)</f>
        <v>290 X 200 X 100</v>
      </c>
      <c r="N366" s="11"/>
      <c r="O366" s="11">
        <v>1</v>
      </c>
      <c r="P366" s="11" t="s">
        <v>55</v>
      </c>
    </row>
    <row r="367" ht="17.25" spans="1:16">
      <c r="A367" s="143" t="s">
        <v>1178</v>
      </c>
      <c r="B367" s="146" t="s">
        <v>1179</v>
      </c>
      <c r="C367" s="9" t="s">
        <v>1180</v>
      </c>
      <c r="D367" s="11" t="s">
        <v>1096</v>
      </c>
      <c r="E367" s="18"/>
      <c r="F367" s="19"/>
      <c r="G367" s="20">
        <f t="shared" si="12"/>
        <v>91</v>
      </c>
      <c r="H367" s="11" t="s">
        <v>1181</v>
      </c>
      <c r="I367" s="27">
        <v>244</v>
      </c>
      <c r="J367" s="28">
        <v>70</v>
      </c>
      <c r="K367" s="29">
        <f t="shared" si="13"/>
        <v>0.244</v>
      </c>
      <c r="L367" s="144" t="s">
        <v>274</v>
      </c>
      <c r="M367" s="142" t="str">
        <f>VLOOKUP(L367,Packaging!$B$3:$C$21,2,0)</f>
        <v>290 X 200 X 100</v>
      </c>
      <c r="N367" s="11"/>
      <c r="O367" s="11">
        <v>1</v>
      </c>
      <c r="P367" s="11" t="s">
        <v>55</v>
      </c>
    </row>
    <row r="368" ht="17.25" spans="1:16">
      <c r="A368" s="143" t="s">
        <v>1182</v>
      </c>
      <c r="B368" s="146" t="s">
        <v>1183</v>
      </c>
      <c r="C368" s="9" t="s">
        <v>1184</v>
      </c>
      <c r="D368" s="11" t="s">
        <v>1096</v>
      </c>
      <c r="E368" s="18"/>
      <c r="F368" s="19"/>
      <c r="G368" s="20">
        <f t="shared" si="12"/>
        <v>91</v>
      </c>
      <c r="H368" s="11" t="s">
        <v>1185</v>
      </c>
      <c r="I368" s="27">
        <v>244</v>
      </c>
      <c r="J368" s="28">
        <v>70</v>
      </c>
      <c r="K368" s="29">
        <f t="shared" si="13"/>
        <v>0.244</v>
      </c>
      <c r="L368" s="144" t="s">
        <v>274</v>
      </c>
      <c r="M368" s="142" t="str">
        <f>VLOOKUP(L368,Packaging!$B$3:$C$21,2,0)</f>
        <v>290 X 200 X 100</v>
      </c>
      <c r="N368" s="11"/>
      <c r="O368" s="11">
        <v>1</v>
      </c>
      <c r="P368" s="11" t="s">
        <v>55</v>
      </c>
    </row>
    <row r="369" ht="17.25" spans="1:16">
      <c r="A369" s="143" t="s">
        <v>1186</v>
      </c>
      <c r="B369" s="146" t="s">
        <v>1187</v>
      </c>
      <c r="C369" s="9" t="s">
        <v>1188</v>
      </c>
      <c r="D369" s="11" t="s">
        <v>1096</v>
      </c>
      <c r="E369" s="18"/>
      <c r="F369" s="19"/>
      <c r="G369" s="20">
        <f t="shared" si="12"/>
        <v>91</v>
      </c>
      <c r="H369" s="11" t="s">
        <v>1189</v>
      </c>
      <c r="I369" s="27">
        <v>244</v>
      </c>
      <c r="J369" s="28">
        <v>37.6</v>
      </c>
      <c r="K369" s="29">
        <f t="shared" si="13"/>
        <v>0.244</v>
      </c>
      <c r="L369" s="144" t="s">
        <v>274</v>
      </c>
      <c r="M369" s="142" t="str">
        <f>VLOOKUP(L369,Packaging!$B$3:$C$21,2,0)</f>
        <v>290 X 200 X 100</v>
      </c>
      <c r="N369" s="11"/>
      <c r="O369" s="11">
        <v>1</v>
      </c>
      <c r="P369" s="11" t="s">
        <v>55</v>
      </c>
    </row>
    <row r="370" ht="17.25" spans="1:16">
      <c r="A370" s="143" t="s">
        <v>1190</v>
      </c>
      <c r="B370" s="146" t="s">
        <v>1191</v>
      </c>
      <c r="C370" s="9" t="s">
        <v>1192</v>
      </c>
      <c r="D370" s="11" t="s">
        <v>1107</v>
      </c>
      <c r="E370" s="18"/>
      <c r="F370" s="19"/>
      <c r="G370" s="20">
        <f t="shared" si="12"/>
        <v>91</v>
      </c>
      <c r="H370" s="11" t="s">
        <v>53</v>
      </c>
      <c r="I370" s="27">
        <v>244</v>
      </c>
      <c r="J370" s="28">
        <v>20</v>
      </c>
      <c r="K370" s="29">
        <f t="shared" si="13"/>
        <v>0.244</v>
      </c>
      <c r="L370" s="144" t="s">
        <v>274</v>
      </c>
      <c r="M370" s="142" t="str">
        <f>VLOOKUP(L370,Packaging!$B$3:$C$21,2,0)</f>
        <v>290 X 200 X 100</v>
      </c>
      <c r="N370" s="11"/>
      <c r="O370" s="11">
        <v>1</v>
      </c>
      <c r="P370" s="11" t="s">
        <v>55</v>
      </c>
    </row>
    <row r="371" ht="17.25" spans="1:16">
      <c r="A371" s="143" t="s">
        <v>1193</v>
      </c>
      <c r="B371" s="146" t="s">
        <v>1194</v>
      </c>
      <c r="C371" s="9" t="s">
        <v>1195</v>
      </c>
      <c r="D371" s="11" t="s">
        <v>1107</v>
      </c>
      <c r="E371" s="18">
        <v>88</v>
      </c>
      <c r="F371" s="19"/>
      <c r="G371" s="20">
        <f t="shared" si="12"/>
        <v>91</v>
      </c>
      <c r="H371" s="11" t="s">
        <v>53</v>
      </c>
      <c r="I371" s="27">
        <v>378</v>
      </c>
      <c r="J371" s="28">
        <v>31.7</v>
      </c>
      <c r="K371" s="29">
        <f t="shared" si="13"/>
        <v>3.1676</v>
      </c>
      <c r="L371" s="144" t="s">
        <v>91</v>
      </c>
      <c r="M371" s="142" t="str">
        <f>VLOOKUP(L371,Packaging!$B$3:$C$21,2,0)</f>
        <v>400 X 240 X 130</v>
      </c>
      <c r="N371" s="11"/>
      <c r="O371" s="11">
        <v>1</v>
      </c>
      <c r="P371" s="11" t="s">
        <v>55</v>
      </c>
    </row>
    <row r="372" ht="17.25" spans="1:16">
      <c r="A372" s="143" t="s">
        <v>1196</v>
      </c>
      <c r="B372" s="146" t="s">
        <v>1197</v>
      </c>
      <c r="C372" s="9" t="s">
        <v>1198</v>
      </c>
      <c r="D372" s="11" t="s">
        <v>1107</v>
      </c>
      <c r="E372" s="18">
        <v>100</v>
      </c>
      <c r="F372" s="19"/>
      <c r="G372" s="20">
        <f t="shared" si="12"/>
        <v>91</v>
      </c>
      <c r="H372" s="11" t="s">
        <v>53</v>
      </c>
      <c r="I372" s="27">
        <v>244</v>
      </c>
      <c r="J372" s="28">
        <v>87</v>
      </c>
      <c r="K372" s="29">
        <f t="shared" si="13"/>
        <v>8.944</v>
      </c>
      <c r="L372" s="144" t="s">
        <v>274</v>
      </c>
      <c r="M372" s="142" t="str">
        <f>VLOOKUP(L372,Packaging!$B$3:$C$21,2,0)</f>
        <v>290 X 200 X 100</v>
      </c>
      <c r="N372" s="11"/>
      <c r="O372" s="11">
        <v>10</v>
      </c>
      <c r="P372" s="11" t="s">
        <v>55</v>
      </c>
    </row>
    <row r="373" ht="17.25" spans="1:16">
      <c r="A373" s="143" t="s">
        <v>1199</v>
      </c>
      <c r="B373" s="146" t="s">
        <v>1200</v>
      </c>
      <c r="C373" s="9" t="s">
        <v>1201</v>
      </c>
      <c r="D373" s="11" t="s">
        <v>1107</v>
      </c>
      <c r="E373" s="18">
        <v>120</v>
      </c>
      <c r="F373" s="19"/>
      <c r="G373" s="20">
        <f t="shared" si="12"/>
        <v>91</v>
      </c>
      <c r="H373" s="11" t="s">
        <v>53</v>
      </c>
      <c r="I373" s="27">
        <v>244</v>
      </c>
      <c r="J373" s="28">
        <v>49.1</v>
      </c>
      <c r="K373" s="29">
        <f t="shared" si="13"/>
        <v>6.136</v>
      </c>
      <c r="L373" s="144" t="s">
        <v>274</v>
      </c>
      <c r="M373" s="142" t="str">
        <f>VLOOKUP(L373,Packaging!$B$3:$C$21,2,0)</f>
        <v>290 X 200 X 100</v>
      </c>
      <c r="N373" s="11"/>
      <c r="O373" s="11">
        <v>20</v>
      </c>
      <c r="P373" s="11" t="s">
        <v>55</v>
      </c>
    </row>
    <row r="374" ht="17.25" spans="1:16">
      <c r="A374" s="143" t="s">
        <v>1202</v>
      </c>
      <c r="B374" s="146" t="s">
        <v>1203</v>
      </c>
      <c r="C374" s="9" t="s">
        <v>1204</v>
      </c>
      <c r="D374" s="11" t="s">
        <v>1205</v>
      </c>
      <c r="E374" s="18">
        <v>2000</v>
      </c>
      <c r="F374" s="19"/>
      <c r="G374" s="20">
        <f t="shared" si="12"/>
        <v>91</v>
      </c>
      <c r="H374" s="11" t="s">
        <v>53</v>
      </c>
      <c r="I374" s="27">
        <v>244</v>
      </c>
      <c r="J374" s="28">
        <v>1.26</v>
      </c>
      <c r="K374" s="29">
        <f t="shared" si="13"/>
        <v>2.764</v>
      </c>
      <c r="L374" s="144" t="s">
        <v>274</v>
      </c>
      <c r="M374" s="142" t="str">
        <f>VLOOKUP(L374,Packaging!$B$3:$C$21,2,0)</f>
        <v>290 X 200 X 100</v>
      </c>
      <c r="N374" s="11"/>
      <c r="O374" s="11">
        <v>100</v>
      </c>
      <c r="P374" s="11" t="s">
        <v>55</v>
      </c>
    </row>
    <row r="375" ht="17.25" spans="1:16">
      <c r="A375" s="7"/>
      <c r="B375" s="11"/>
      <c r="C375" s="9"/>
      <c r="D375" s="11"/>
      <c r="E375" s="18"/>
      <c r="F375" s="19"/>
      <c r="G375" s="20">
        <f t="shared" si="12"/>
        <v>91</v>
      </c>
      <c r="H375" s="11" t="s">
        <v>53</v>
      </c>
      <c r="I375" s="27"/>
      <c r="J375" s="28"/>
      <c r="K375" s="29">
        <f t="shared" si="13"/>
        <v>0</v>
      </c>
      <c r="L375" s="144" t="s">
        <v>54</v>
      </c>
      <c r="M375" s="142" t="str">
        <f>VLOOKUP(L375,Packaging!$B$3:$C$21,2,0)</f>
        <v>290 X 200 X 140</v>
      </c>
      <c r="N375" s="11"/>
      <c r="O375" s="11"/>
      <c r="P375" s="11" t="s">
        <v>55</v>
      </c>
    </row>
  </sheetData>
  <mergeCells count="2">
    <mergeCell ref="I3:M3"/>
    <mergeCell ref="A1:N2"/>
  </mergeCells>
  <conditionalFormatting sqref="B328">
    <cfRule type="duplicateValues" dxfId="0" priority="14"/>
  </conditionalFormatting>
  <conditionalFormatting sqref="B333">
    <cfRule type="duplicateValues" dxfId="0" priority="11"/>
    <cfRule type="duplicateValues" dxfId="0" priority="10"/>
  </conditionalFormatting>
  <conditionalFormatting sqref="B336">
    <cfRule type="duplicateValues" dxfId="0" priority="7"/>
    <cfRule type="duplicateValues" dxfId="0" priority="6"/>
  </conditionalFormatting>
  <conditionalFormatting sqref="B337">
    <cfRule type="duplicateValues" dxfId="0" priority="4"/>
    <cfRule type="duplicateValues" dxfId="0" priority="3"/>
  </conditionalFormatting>
  <conditionalFormatting sqref="B338">
    <cfRule type="duplicateValues" dxfId="0" priority="2"/>
    <cfRule type="duplicateValues" dxfId="0" priority="1"/>
  </conditionalFormatting>
  <conditionalFormatting sqref="B5:B327">
    <cfRule type="duplicateValues" dxfId="0" priority="15"/>
  </conditionalFormatting>
  <conditionalFormatting sqref="B329:B330">
    <cfRule type="duplicateValues" dxfId="0" priority="13"/>
  </conditionalFormatting>
  <conditionalFormatting sqref="B331:B332">
    <cfRule type="duplicateValues" dxfId="0" priority="12"/>
  </conditionalFormatting>
  <conditionalFormatting sqref="B334:B335">
    <cfRule type="duplicateValues" dxfId="0" priority="9"/>
    <cfRule type="duplicateValues" dxfId="0" priority="8"/>
  </conditionalFormatting>
  <conditionalFormatting sqref="B339:B375">
    <cfRule type="duplicateValues" dxfId="0" priority="17"/>
    <cfRule type="duplicateValues" dxfId="0" priority="16"/>
  </conditionalFormatting>
  <conditionalFormatting sqref="H331:H332">
    <cfRule type="duplicateValues" dxfId="0" priority="5"/>
  </conditionalFormatting>
  <conditionalFormatting sqref="H343:H348">
    <cfRule type="duplicateValues" dxfId="0" priority="19"/>
    <cfRule type="duplicateValues" dxfId="0" priority="18"/>
  </conditionalFormatting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6">
    <comment s:ref="E334" rgbClr="B0BB00"/>
    <comment s:ref="E335" rgbClr="B0BB00"/>
    <comment s:ref="E343" rgbClr="B0BB00"/>
    <comment s:ref="E344" rgbClr="B0BB0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</vt:lpstr>
      <vt:lpstr>OK</vt:lpstr>
      <vt:lpstr>BY</vt:lpstr>
      <vt:lpstr>SPY</vt:lpstr>
      <vt:lpstr>Label FG</vt:lpstr>
      <vt:lpstr>List Part</vt:lpstr>
      <vt:lpstr>Packaging</vt:lpstr>
      <vt:lpstr>clean_list_part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herutriana44</cp:lastModifiedBy>
  <dcterms:created xsi:type="dcterms:W3CDTF">2018-02-22T08:41:00Z</dcterms:created>
  <cp:lastPrinted>2026-04-21T08:38:00Z</cp:lastPrinted>
  <dcterms:modified xsi:type="dcterms:W3CDTF">2026-04-25T17:28:26Z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