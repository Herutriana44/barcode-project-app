
<file path=[Content_Types].xml><?xml version="1.0" encoding="utf-8"?>
<Types xmlns="http://schemas.openxmlformats.org/package/2006/content-types">
  <Default Extension="png" ContentType="image/png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commentsmeta1" ContentType="application/binary"/>
  <Override PartName="/xl/sharedStrings.xml" ContentType="application/vnd.openxmlformats-officedocument.spreadsheetml.sharedStrings+xml"/>
  <Override PartName="/xl/commentsmeta0" ContentType="application/binary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0" yWindow="540" windowWidth="16935" windowHeight="7110" activeTab="7"/>
  </bookViews>
  <sheets>
    <sheet name="IN" sheetId="1" r:id="rId1"/>
    <sheet name="OK" sheetId="2" r:id="rId2"/>
    <sheet name="BY" sheetId="3" r:id="rId3"/>
    <sheet name="SPY" sheetId="4" r:id="rId4"/>
    <sheet name="Label FG" sheetId="5" r:id="rId5"/>
    <sheet name="List Part" sheetId="6" r:id="rId6"/>
    <sheet name="Packaging" sheetId="7" r:id="rId7"/>
    <sheet name="clean_list_part" sheetId="8" r:id="rId8"/>
    <sheet name="rak2" sheetId="9" r:id="rId9"/>
    <sheet name="rak" sheetId="10" r:id="rId10"/>
  </sheets>
  <definedNames>
    <definedName name="_xlnm._FilterDatabase" localSheetId="5" hidden="1">'List Part'!$A$4:$N$327</definedName>
  </definedNames>
  <calcPr calcId="125725"/>
  <extLst>
    <ext uri="GoogleSheetsCustomDataVersion2">
      <go:sheetsCustomData xmlns:go="http://customooxmlschemas.google.com/" r:id="rId15" roundtripDataChecksum="mqQOnULuuKI17ItEgtZeQJEYLdmWVwkjMqaUguCn8yc="/>
    </ext>
  </extLst>
</workbook>
</file>

<file path=xl/calcChain.xml><?xml version="1.0" encoding="utf-8"?>
<calcChain xmlns="http://schemas.openxmlformats.org/spreadsheetml/2006/main">
  <c r="R374" i="8"/>
  <c r="M374"/>
  <c r="R373"/>
  <c r="M373"/>
  <c r="R372"/>
  <c r="M372"/>
  <c r="R371"/>
  <c r="M371"/>
  <c r="R370"/>
  <c r="M370"/>
  <c r="R369"/>
  <c r="M369"/>
  <c r="R368"/>
  <c r="M368"/>
  <c r="R367"/>
  <c r="M367"/>
  <c r="R366"/>
  <c r="M366"/>
  <c r="R365"/>
  <c r="M365"/>
  <c r="R364"/>
  <c r="M364"/>
  <c r="R363"/>
  <c r="M363"/>
  <c r="R362"/>
  <c r="M362"/>
  <c r="R361"/>
  <c r="M361"/>
  <c r="R360"/>
  <c r="M360"/>
  <c r="R359"/>
  <c r="M359"/>
  <c r="R358"/>
  <c r="M358"/>
  <c r="R357"/>
  <c r="M357"/>
  <c r="R356"/>
  <c r="M356"/>
  <c r="R355"/>
  <c r="M355"/>
  <c r="R354"/>
  <c r="M354"/>
  <c r="R353"/>
  <c r="M353"/>
  <c r="R352"/>
  <c r="M352"/>
  <c r="R351"/>
  <c r="M351"/>
  <c r="R350"/>
  <c r="M350"/>
  <c r="R349"/>
  <c r="M349"/>
  <c r="R348"/>
  <c r="R347"/>
  <c r="M347"/>
  <c r="R346"/>
  <c r="M346"/>
  <c r="R345"/>
  <c r="M345"/>
  <c r="R344"/>
  <c r="M344"/>
  <c r="R343"/>
  <c r="M343"/>
  <c r="R342"/>
  <c r="M342"/>
  <c r="R341"/>
  <c r="M341"/>
  <c r="R340"/>
  <c r="M340"/>
  <c r="R339"/>
  <c r="M339"/>
  <c r="R338"/>
  <c r="M338"/>
  <c r="R337"/>
  <c r="M337"/>
  <c r="R336"/>
  <c r="M336"/>
  <c r="R335"/>
  <c r="M335"/>
  <c r="R334"/>
  <c r="M334"/>
  <c r="R333"/>
  <c r="M333"/>
  <c r="R332"/>
  <c r="M332"/>
  <c r="R331"/>
  <c r="M331"/>
  <c r="R330"/>
  <c r="M330"/>
  <c r="R329"/>
  <c r="M329"/>
  <c r="R328"/>
  <c r="M328"/>
  <c r="R327"/>
  <c r="M327"/>
  <c r="R326"/>
  <c r="M326"/>
  <c r="R325"/>
  <c r="M325"/>
  <c r="R324"/>
  <c r="M324"/>
  <c r="R323"/>
  <c r="M323"/>
  <c r="R322"/>
  <c r="M322"/>
  <c r="R321"/>
  <c r="M321"/>
  <c r="R320"/>
  <c r="M320"/>
  <c r="R319"/>
  <c r="M319"/>
  <c r="R318"/>
  <c r="M318"/>
  <c r="R317"/>
  <c r="M317"/>
  <c r="R316"/>
  <c r="M316"/>
  <c r="R315"/>
  <c r="M315"/>
  <c r="R314"/>
  <c r="M314"/>
  <c r="R313"/>
  <c r="M313"/>
  <c r="R312"/>
  <c r="M312"/>
  <c r="R311"/>
  <c r="M311"/>
  <c r="R310"/>
  <c r="M310"/>
  <c r="R309"/>
  <c r="M309"/>
  <c r="R308"/>
  <c r="M308"/>
  <c r="R307"/>
  <c r="M307"/>
  <c r="R306"/>
  <c r="M306"/>
  <c r="R305"/>
  <c r="M305"/>
  <c r="R304"/>
  <c r="M304"/>
  <c r="R303"/>
  <c r="M303"/>
  <c r="R302"/>
  <c r="M302"/>
  <c r="R301"/>
  <c r="M301"/>
  <c r="R300"/>
  <c r="M300"/>
  <c r="R299"/>
  <c r="M299"/>
  <c r="R298"/>
  <c r="M298"/>
  <c r="R297"/>
  <c r="M297"/>
  <c r="R296"/>
  <c r="M296"/>
  <c r="R295"/>
  <c r="M295"/>
  <c r="R294"/>
  <c r="M294"/>
  <c r="R293"/>
  <c r="M293"/>
  <c r="R292"/>
  <c r="M292"/>
  <c r="R291"/>
  <c r="M291"/>
  <c r="R290"/>
  <c r="M290"/>
  <c r="R289"/>
  <c r="M289"/>
  <c r="R288"/>
  <c r="M288"/>
  <c r="R287"/>
  <c r="M287"/>
  <c r="R286"/>
  <c r="M286"/>
  <c r="R285"/>
  <c r="M285"/>
  <c r="R284"/>
  <c r="M284"/>
  <c r="R283"/>
  <c r="M283"/>
  <c r="R282"/>
  <c r="M282"/>
  <c r="R281"/>
  <c r="M281"/>
  <c r="R280"/>
  <c r="M280"/>
  <c r="R279"/>
  <c r="M279"/>
  <c r="R278"/>
  <c r="M278"/>
  <c r="R277"/>
  <c r="M277"/>
  <c r="R276"/>
  <c r="M276"/>
  <c r="R275"/>
  <c r="M275"/>
  <c r="R274"/>
  <c r="R273"/>
  <c r="M273"/>
  <c r="R272"/>
  <c r="M272"/>
  <c r="R271"/>
  <c r="M271"/>
  <c r="R270"/>
  <c r="M270"/>
  <c r="R269"/>
  <c r="M269"/>
  <c r="R268"/>
  <c r="M268"/>
  <c r="R267"/>
  <c r="M267"/>
  <c r="R266"/>
  <c r="M266"/>
  <c r="R265"/>
  <c r="M265"/>
  <c r="R264"/>
  <c r="M264"/>
  <c r="R263"/>
  <c r="M263"/>
  <c r="R262"/>
  <c r="M262"/>
  <c r="R261"/>
  <c r="M261"/>
  <c r="R260"/>
  <c r="M260"/>
  <c r="R259"/>
  <c r="M259"/>
  <c r="R258"/>
  <c r="M258"/>
  <c r="R257"/>
  <c r="M257"/>
  <c r="R256"/>
  <c r="M256"/>
  <c r="R255"/>
  <c r="M255"/>
  <c r="R254"/>
  <c r="M254"/>
  <c r="R253"/>
  <c r="M253"/>
  <c r="R252"/>
  <c r="M252"/>
  <c r="R251"/>
  <c r="M251"/>
  <c r="R250"/>
  <c r="M250"/>
  <c r="R249"/>
  <c r="M249"/>
  <c r="R248"/>
  <c r="M248"/>
  <c r="R247"/>
  <c r="M247"/>
  <c r="R246"/>
  <c r="M246"/>
  <c r="R245"/>
  <c r="M245"/>
  <c r="R244"/>
  <c r="M244"/>
  <c r="R243"/>
  <c r="M243"/>
  <c r="R242"/>
  <c r="M242"/>
  <c r="R241"/>
  <c r="M241"/>
  <c r="R240"/>
  <c r="M240"/>
  <c r="R239"/>
  <c r="M239"/>
  <c r="R238"/>
  <c r="M238"/>
  <c r="R237"/>
  <c r="M237"/>
  <c r="R236"/>
  <c r="M236"/>
  <c r="R235"/>
  <c r="M235"/>
  <c r="R234"/>
  <c r="M234"/>
  <c r="R233"/>
  <c r="M233"/>
  <c r="R232"/>
  <c r="M232"/>
  <c r="R231"/>
  <c r="M231"/>
  <c r="R230"/>
  <c r="M230"/>
  <c r="R229"/>
  <c r="M229"/>
  <c r="R228"/>
  <c r="M228"/>
  <c r="R227"/>
  <c r="M227"/>
  <c r="R226"/>
  <c r="M226"/>
  <c r="R225"/>
  <c r="M225"/>
  <c r="R224"/>
  <c r="M224"/>
  <c r="R223"/>
  <c r="M223"/>
  <c r="R222"/>
  <c r="M222"/>
  <c r="R221"/>
  <c r="M221"/>
  <c r="R220"/>
  <c r="M220"/>
  <c r="R219"/>
  <c r="M219"/>
  <c r="R218"/>
  <c r="M218"/>
  <c r="R217"/>
  <c r="M217"/>
  <c r="R216"/>
  <c r="M216"/>
  <c r="R215"/>
  <c r="M215"/>
  <c r="R214"/>
  <c r="M214"/>
  <c r="R213"/>
  <c r="M213"/>
  <c r="R212"/>
  <c r="M212"/>
  <c r="R211"/>
  <c r="M211"/>
  <c r="R210"/>
  <c r="M210"/>
  <c r="R209"/>
  <c r="M209"/>
  <c r="R208"/>
  <c r="M208"/>
  <c r="R207"/>
  <c r="M207"/>
  <c r="R206"/>
  <c r="M206"/>
  <c r="R205"/>
  <c r="M205"/>
  <c r="R204"/>
  <c r="M204"/>
  <c r="R203"/>
  <c r="M203"/>
  <c r="R202"/>
  <c r="M202"/>
  <c r="R201"/>
  <c r="M201"/>
  <c r="R200"/>
  <c r="M200"/>
  <c r="R199"/>
  <c r="M199"/>
  <c r="R198"/>
  <c r="M198"/>
  <c r="R197"/>
  <c r="M197"/>
  <c r="R196"/>
  <c r="M196"/>
  <c r="R195"/>
  <c r="M195"/>
  <c r="R194"/>
  <c r="M194"/>
  <c r="R193"/>
  <c r="M193"/>
  <c r="R192"/>
  <c r="M192"/>
  <c r="R191"/>
  <c r="M191"/>
  <c r="R190"/>
  <c r="M190"/>
  <c r="R189"/>
  <c r="M189"/>
  <c r="R188"/>
  <c r="M188"/>
  <c r="R187"/>
  <c r="M187"/>
  <c r="R186"/>
  <c r="M186"/>
  <c r="R185"/>
  <c r="M185"/>
  <c r="R184"/>
  <c r="M184"/>
  <c r="R183"/>
  <c r="M183"/>
  <c r="R182"/>
  <c r="M182"/>
  <c r="R181"/>
  <c r="M181"/>
  <c r="R180"/>
  <c r="M180"/>
  <c r="R179"/>
  <c r="M179"/>
  <c r="R178"/>
  <c r="M178"/>
  <c r="R177"/>
  <c r="M177"/>
  <c r="R176"/>
  <c r="M176"/>
  <c r="R175"/>
  <c r="M175"/>
  <c r="R174"/>
  <c r="M174"/>
  <c r="R173"/>
  <c r="M173"/>
  <c r="R172"/>
  <c r="M172"/>
  <c r="R171"/>
  <c r="M171"/>
  <c r="R170"/>
  <c r="M170"/>
  <c r="R169"/>
  <c r="M169"/>
  <c r="R168"/>
  <c r="M168"/>
  <c r="R167"/>
  <c r="M167"/>
  <c r="R166"/>
  <c r="M166"/>
  <c r="R165"/>
  <c r="M165"/>
  <c r="R164"/>
  <c r="M164"/>
  <c r="R163"/>
  <c r="M163"/>
  <c r="R162"/>
  <c r="M162"/>
  <c r="R161"/>
  <c r="M161"/>
  <c r="R160"/>
  <c r="M160"/>
  <c r="R159"/>
  <c r="M159"/>
  <c r="R158"/>
  <c r="M158"/>
  <c r="R157"/>
  <c r="M157"/>
  <c r="R156"/>
  <c r="M156"/>
  <c r="R155"/>
  <c r="M155"/>
  <c r="R154"/>
  <c r="M154"/>
  <c r="R153"/>
  <c r="M153"/>
  <c r="R152"/>
  <c r="M152"/>
  <c r="R151"/>
  <c r="M151"/>
  <c r="R150"/>
  <c r="M150"/>
  <c r="R149"/>
  <c r="M149"/>
  <c r="R148"/>
  <c r="M148"/>
  <c r="R147"/>
  <c r="M147"/>
  <c r="R146"/>
  <c r="M146"/>
  <c r="R145"/>
  <c r="M145"/>
  <c r="R144"/>
  <c r="M144"/>
  <c r="R143"/>
  <c r="M143"/>
  <c r="R142"/>
  <c r="M142"/>
  <c r="R141"/>
  <c r="M141"/>
  <c r="R140"/>
  <c r="M140"/>
  <c r="R139"/>
  <c r="M139"/>
  <c r="R138"/>
  <c r="M138"/>
  <c r="R137"/>
  <c r="M137"/>
  <c r="R136"/>
  <c r="M136"/>
  <c r="R135"/>
  <c r="M135"/>
  <c r="R134"/>
  <c r="M134"/>
  <c r="R133"/>
  <c r="M133"/>
  <c r="R132"/>
  <c r="M132"/>
  <c r="R131"/>
  <c r="M131"/>
  <c r="R130"/>
  <c r="M130"/>
  <c r="R129"/>
  <c r="M129"/>
  <c r="R128"/>
  <c r="M128"/>
  <c r="R127"/>
  <c r="M127"/>
  <c r="R126"/>
  <c r="M126"/>
  <c r="R125"/>
  <c r="M125"/>
  <c r="R124"/>
  <c r="M124"/>
  <c r="R123"/>
  <c r="M123"/>
  <c r="R122"/>
  <c r="M122"/>
  <c r="R121"/>
  <c r="M121"/>
  <c r="R120"/>
  <c r="M120"/>
  <c r="R119"/>
  <c r="M119"/>
  <c r="R118"/>
  <c r="M118"/>
  <c r="R117"/>
  <c r="M117"/>
  <c r="R116"/>
  <c r="M116"/>
  <c r="R115"/>
  <c r="M115"/>
  <c r="R114"/>
  <c r="M114"/>
  <c r="R113"/>
  <c r="M113"/>
  <c r="R112"/>
  <c r="M112"/>
  <c r="R111"/>
  <c r="M111"/>
  <c r="R110"/>
  <c r="M110"/>
  <c r="R109"/>
  <c r="M109"/>
  <c r="R108"/>
  <c r="M108"/>
  <c r="R107"/>
  <c r="M107"/>
  <c r="R106"/>
  <c r="M106"/>
  <c r="R105"/>
  <c r="M105"/>
  <c r="R104"/>
  <c r="M104"/>
  <c r="R103"/>
  <c r="M103"/>
  <c r="R102"/>
  <c r="M102"/>
  <c r="R101"/>
  <c r="M101"/>
  <c r="R100"/>
  <c r="M100"/>
  <c r="R99"/>
  <c r="M99"/>
  <c r="R98"/>
  <c r="M98"/>
  <c r="R97"/>
  <c r="M97"/>
  <c r="R96"/>
  <c r="M96"/>
  <c r="R95"/>
  <c r="M95"/>
  <c r="R94"/>
  <c r="M94"/>
  <c r="R93"/>
  <c r="M93"/>
  <c r="R92"/>
  <c r="M92"/>
  <c r="R91"/>
  <c r="M91"/>
  <c r="R90"/>
  <c r="M90"/>
  <c r="R89"/>
  <c r="M89"/>
  <c r="R88"/>
  <c r="M88"/>
  <c r="R87"/>
  <c r="M87"/>
  <c r="R86"/>
  <c r="M86"/>
  <c r="R85"/>
  <c r="M85"/>
  <c r="R84"/>
  <c r="M84"/>
  <c r="R83"/>
  <c r="M83"/>
  <c r="R82"/>
  <c r="M82"/>
  <c r="R81"/>
  <c r="M81"/>
  <c r="R80"/>
  <c r="M80"/>
  <c r="R79"/>
  <c r="M79"/>
  <c r="R78"/>
  <c r="M78"/>
  <c r="R77"/>
  <c r="M77"/>
  <c r="R76"/>
  <c r="M76"/>
  <c r="R75"/>
  <c r="M75"/>
  <c r="R74"/>
  <c r="M74"/>
  <c r="R73"/>
  <c r="M73"/>
  <c r="R72"/>
  <c r="M72"/>
  <c r="R71"/>
  <c r="M71"/>
  <c r="R70"/>
  <c r="M70"/>
  <c r="R69"/>
  <c r="M69"/>
  <c r="R68"/>
  <c r="M68"/>
  <c r="R67"/>
  <c r="M67"/>
  <c r="R66"/>
  <c r="M66"/>
  <c r="R65"/>
  <c r="M65"/>
  <c r="R64"/>
  <c r="M64"/>
  <c r="R63"/>
  <c r="M63"/>
  <c r="R62"/>
  <c r="M62"/>
  <c r="R61"/>
  <c r="M61"/>
  <c r="R60"/>
  <c r="M60"/>
  <c r="R59"/>
  <c r="M59"/>
  <c r="R58"/>
  <c r="M58"/>
  <c r="R57"/>
  <c r="M57"/>
  <c r="R56"/>
  <c r="M56"/>
  <c r="R55"/>
  <c r="M55"/>
  <c r="R54"/>
  <c r="M54"/>
  <c r="R53"/>
  <c r="M53"/>
  <c r="R52"/>
  <c r="M52"/>
  <c r="R51"/>
  <c r="M51"/>
  <c r="R50"/>
  <c r="M50"/>
  <c r="R49"/>
  <c r="M49"/>
  <c r="R48"/>
  <c r="M48"/>
  <c r="R47"/>
  <c r="M47"/>
  <c r="R46"/>
  <c r="M46"/>
  <c r="R45"/>
  <c r="M45"/>
  <c r="R44"/>
  <c r="M44"/>
  <c r="R43"/>
  <c r="M43"/>
  <c r="R42"/>
  <c r="M42"/>
  <c r="R41"/>
  <c r="M41"/>
  <c r="R40"/>
  <c r="M40"/>
  <c r="R39"/>
  <c r="M39"/>
  <c r="R38"/>
  <c r="M38"/>
  <c r="R37"/>
  <c r="M37"/>
  <c r="R36"/>
  <c r="M36"/>
  <c r="R35"/>
  <c r="M35"/>
  <c r="R34"/>
  <c r="M34"/>
  <c r="R33"/>
  <c r="M33"/>
  <c r="R32"/>
  <c r="M32"/>
  <c r="R31"/>
  <c r="M31"/>
  <c r="R30"/>
  <c r="M30"/>
  <c r="R29"/>
  <c r="M29"/>
  <c r="R28"/>
  <c r="M28"/>
  <c r="R27"/>
  <c r="M27"/>
  <c r="R26"/>
  <c r="M26"/>
  <c r="R25"/>
  <c r="M25"/>
  <c r="R24"/>
  <c r="M24"/>
  <c r="R23"/>
  <c r="M23"/>
  <c r="R22"/>
  <c r="M22"/>
  <c r="R21"/>
  <c r="M21"/>
  <c r="R20"/>
  <c r="M20"/>
  <c r="R19"/>
  <c r="M19"/>
  <c r="R18"/>
  <c r="M18"/>
  <c r="R17"/>
  <c r="M17"/>
  <c r="R16"/>
  <c r="M16"/>
  <c r="R15"/>
  <c r="M15"/>
  <c r="R14"/>
  <c r="M14"/>
  <c r="R13"/>
  <c r="M13"/>
  <c r="R12"/>
  <c r="M12"/>
  <c r="R11"/>
  <c r="M11"/>
  <c r="R10"/>
  <c r="M10"/>
  <c r="R9"/>
  <c r="M9"/>
  <c r="R8"/>
  <c r="M8"/>
  <c r="R7"/>
  <c r="M7"/>
  <c r="R6"/>
  <c r="M6"/>
  <c r="R5"/>
  <c r="M5"/>
  <c r="M375" i="6"/>
  <c r="K375"/>
  <c r="G375"/>
  <c r="M374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H63" i="5"/>
  <c r="C56"/>
  <c r="M55"/>
  <c r="J55"/>
  <c r="F55"/>
  <c r="C55"/>
  <c r="H50"/>
  <c r="M42"/>
  <c r="J42"/>
  <c r="F42"/>
  <c r="C42"/>
  <c r="H37"/>
  <c r="M29"/>
  <c r="J29"/>
  <c r="F29"/>
  <c r="C29"/>
  <c r="H24"/>
  <c r="C21"/>
  <c r="M16"/>
  <c r="J16"/>
  <c r="F16"/>
  <c r="C16"/>
  <c r="H11"/>
  <c r="C11"/>
  <c r="J63" s="1"/>
  <c r="A11"/>
  <c r="A63" s="1"/>
  <c r="C8"/>
  <c r="C5"/>
  <c r="C57" s="1"/>
  <c r="C4"/>
  <c r="C30" s="1"/>
  <c r="M3"/>
  <c r="J3"/>
  <c r="C3"/>
  <c r="J2"/>
  <c r="C2"/>
  <c r="C54" s="1"/>
  <c r="G15" i="4"/>
  <c r="K15" s="1"/>
  <c r="O15" s="1"/>
  <c r="C15"/>
  <c r="C23" s="1"/>
  <c r="O7"/>
  <c r="G7"/>
  <c r="K7" s="1"/>
  <c r="A1" a="1"/>
  <c r="A1" s="1"/>
  <c r="C15" i="3"/>
  <c r="G15" s="1"/>
  <c r="K15" s="1"/>
  <c r="O15" s="1"/>
  <c r="G7"/>
  <c r="K7" s="1"/>
  <c r="O7" s="1"/>
  <c r="A1" a="1"/>
  <c r="A1"/>
  <c r="C23" i="2"/>
  <c r="G23" s="1"/>
  <c r="K23" s="1"/>
  <c r="O23" s="1"/>
  <c r="G15"/>
  <c r="K15" s="1"/>
  <c r="O15" s="1"/>
  <c r="C15"/>
  <c r="O7"/>
  <c r="G7"/>
  <c r="K7" s="1"/>
  <c r="A1" a="1"/>
  <c r="A1" s="1"/>
  <c r="A81" i="1"/>
  <c r="M73"/>
  <c r="A65"/>
  <c r="M57"/>
  <c r="A49"/>
  <c r="M41"/>
  <c r="A33"/>
  <c r="M25"/>
  <c r="M17"/>
  <c r="C15"/>
  <c r="C23" s="1"/>
  <c r="M9"/>
  <c r="O7"/>
  <c r="K7"/>
  <c r="G7"/>
  <c r="I1"/>
  <c r="A1" a="1"/>
  <c r="A1"/>
  <c r="M81" s="1"/>
  <c r="G23" i="4" l="1"/>
  <c r="K23" s="1"/>
  <c r="O23" s="1"/>
  <c r="C31"/>
  <c r="C31" i="1"/>
  <c r="G23"/>
  <c r="K23" s="1"/>
  <c r="O23" s="1"/>
  <c r="I81" i="4"/>
  <c r="I73"/>
  <c r="I65"/>
  <c r="I57"/>
  <c r="I49"/>
  <c r="I41"/>
  <c r="I33"/>
  <c r="I25"/>
  <c r="I17"/>
  <c r="I9"/>
  <c r="E1"/>
  <c r="A81"/>
  <c r="A73"/>
  <c r="A65"/>
  <c r="A57"/>
  <c r="A49"/>
  <c r="A41"/>
  <c r="M81"/>
  <c r="M73"/>
  <c r="M65"/>
  <c r="M57"/>
  <c r="M49"/>
  <c r="M41"/>
  <c r="E25"/>
  <c r="E9"/>
  <c r="C3"/>
  <c r="M1"/>
  <c r="A33"/>
  <c r="M25"/>
  <c r="A17"/>
  <c r="M9"/>
  <c r="C2"/>
  <c r="C6"/>
  <c r="E57"/>
  <c r="E41"/>
  <c r="A25"/>
  <c r="M17"/>
  <c r="A9"/>
  <c r="I1"/>
  <c r="E33"/>
  <c r="E17"/>
  <c r="E81"/>
  <c r="E73"/>
  <c r="E65"/>
  <c r="E49"/>
  <c r="M33"/>
  <c r="C4"/>
  <c r="I81" i="2"/>
  <c r="I73"/>
  <c r="I65"/>
  <c r="I57"/>
  <c r="I49"/>
  <c r="I41"/>
  <c r="I33"/>
  <c r="I25"/>
  <c r="I17"/>
  <c r="I9"/>
  <c r="E1"/>
  <c r="E73"/>
  <c r="E57"/>
  <c r="E41"/>
  <c r="E25"/>
  <c r="E9"/>
  <c r="C3"/>
  <c r="M1"/>
  <c r="M33"/>
  <c r="A81"/>
  <c r="M73"/>
  <c r="A65"/>
  <c r="M57"/>
  <c r="A49"/>
  <c r="M41"/>
  <c r="A33"/>
  <c r="M25"/>
  <c r="A17"/>
  <c r="M9"/>
  <c r="C2"/>
  <c r="E81"/>
  <c r="E49"/>
  <c r="E33"/>
  <c r="E17"/>
  <c r="M49"/>
  <c r="A41"/>
  <c r="M17"/>
  <c r="A9"/>
  <c r="C4"/>
  <c r="I1"/>
  <c r="E65"/>
  <c r="C6"/>
  <c r="M81"/>
  <c r="A73"/>
  <c r="M65"/>
  <c r="A57"/>
  <c r="A25"/>
  <c r="I81" i="3"/>
  <c r="I73"/>
  <c r="I65"/>
  <c r="I57"/>
  <c r="I49"/>
  <c r="I41"/>
  <c r="I33"/>
  <c r="I25"/>
  <c r="I17"/>
  <c r="I9"/>
  <c r="E1"/>
  <c r="J60" i="5"/>
  <c r="J47"/>
  <c r="J34"/>
  <c r="J21"/>
  <c r="J8"/>
  <c r="C2" i="3"/>
  <c r="M9"/>
  <c r="A17"/>
  <c r="A33"/>
  <c r="M41"/>
  <c r="A49"/>
  <c r="M73"/>
  <c r="A81"/>
  <c r="I25" i="1"/>
  <c r="E41"/>
  <c r="E57"/>
  <c r="C3" i="3"/>
  <c r="E25"/>
  <c r="E57"/>
  <c r="E73"/>
  <c r="C17" i="5"/>
  <c r="C34"/>
  <c r="M25" i="3"/>
  <c r="M57"/>
  <c r="A65"/>
  <c r="E1" i="1"/>
  <c r="I9"/>
  <c r="I17"/>
  <c r="E73"/>
  <c r="C31" i="2"/>
  <c r="M1" i="3"/>
  <c r="E9"/>
  <c r="C23"/>
  <c r="E41"/>
  <c r="C2" i="1"/>
  <c r="C3"/>
  <c r="C4"/>
  <c r="C6"/>
  <c r="E9"/>
  <c r="G15"/>
  <c r="K15" s="1"/>
  <c r="O15" s="1"/>
  <c r="E17"/>
  <c r="E25"/>
  <c r="M33"/>
  <c r="A41"/>
  <c r="M49"/>
  <c r="A57"/>
  <c r="M65"/>
  <c r="A73"/>
  <c r="I1" i="3"/>
  <c r="C4"/>
  <c r="A9"/>
  <c r="M17"/>
  <c r="A25"/>
  <c r="M33"/>
  <c r="A41"/>
  <c r="M49"/>
  <c r="A57"/>
  <c r="M65"/>
  <c r="A73"/>
  <c r="M81"/>
  <c r="C47" i="5"/>
  <c r="I81" i="1"/>
  <c r="I73"/>
  <c r="I65"/>
  <c r="I57"/>
  <c r="I49"/>
  <c r="I41"/>
  <c r="I33"/>
  <c r="J56" i="5"/>
  <c r="J43"/>
  <c r="J30"/>
  <c r="J17"/>
  <c r="J4"/>
  <c r="M1" i="1"/>
  <c r="A9"/>
  <c r="A17"/>
  <c r="A25"/>
  <c r="E33"/>
  <c r="E49"/>
  <c r="E65"/>
  <c r="E81"/>
  <c r="C6" i="3"/>
  <c r="E17"/>
  <c r="E33"/>
  <c r="E49"/>
  <c r="E65"/>
  <c r="E81"/>
  <c r="C43" i="5"/>
  <c r="C60"/>
  <c r="J5"/>
  <c r="J15"/>
  <c r="J18"/>
  <c r="C24"/>
  <c r="J28"/>
  <c r="J31"/>
  <c r="C37"/>
  <c r="J41"/>
  <c r="J44"/>
  <c r="C50"/>
  <c r="J54"/>
  <c r="J57"/>
  <c r="C63"/>
  <c r="C15"/>
  <c r="C18"/>
  <c r="A24"/>
  <c r="C28"/>
  <c r="C31"/>
  <c r="A37"/>
  <c r="C41"/>
  <c r="C44"/>
  <c r="A50"/>
  <c r="J11"/>
  <c r="J24"/>
  <c r="J37"/>
  <c r="J50"/>
  <c r="K83" i="1" l="1"/>
  <c r="K75"/>
  <c r="K67"/>
  <c r="K59"/>
  <c r="K51"/>
  <c r="K43"/>
  <c r="K35"/>
  <c r="G75"/>
  <c r="G59"/>
  <c r="G43"/>
  <c r="C27"/>
  <c r="C19"/>
  <c r="C11"/>
  <c r="O3"/>
  <c r="O83"/>
  <c r="C75"/>
  <c r="O67"/>
  <c r="C59"/>
  <c r="C83"/>
  <c r="O75"/>
  <c r="C67"/>
  <c r="O59"/>
  <c r="C51"/>
  <c r="O43"/>
  <c r="C35"/>
  <c r="G27"/>
  <c r="G19"/>
  <c r="G11"/>
  <c r="G83"/>
  <c r="G67"/>
  <c r="G51"/>
  <c r="G35"/>
  <c r="K19"/>
  <c r="K11"/>
  <c r="G3"/>
  <c r="C43"/>
  <c r="O35"/>
  <c r="O19"/>
  <c r="K27"/>
  <c r="O51"/>
  <c r="O27"/>
  <c r="O11"/>
  <c r="K3"/>
  <c r="K86" i="2"/>
  <c r="K78"/>
  <c r="K70"/>
  <c r="K62"/>
  <c r="K54"/>
  <c r="K46"/>
  <c r="K38"/>
  <c r="K30"/>
  <c r="K22"/>
  <c r="K14"/>
  <c r="G6"/>
  <c r="G78"/>
  <c r="G62"/>
  <c r="G46"/>
  <c r="G30"/>
  <c r="G14"/>
  <c r="O6"/>
  <c r="C62"/>
  <c r="O38"/>
  <c r="C86"/>
  <c r="O78"/>
  <c r="C70"/>
  <c r="O62"/>
  <c r="C54"/>
  <c r="O46"/>
  <c r="C38"/>
  <c r="O30"/>
  <c r="C22"/>
  <c r="O14"/>
  <c r="G86"/>
  <c r="G70"/>
  <c r="G38"/>
  <c r="C78"/>
  <c r="O70"/>
  <c r="O54"/>
  <c r="C46"/>
  <c r="O22"/>
  <c r="G54"/>
  <c r="G22"/>
  <c r="O86"/>
  <c r="C30"/>
  <c r="C14"/>
  <c r="K6"/>
  <c r="K82"/>
  <c r="K74"/>
  <c r="K66"/>
  <c r="K58"/>
  <c r="K50"/>
  <c r="K42"/>
  <c r="K34"/>
  <c r="K26"/>
  <c r="K18"/>
  <c r="K10"/>
  <c r="G2"/>
  <c r="C82"/>
  <c r="O74"/>
  <c r="C66"/>
  <c r="O58"/>
  <c r="C50"/>
  <c r="O42"/>
  <c r="C34"/>
  <c r="O26"/>
  <c r="C18"/>
  <c r="O10"/>
  <c r="G26"/>
  <c r="G82"/>
  <c r="G66"/>
  <c r="G50"/>
  <c r="G34"/>
  <c r="G18"/>
  <c r="O82"/>
  <c r="C74"/>
  <c r="O66"/>
  <c r="C42"/>
  <c r="C10"/>
  <c r="K2"/>
  <c r="G74"/>
  <c r="G58"/>
  <c r="C58"/>
  <c r="O50"/>
  <c r="O34"/>
  <c r="C26"/>
  <c r="O18"/>
  <c r="G42"/>
  <c r="G10"/>
  <c r="O2"/>
  <c r="K86" i="4"/>
  <c r="K78"/>
  <c r="K70"/>
  <c r="K62"/>
  <c r="K54"/>
  <c r="K46"/>
  <c r="K38"/>
  <c r="K30"/>
  <c r="K22"/>
  <c r="K14"/>
  <c r="G6"/>
  <c r="O86"/>
  <c r="C86"/>
  <c r="C78"/>
  <c r="C70"/>
  <c r="C62"/>
  <c r="C54"/>
  <c r="C46"/>
  <c r="C38"/>
  <c r="O78"/>
  <c r="O70"/>
  <c r="O62"/>
  <c r="O54"/>
  <c r="O46"/>
  <c r="O38"/>
  <c r="G30"/>
  <c r="G14"/>
  <c r="O6"/>
  <c r="G86"/>
  <c r="O30"/>
  <c r="C22"/>
  <c r="O14"/>
  <c r="G70"/>
  <c r="G62"/>
  <c r="G46"/>
  <c r="C14"/>
  <c r="K6"/>
  <c r="G22"/>
  <c r="G78"/>
  <c r="G54"/>
  <c r="G38"/>
  <c r="C30"/>
  <c r="O22"/>
  <c r="K84" i="1"/>
  <c r="K76"/>
  <c r="K68"/>
  <c r="K60"/>
  <c r="K52"/>
  <c r="K44"/>
  <c r="K36"/>
  <c r="C84"/>
  <c r="O76"/>
  <c r="C68"/>
  <c r="O60"/>
  <c r="C52"/>
  <c r="O44"/>
  <c r="C36"/>
  <c r="C28"/>
  <c r="C20"/>
  <c r="C12"/>
  <c r="O4"/>
  <c r="O20"/>
  <c r="G84"/>
  <c r="G68"/>
  <c r="G52"/>
  <c r="G36"/>
  <c r="G28"/>
  <c r="G20"/>
  <c r="G12"/>
  <c r="O84"/>
  <c r="C76"/>
  <c r="O68"/>
  <c r="C44"/>
  <c r="K28"/>
  <c r="G4"/>
  <c r="G76"/>
  <c r="O12"/>
  <c r="K4"/>
  <c r="C60"/>
  <c r="O52"/>
  <c r="O36"/>
  <c r="K20"/>
  <c r="K12"/>
  <c r="G60"/>
  <c r="G44"/>
  <c r="O28"/>
  <c r="C31" i="3"/>
  <c r="G23"/>
  <c r="K23" s="1"/>
  <c r="O23" s="1"/>
  <c r="K83"/>
  <c r="K75"/>
  <c r="K67"/>
  <c r="K59"/>
  <c r="K51"/>
  <c r="K43"/>
  <c r="K35"/>
  <c r="K27"/>
  <c r="K19"/>
  <c r="K11"/>
  <c r="G3"/>
  <c r="G75"/>
  <c r="G59"/>
  <c r="G43"/>
  <c r="G27"/>
  <c r="G11"/>
  <c r="O3"/>
  <c r="O35"/>
  <c r="C83"/>
  <c r="O75"/>
  <c r="C67"/>
  <c r="O59"/>
  <c r="C51"/>
  <c r="O43"/>
  <c r="C35"/>
  <c r="O27"/>
  <c r="C19"/>
  <c r="O11"/>
  <c r="G51"/>
  <c r="G19"/>
  <c r="C75"/>
  <c r="O67"/>
  <c r="C43"/>
  <c r="C11"/>
  <c r="G83"/>
  <c r="G67"/>
  <c r="G35"/>
  <c r="O83"/>
  <c r="C59"/>
  <c r="O51"/>
  <c r="C27"/>
  <c r="O19"/>
  <c r="K3"/>
  <c r="K84" i="2"/>
  <c r="K76"/>
  <c r="K68"/>
  <c r="K60"/>
  <c r="K52"/>
  <c r="K44"/>
  <c r="K36"/>
  <c r="K28"/>
  <c r="K20"/>
  <c r="K12"/>
  <c r="G4"/>
  <c r="O84"/>
  <c r="C76"/>
  <c r="O68"/>
  <c r="C60"/>
  <c r="O52"/>
  <c r="C44"/>
  <c r="O36"/>
  <c r="C28"/>
  <c r="O20"/>
  <c r="C12"/>
  <c r="K4"/>
  <c r="G84"/>
  <c r="G20"/>
  <c r="G76"/>
  <c r="G60"/>
  <c r="G44"/>
  <c r="G28"/>
  <c r="G12"/>
  <c r="O4"/>
  <c r="O76"/>
  <c r="C52"/>
  <c r="O44"/>
  <c r="C36"/>
  <c r="C20"/>
  <c r="O12"/>
  <c r="C84"/>
  <c r="C68"/>
  <c r="O60"/>
  <c r="O28"/>
  <c r="G68"/>
  <c r="G52"/>
  <c r="G36"/>
  <c r="K83" i="4"/>
  <c r="K75"/>
  <c r="K67"/>
  <c r="K59"/>
  <c r="K51"/>
  <c r="K43"/>
  <c r="K35"/>
  <c r="K27"/>
  <c r="K19"/>
  <c r="K11"/>
  <c r="G3"/>
  <c r="O83"/>
  <c r="C83"/>
  <c r="C75"/>
  <c r="C67"/>
  <c r="C59"/>
  <c r="C51"/>
  <c r="C43"/>
  <c r="C35"/>
  <c r="O75"/>
  <c r="O67"/>
  <c r="O59"/>
  <c r="O51"/>
  <c r="O43"/>
  <c r="O35"/>
  <c r="G19"/>
  <c r="C27"/>
  <c r="O19"/>
  <c r="C11"/>
  <c r="K3"/>
  <c r="G51"/>
  <c r="G35"/>
  <c r="O27"/>
  <c r="O11"/>
  <c r="G27"/>
  <c r="G11"/>
  <c r="O3"/>
  <c r="G83"/>
  <c r="G75"/>
  <c r="G67"/>
  <c r="G59"/>
  <c r="G43"/>
  <c r="C19"/>
  <c r="C39"/>
  <c r="G31"/>
  <c r="K31" s="1"/>
  <c r="O31" s="1"/>
  <c r="K86" i="3"/>
  <c r="K78"/>
  <c r="K70"/>
  <c r="K62"/>
  <c r="K54"/>
  <c r="K46"/>
  <c r="K38"/>
  <c r="K30"/>
  <c r="K22"/>
  <c r="K14"/>
  <c r="G6"/>
  <c r="G86"/>
  <c r="G70"/>
  <c r="G54"/>
  <c r="G38"/>
  <c r="G22"/>
  <c r="O86"/>
  <c r="C78"/>
  <c r="O70"/>
  <c r="C62"/>
  <c r="O54"/>
  <c r="C46"/>
  <c r="O38"/>
  <c r="C30"/>
  <c r="O22"/>
  <c r="C14"/>
  <c r="K6"/>
  <c r="G30"/>
  <c r="C86"/>
  <c r="O78"/>
  <c r="C54"/>
  <c r="O46"/>
  <c r="O30"/>
  <c r="C22"/>
  <c r="O14"/>
  <c r="G78"/>
  <c r="G62"/>
  <c r="G46"/>
  <c r="G14"/>
  <c r="O6"/>
  <c r="C70"/>
  <c r="O62"/>
  <c r="C38"/>
  <c r="K84"/>
  <c r="K76"/>
  <c r="K68"/>
  <c r="K60"/>
  <c r="K52"/>
  <c r="K44"/>
  <c r="K36"/>
  <c r="K28"/>
  <c r="K20"/>
  <c r="K12"/>
  <c r="G4"/>
  <c r="C84"/>
  <c r="O76"/>
  <c r="C68"/>
  <c r="O60"/>
  <c r="C52"/>
  <c r="O44"/>
  <c r="C36"/>
  <c r="O28"/>
  <c r="C20"/>
  <c r="O12"/>
  <c r="G84"/>
  <c r="G68"/>
  <c r="G52"/>
  <c r="G36"/>
  <c r="G20"/>
  <c r="C60"/>
  <c r="O36"/>
  <c r="C12"/>
  <c r="K4"/>
  <c r="G60"/>
  <c r="G28"/>
  <c r="O84"/>
  <c r="C76"/>
  <c r="O68"/>
  <c r="O52"/>
  <c r="C44"/>
  <c r="C28"/>
  <c r="O20"/>
  <c r="G76"/>
  <c r="G44"/>
  <c r="G12"/>
  <c r="O4"/>
  <c r="K86" i="1"/>
  <c r="K78"/>
  <c r="K70"/>
  <c r="K62"/>
  <c r="K54"/>
  <c r="K46"/>
  <c r="K38"/>
  <c r="G86"/>
  <c r="G70"/>
  <c r="G54"/>
  <c r="G38"/>
  <c r="C30"/>
  <c r="C22"/>
  <c r="C14"/>
  <c r="O6"/>
  <c r="C70"/>
  <c r="O62"/>
  <c r="C54"/>
  <c r="O86"/>
  <c r="C78"/>
  <c r="O70"/>
  <c r="C62"/>
  <c r="O54"/>
  <c r="C46"/>
  <c r="O38"/>
  <c r="G30"/>
  <c r="G22"/>
  <c r="G14"/>
  <c r="G62"/>
  <c r="K14"/>
  <c r="G6"/>
  <c r="C86"/>
  <c r="O78"/>
  <c r="O46"/>
  <c r="C38"/>
  <c r="G78"/>
  <c r="G46"/>
  <c r="K30"/>
  <c r="K22"/>
  <c r="O30"/>
  <c r="O22"/>
  <c r="O14"/>
  <c r="K6"/>
  <c r="C39" i="2"/>
  <c r="G31"/>
  <c r="K31" s="1"/>
  <c r="O31" s="1"/>
  <c r="K82" i="3"/>
  <c r="K74"/>
  <c r="K66"/>
  <c r="K58"/>
  <c r="K50"/>
  <c r="K42"/>
  <c r="K34"/>
  <c r="K26"/>
  <c r="K18"/>
  <c r="K10"/>
  <c r="G2"/>
  <c r="O82"/>
  <c r="C74"/>
  <c r="O66"/>
  <c r="C58"/>
  <c r="O50"/>
  <c r="C42"/>
  <c r="O34"/>
  <c r="C26"/>
  <c r="O18"/>
  <c r="C10"/>
  <c r="K2"/>
  <c r="G74"/>
  <c r="G58"/>
  <c r="G42"/>
  <c r="G26"/>
  <c r="G10"/>
  <c r="O2"/>
  <c r="C34"/>
  <c r="O26"/>
  <c r="G82"/>
  <c r="G50"/>
  <c r="G34"/>
  <c r="G18"/>
  <c r="C82"/>
  <c r="O74"/>
  <c r="C66"/>
  <c r="O58"/>
  <c r="C50"/>
  <c r="O42"/>
  <c r="C18"/>
  <c r="O10"/>
  <c r="G66"/>
  <c r="K84" i="4"/>
  <c r="K76"/>
  <c r="K68"/>
  <c r="K60"/>
  <c r="K52"/>
  <c r="K44"/>
  <c r="K36"/>
  <c r="K28"/>
  <c r="K20"/>
  <c r="K12"/>
  <c r="G4"/>
  <c r="O84"/>
  <c r="C84"/>
  <c r="C76"/>
  <c r="C68"/>
  <c r="C60"/>
  <c r="C52"/>
  <c r="C44"/>
  <c r="C36"/>
  <c r="G84"/>
  <c r="C28"/>
  <c r="O20"/>
  <c r="C12"/>
  <c r="K4"/>
  <c r="G76"/>
  <c r="G68"/>
  <c r="G60"/>
  <c r="G52"/>
  <c r="G44"/>
  <c r="G36"/>
  <c r="G28"/>
  <c r="G12"/>
  <c r="O4"/>
  <c r="G20"/>
  <c r="O76"/>
  <c r="O68"/>
  <c r="O60"/>
  <c r="O52"/>
  <c r="O44"/>
  <c r="O36"/>
  <c r="O28"/>
  <c r="C20"/>
  <c r="O12"/>
  <c r="G31" i="1"/>
  <c r="K31" s="1"/>
  <c r="O31" s="1"/>
  <c r="C39"/>
  <c r="K82"/>
  <c r="K74"/>
  <c r="K66"/>
  <c r="K58"/>
  <c r="K50"/>
  <c r="K42"/>
  <c r="K34"/>
  <c r="O82"/>
  <c r="C74"/>
  <c r="O66"/>
  <c r="C58"/>
  <c r="O50"/>
  <c r="C42"/>
  <c r="O34"/>
  <c r="C26"/>
  <c r="C18"/>
  <c r="C10"/>
  <c r="O2"/>
  <c r="G74"/>
  <c r="G58"/>
  <c r="G42"/>
  <c r="G26"/>
  <c r="G18"/>
  <c r="G10"/>
  <c r="C82"/>
  <c r="O74"/>
  <c r="O58"/>
  <c r="K26"/>
  <c r="G2"/>
  <c r="G82"/>
  <c r="G50"/>
  <c r="G34"/>
  <c r="K2"/>
  <c r="C66"/>
  <c r="C50"/>
  <c r="O42"/>
  <c r="C34"/>
  <c r="K18"/>
  <c r="K10"/>
  <c r="G66"/>
  <c r="O26"/>
  <c r="O18"/>
  <c r="O10"/>
  <c r="K83" i="2"/>
  <c r="K75"/>
  <c r="K67"/>
  <c r="K59"/>
  <c r="K51"/>
  <c r="K43"/>
  <c r="K35"/>
  <c r="K27"/>
  <c r="K19"/>
  <c r="K11"/>
  <c r="G3"/>
  <c r="G83"/>
  <c r="G67"/>
  <c r="G51"/>
  <c r="G35"/>
  <c r="G19"/>
  <c r="C51"/>
  <c r="O43"/>
  <c r="O83"/>
  <c r="C75"/>
  <c r="O67"/>
  <c r="C59"/>
  <c r="O51"/>
  <c r="C43"/>
  <c r="O35"/>
  <c r="C27"/>
  <c r="O19"/>
  <c r="C11"/>
  <c r="K3"/>
  <c r="G59"/>
  <c r="G27"/>
  <c r="G11"/>
  <c r="O3"/>
  <c r="C83"/>
  <c r="C67"/>
  <c r="C35"/>
  <c r="O27"/>
  <c r="O11"/>
  <c r="G75"/>
  <c r="G43"/>
  <c r="O75"/>
  <c r="O59"/>
  <c r="C19"/>
  <c r="K82" i="4"/>
  <c r="K74"/>
  <c r="K66"/>
  <c r="K58"/>
  <c r="K50"/>
  <c r="K42"/>
  <c r="K34"/>
  <c r="K26"/>
  <c r="K18"/>
  <c r="K10"/>
  <c r="G2"/>
  <c r="C82"/>
  <c r="C74"/>
  <c r="C66"/>
  <c r="C58"/>
  <c r="C50"/>
  <c r="C42"/>
  <c r="C34"/>
  <c r="O26"/>
  <c r="C18"/>
  <c r="O10"/>
  <c r="O2"/>
  <c r="G82"/>
  <c r="G74"/>
  <c r="G66"/>
  <c r="G58"/>
  <c r="G50"/>
  <c r="G42"/>
  <c r="G34"/>
  <c r="G18"/>
  <c r="G10"/>
  <c r="O82"/>
  <c r="O74"/>
  <c r="O66"/>
  <c r="O58"/>
  <c r="O50"/>
  <c r="O42"/>
  <c r="O34"/>
  <c r="C26"/>
  <c r="O18"/>
  <c r="C10"/>
  <c r="K2"/>
  <c r="G26"/>
  <c r="G39" i="2" l="1"/>
  <c r="K39" s="1"/>
  <c r="O39" s="1"/>
  <c r="C47"/>
  <c r="C47" i="1"/>
  <c r="G39"/>
  <c r="K39" s="1"/>
  <c r="O39" s="1"/>
  <c r="C47" i="4"/>
  <c r="G39"/>
  <c r="K39" s="1"/>
  <c r="O39" s="1"/>
  <c r="G31" i="3"/>
  <c r="K31" s="1"/>
  <c r="O31" s="1"/>
  <c r="C39"/>
  <c r="C47" l="1"/>
  <c r="G39"/>
  <c r="K39" s="1"/>
  <c r="O39" s="1"/>
  <c r="C55" i="4"/>
  <c r="G47"/>
  <c r="K47" s="1"/>
  <c r="O47" s="1"/>
  <c r="C55" i="2"/>
  <c r="G47"/>
  <c r="K47" s="1"/>
  <c r="O47" s="1"/>
  <c r="G47" i="1"/>
  <c r="K47" s="1"/>
  <c r="O47" s="1"/>
  <c r="C55"/>
  <c r="G47" i="3" l="1"/>
  <c r="K47" s="1"/>
  <c r="O47" s="1"/>
  <c r="C55"/>
  <c r="C63" i="1"/>
  <c r="G55"/>
  <c r="K55" s="1"/>
  <c r="O55" s="1"/>
  <c r="G55" i="2"/>
  <c r="K55" s="1"/>
  <c r="O55" s="1"/>
  <c r="C63"/>
  <c r="C63" i="4"/>
  <c r="G55"/>
  <c r="K55" s="1"/>
  <c r="O55" s="1"/>
  <c r="C71" i="2" l="1"/>
  <c r="G63"/>
  <c r="K63" s="1"/>
  <c r="O63" s="1"/>
  <c r="C63" i="3"/>
  <c r="G55"/>
  <c r="K55" s="1"/>
  <c r="O55" s="1"/>
  <c r="C71" i="4"/>
  <c r="G63"/>
  <c r="K63" s="1"/>
  <c r="O63" s="1"/>
  <c r="G63" i="1"/>
  <c r="K63" s="1"/>
  <c r="O63" s="1"/>
  <c r="C71"/>
  <c r="C79" i="4" l="1"/>
  <c r="G71"/>
  <c r="K71" s="1"/>
  <c r="O71" s="1"/>
  <c r="G71" i="2"/>
  <c r="K71" s="1"/>
  <c r="O71" s="1"/>
  <c r="C79"/>
  <c r="G63" i="3"/>
  <c r="K63" s="1"/>
  <c r="O63" s="1"/>
  <c r="C71"/>
  <c r="C79" i="1"/>
  <c r="G71"/>
  <c r="K71" s="1"/>
  <c r="O71" s="1"/>
  <c r="C87" i="4" l="1"/>
  <c r="G87" s="1"/>
  <c r="K87" s="1"/>
  <c r="O87" s="1"/>
  <c r="G79"/>
  <c r="K79" s="1"/>
  <c r="O79" s="1"/>
  <c r="C79" i="3"/>
  <c r="G71"/>
  <c r="K71" s="1"/>
  <c r="O71" s="1"/>
  <c r="G79" i="1"/>
  <c r="K79" s="1"/>
  <c r="O79" s="1"/>
  <c r="C87"/>
  <c r="G87" s="1"/>
  <c r="K87" s="1"/>
  <c r="O87" s="1"/>
  <c r="C87" i="2"/>
  <c r="G87" s="1"/>
  <c r="K87" s="1"/>
  <c r="O87" s="1"/>
  <c r="G79"/>
  <c r="K79" s="1"/>
  <c r="O79" s="1"/>
  <c r="G79" i="3" l="1"/>
  <c r="K79" s="1"/>
  <c r="O79" s="1"/>
  <c r="C87"/>
  <c r="G87" s="1"/>
  <c r="K87" s="1"/>
  <c r="O87" s="1"/>
</calcChain>
</file>

<file path=xl/comments1.xml><?xml version="1.0" encoding="utf-8"?>
<comments xmlns="http://schemas.openxmlformats.org/spreadsheetml/2006/main">
  <authors>
    <author/>
  </authors>
  <commentList>
    <comment ref="E334" authorId="0">
      <text>
        <r>
          <rPr>
            <sz val="11"/>
            <color rgb="FF000000"/>
            <rFont val="Calibri"/>
            <scheme val="minor"/>
          </rPr>
          <t>======
ID#AAAB6mJlcww
USER    (2026-05-18 04:35:38)
NEW PART BELUM JLN</t>
        </r>
      </text>
    </comment>
    <comment ref="E335" authorId="0">
      <text>
        <r>
          <rPr>
            <sz val="11"/>
            <color rgb="FF000000"/>
            <rFont val="Calibri"/>
            <scheme val="minor"/>
          </rPr>
          <t>======
ID#AAAB6mJlcwo
USER    (2026-05-18 04:35:38)
NEW PART BELUM JALAN</t>
        </r>
      </text>
    </comment>
    <comment ref="E343" authorId="0">
      <text>
        <r>
          <rPr>
            <sz val="11"/>
            <color rgb="FF000000"/>
            <rFont val="Calibri"/>
            <scheme val="minor"/>
          </rPr>
          <t>======
ID#AAAB6mJlcwg
USER    (2026-05-18 04:35:38)
BELUM PERNAH PRODUKSI BANYAK</t>
        </r>
      </text>
    </comment>
    <comment ref="E344" authorId="0">
      <text>
        <r>
          <rPr>
            <sz val="11"/>
            <color rgb="FF000000"/>
            <rFont val="Calibri"/>
            <scheme val="minor"/>
          </rPr>
          <t>======
ID#AAAB6mJlcwc
USER    (2026-05-18 04:35:38)
BELUM PERNAH JALAN N MASIH SEDKIT</t>
        </r>
      </text>
    </comment>
  </commentList>
  <extLst xmlns:r="http://schemas.openxmlformats.org/officeDocument/2006/relationships">
    <ext uri="GoogleSheetsCustomDataVersion2">
      <go:sheetsCustomData xmlns:go="http://customooxmlschemas.google.com/" r:id="rId1" roundtripDataSignature="AMtx7mgMq82WBL2EhkhMECQCS40eVCtnHQ=="/>
    </ext>
  </extLst>
</comments>
</file>

<file path=xl/comments2.xml><?xml version="1.0" encoding="utf-8"?>
<comments xmlns="http://schemas.openxmlformats.org/spreadsheetml/2006/main">
  <authors>
    <author/>
  </authors>
  <commentList>
    <comment ref="E334" authorId="0">
      <text>
        <r>
          <rPr>
            <sz val="11"/>
            <color rgb="FF000000"/>
            <rFont val="Calibri"/>
            <scheme val="minor"/>
          </rPr>
          <t>======
ID#AAAB6mJlcwk
USER    (2026-05-18 04:35:38)
NEW PART BELUM JLN</t>
        </r>
      </text>
    </comment>
    <comment ref="E335" authorId="0">
      <text>
        <r>
          <rPr>
            <sz val="11"/>
            <color rgb="FF000000"/>
            <rFont val="Calibri"/>
            <scheme val="minor"/>
          </rPr>
          <t>======
ID#AAAB6mJlcwY
USER    (2026-05-18 04:35:38)
NEW PART BELUM JALAN</t>
        </r>
      </text>
    </comment>
    <comment ref="E343" authorId="0">
      <text>
        <r>
          <rPr>
            <sz val="11"/>
            <color rgb="FF000000"/>
            <rFont val="Calibri"/>
            <scheme val="minor"/>
          </rPr>
          <t>======
ID#AAAB6mJlcws
USER    (2026-05-18 04:35:38)
BELUM PERNAH PRODUKSI BANYAK</t>
        </r>
      </text>
    </comment>
    <comment ref="E344" authorId="0">
      <text>
        <r>
          <rPr>
            <sz val="11"/>
            <color rgb="FF000000"/>
            <rFont val="Calibri"/>
            <scheme val="minor"/>
          </rPr>
          <t>======
ID#AAAB6mJlcwU
USER    (2026-05-18 04:35:38)
BELUM PERNAH JALAN N MASIH SEDKIT</t>
        </r>
      </text>
    </comment>
  </commentList>
  <extLst xmlns:r="http://schemas.openxmlformats.org/officeDocument/2006/relationships">
    <ext uri="GoogleSheetsCustomDataVersion2">
      <go:sheetsCustomData xmlns:go="http://customooxmlschemas.google.com/" r:id="rId1" roundtripDataSignature="AMtx7mjdkK0OiFHl3eqZHK/6pf7ofDeTLQ=="/>
    </ext>
  </extLst>
</comments>
</file>

<file path=xl/sharedStrings.xml><?xml version="1.0" encoding="utf-8"?>
<sst xmlns="http://schemas.openxmlformats.org/spreadsheetml/2006/main" count="8754" uniqueCount="1731">
  <si>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</si>
  <si>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</si>
  <si>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</si>
  <si>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</si>
  <si>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</si>
  <si>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</si>
  <si>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</si>
  <si>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</si>
  <si>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</si>
  <si>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</si>
  <si>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</si>
  <si>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</si>
  <si>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</si>
  <si>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</si>
  <si>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</si>
  <si>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</si>
  <si>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</si>
  <si>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</si>
  <si>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</si>
  <si>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</si>
  <si>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</si>
  <si>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</si>
  <si>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</si>
  <si>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</si>
  <si>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</si>
  <si>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</si>
  <si>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</si>
  <si>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</si>
  <si>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</si>
  <si>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</si>
  <si>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</si>
  <si>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</si>
  <si>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</si>
  <si>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</si>
  <si>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</si>
  <si>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</si>
  <si>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</si>
  <si>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</si>
  <si>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</si>
  <si>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</si>
  <si>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</si>
  <si>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</si>
  <si>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</si>
  <si>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</si>
  <si>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</si>
  <si>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</si>
  <si>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</si>
  <si>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</si>
  <si>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</si>
  <si>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</si>
  <si>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</si>
  <si>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</si>
  <si>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</si>
  <si>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</si>
  <si>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</si>
  <si>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</si>
  <si>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</si>
  <si>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</si>
  <si>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</si>
  <si>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</si>
  <si>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</si>
  <si>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</si>
  <si>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</si>
  <si>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</si>
  <si>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</si>
  <si>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</si>
  <si>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</si>
  <si>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</si>
  <si>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</si>
  <si>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</si>
  <si>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</si>
  <si>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</si>
  <si>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</si>
  <si>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</si>
  <si>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</si>
  <si>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</si>
  <si>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</si>
  <si>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</si>
  <si>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</si>
  <si>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</si>
  <si>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</si>
  <si>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</si>
  <si>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</si>
  <si>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</si>
  <si>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</si>
  <si>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</si>
  <si>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</si>
  <si>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</si>
  <si>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</si>
  <si>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</si>
  <si>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</si>
  <si>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</si>
  <si>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</si>
  <si>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</si>
  <si>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</si>
  <si>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</si>
  <si>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</si>
  <si>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</si>
  <si>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</si>
  <si>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</si>
  <si>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</si>
  <si>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</si>
  <si>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</si>
  <si>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</si>
  <si>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</si>
  <si>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</si>
  <si>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</si>
  <si>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</si>
  <si>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</si>
  <si>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</si>
  <si>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</si>
  <si>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</si>
  <si>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</si>
  <si>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</si>
  <si>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</si>
  <si>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</si>
  <si>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</si>
  <si>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</si>
  <si>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</si>
  <si>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</si>
  <si>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</si>
  <si>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</si>
  <si>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</si>
  <si>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</si>
  <si>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</si>
  <si>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</si>
  <si>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</si>
  <si>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</si>
  <si>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</si>
  <si>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</si>
  <si>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</si>
  <si>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</si>
  <si>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</si>
  <si>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</si>
  <si>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</si>
  <si>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</si>
  <si>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</si>
  <si>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</si>
  <si>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</si>
  <si>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</si>
  <si>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</si>
  <si>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</si>
  <si>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</si>
  <si>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</si>
  <si>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</si>
  <si>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</si>
  <si>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</si>
  <si>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</si>
  <si>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</si>
  <si>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</si>
  <si>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</si>
  <si>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</si>
  <si>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</si>
  <si>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</si>
  <si>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</si>
  <si>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</si>
  <si>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</si>
  <si>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</si>
  <si>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</si>
  <si>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</si>
  <si>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</si>
  <si>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</si>
  <si>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</si>
  <si>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</si>
  <si>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</si>
  <si>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</si>
  <si>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</si>
  <si>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</si>
  <si>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</si>
  <si>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</si>
  <si>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</si>
  <si>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</si>
  <si>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</si>
  <si>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</si>
  <si>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</si>
  <si>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</si>
  <si>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</si>
  <si>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</si>
  <si>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</si>
  <si>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</si>
  <si>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</si>
  <si>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</si>
  <si>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</si>
  <si>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</si>
  <si>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</si>
  <si>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</si>
  <si>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</si>
  <si>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</si>
  <si>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</si>
  <si>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</si>
  <si>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</si>
  <si>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</si>
  <si>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</si>
  <si>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</si>
  <si>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</si>
  <si>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</si>
  <si>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</si>
  <si>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</si>
  <si>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</si>
  <si>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</si>
  <si>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</si>
  <si>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</si>
  <si>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</si>
  <si>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</si>
  <si>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</si>
  <si>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</si>
  <si>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</si>
  <si>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</si>
  <si>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</si>
  <si>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</si>
  <si>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</si>
  <si>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</si>
  <si>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</si>
  <si>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</si>
  <si>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</si>
  <si>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</si>
  <si>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</si>
  <si>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</si>
  <si>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</si>
  <si>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</si>
  <si>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</si>
  <si>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</si>
  <si>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</si>
  <si>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</si>
  <si>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</si>
  <si>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</si>
  <si>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</si>
  <si>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</si>
  <si>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</si>
  <si>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</si>
  <si>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</si>
  <si>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</si>
  <si>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</si>
  <si>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</si>
  <si>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</si>
  <si>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</si>
  <si>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</si>
  <si>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</si>
  <si>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</si>
  <si>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</si>
  <si>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</si>
  <si>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</si>
  <si>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</si>
  <si>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</si>
  <si>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</si>
  <si>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</si>
  <si>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</si>
  <si>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</si>
  <si>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</si>
  <si>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</si>
  <si>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</si>
  <si>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</si>
  <si>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</si>
  <si>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</si>
  <si>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</si>
  <si>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</si>
  <si>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</si>
  <si>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</si>
  <si>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</si>
  <si>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</si>
  <si>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</si>
  <si>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</si>
  <si>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</si>
  <si>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</si>
  <si>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</si>
  <si>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</si>
  <si>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</si>
  <si>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</si>
  <si>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</si>
  <si>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</si>
  <si>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</si>
  <si>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</si>
  <si>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</si>
  <si>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</si>
  <si>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</si>
  <si>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</si>
  <si>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</si>
  <si>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</si>
  <si>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</si>
  <si>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</si>
  <si>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</si>
  <si>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</si>
  <si>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</si>
  <si>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</si>
  <si>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</si>
  <si>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</si>
  <si>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</si>
  <si>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</si>
  <si>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</si>
  <si>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</si>
  <si>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</si>
  <si>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</si>
  <si>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</si>
  <si>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</si>
  <si>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</si>
  <si>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</si>
  <si>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</si>
  <si>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</si>
  <si>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</si>
  <si>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</si>
  <si>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</si>
  <si>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</si>
  <si>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</si>
  <si>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</si>
  <si>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</si>
  <si>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</si>
  <si>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</si>
  <si>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</si>
  <si>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</si>
  <si>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</si>
  <si>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</si>
  <si>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</si>
  <si>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</si>
  <si>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</si>
  <si>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</si>
  <si>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</si>
  <si>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</si>
  <si>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</si>
  <si>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</si>
  <si>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</si>
  <si>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</si>
  <si>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</si>
  <si>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</si>
  <si>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</si>
  <si>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</si>
  <si>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</si>
  <si>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</si>
  <si>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</si>
  <si>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</si>
  <si>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</si>
  <si>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</si>
  <si>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</si>
  <si>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</si>
  <si>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</si>
  <si>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</si>
  <si>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</si>
  <si>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</si>
  <si>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</si>
  <si>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</si>
  <si>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</si>
  <si>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</si>
  <si>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</si>
  <si>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</si>
  <si>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</si>
  <si>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</si>
  <si>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</si>
  <si>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</si>
  <si>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</si>
  <si>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</si>
  <si>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</si>
  <si>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</si>
  <si>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</si>
  <si>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</si>
  <si>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</si>
  <si>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</si>
  <si>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</si>
  <si>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</si>
  <si>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</si>
  <si>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</si>
  <si>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</si>
  <si>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</si>
  <si>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</si>
  <si>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</si>
  <si>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</si>
  <si>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</si>
  <si>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</si>
  <si>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</si>
  <si>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</si>
  <si>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</si>
  <si>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</si>
  <si>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</si>
  <si>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</si>
  <si>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</si>
  <si>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</si>
  <si>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</si>
  <si>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</si>
  <si>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</si>
  <si>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</si>
  <si>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</si>
  <si>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</si>
  <si>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</si>
  <si>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</si>
  <si>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</si>
  <si>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</si>
  <si>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</si>
  <si>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</si>
  <si>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</si>
  <si>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</si>
  <si>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</si>
  <si>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</si>
  <si>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</si>
  <si>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</si>
  <si>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</si>
  <si>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</si>
  <si>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</si>
  <si>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</si>
  <si>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</si>
  <si>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</si>
  <si>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</si>
  <si>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</si>
  <si>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</si>
  <si>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</si>
  <si>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</si>
  <si>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</si>
  <si>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</si>
  <si>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</si>
  <si>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</si>
  <si>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</si>
  <si>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</si>
  <si>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</si>
  <si>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</si>
  <si>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</si>
  <si>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</si>
  <si>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</si>
  <si>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</si>
  <si>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</si>
  <si>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</si>
  <si>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</si>
  <si>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</si>
  <si>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</si>
  <si>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</si>
  <si>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</si>
  <si>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</si>
  <si>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</si>
  <si>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</si>
  <si>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</si>
  <si>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</si>
  <si>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</si>
  <si>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</si>
  <si>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</si>
  <si>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</si>
  <si>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</si>
  <si>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</si>
  <si>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</si>
  <si>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</si>
  <si>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</si>
  <si>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</si>
  <si>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</si>
  <si>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</si>
  <si>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</si>
  <si>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</si>
  <si>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</si>
  <si>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</si>
  <si>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</si>
  <si>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</si>
  <si>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</si>
  <si>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</si>
  <si>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</si>
  <si>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</si>
  <si>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</si>
  <si>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</si>
  <si>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</si>
  <si>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</si>
  <si>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</si>
  <si>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</si>
  <si>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</si>
  <si>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</si>
  <si>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</si>
  <si>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</si>
  <si>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</si>
  <si>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</si>
  <si>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</si>
  <si>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</si>
  <si>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</si>
  <si>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</si>
  <si>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</si>
  <si>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</si>
  <si>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</si>
  <si>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</si>
  <si>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</si>
  <si>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</si>
  <si>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</si>
  <si>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</si>
  <si>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</si>
  <si>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</si>
  <si>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</si>
  <si>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</si>
  <si>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</si>
  <si>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</si>
  <si>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</si>
  <si>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</si>
  <si>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</si>
  <si>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</si>
  <si>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</si>
  <si>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</si>
  <si>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</si>
  <si>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</si>
  <si>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</si>
  <si>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</si>
  <si>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</si>
  <si>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</si>
  <si>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</si>
  <si>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</si>
  <si>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</si>
  <si>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</si>
  <si>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</si>
  <si>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</si>
  <si>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</si>
  <si>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</si>
  <si>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</si>
  <si>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</si>
  <si>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</si>
  <si>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</si>
  <si>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</si>
  <si>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</si>
  <si>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</si>
  <si>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</si>
  <si>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</si>
  <si>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</si>
  <si>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</si>
  <si>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</si>
  <si>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</si>
  <si>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</si>
  <si>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</si>
  <si>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</si>
  <si>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</si>
  <si>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</si>
  <si>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</si>
  <si>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</si>
  <si>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</si>
  <si>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</si>
  <si>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</si>
  <si>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</si>
  <si>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</si>
  <si>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</si>
  <si>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</si>
  <si>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</si>
  <si>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</si>
  <si>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</si>
  <si>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</si>
  <si>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</si>
  <si>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</si>
  <si>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</si>
  <si>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</si>
  <si>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</si>
  <si>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</si>
  <si>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</si>
  <si>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</si>
  <si>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</si>
  <si>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</si>
  <si>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</si>
  <si>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</si>
  <si>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</si>
  <si>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</si>
  <si>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</si>
  <si>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</si>
  <si>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</si>
  <si>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</si>
  <si>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</si>
  <si>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</si>
  <si>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</si>
  <si>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</si>
  <si>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</si>
  <si>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</si>
  <si>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</si>
  <si>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</si>
  <si>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</si>
  <si>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</si>
  <si>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</si>
  <si>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</si>
  <si>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</si>
  <si>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</si>
  <si>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</si>
  <si>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</si>
  <si>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</si>
  <si>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</si>
  <si>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</si>
  <si>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</si>
  <si>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</si>
  <si>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</si>
  <si>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</si>
  <si>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</si>
  <si>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</si>
  <si>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</si>
  <si>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</si>
  <si>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</si>
  <si>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</si>
  <si>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</si>
  <si>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</si>
  <si>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</si>
  <si>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</si>
  <si>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</si>
  <si>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</si>
  <si>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</si>
  <si>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</si>
  <si>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</si>
  <si>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</si>
  <si>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</si>
  <si>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</si>
  <si>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</si>
  <si>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</si>
  <si>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</si>
  <si>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</si>
  <si>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</si>
  <si>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</si>
  <si>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</si>
  <si>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</si>
  <si>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</si>
  <si>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</si>
  <si>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</si>
  <si>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</si>
  <si>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</si>
  <si>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</si>
  <si>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</si>
  <si>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</si>
  <si>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</si>
  <si>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</si>
  <si>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</si>
  <si>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</si>
  <si>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</si>
  <si>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</si>
  <si>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</si>
  <si>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</si>
  <si>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</si>
  <si>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</si>
  <si>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</si>
  <si>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</si>
  <si>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</si>
  <si>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</si>
  <si>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</si>
  <si>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</si>
  <si>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</si>
  <si>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</si>
  <si>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</si>
  <si>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</si>
  <si>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</si>
  <si>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</si>
  <si>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</si>
  <si>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</si>
  <si>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</si>
  <si>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</si>
  <si>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</si>
  <si>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</si>
  <si>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</si>
  <si>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</si>
  <si>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</si>
  <si>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</si>
  <si>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</si>
  <si>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</si>
  <si>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</si>
  <si>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</si>
  <si>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</si>
  <si>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</si>
  <si>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</si>
  <si>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</si>
  <si>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</si>
  <si>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</si>
  <si>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</si>
  <si>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</si>
  <si>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</si>
  <si>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</si>
  <si>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</si>
  <si>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</si>
  <si>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</si>
  <si>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</si>
  <si>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</si>
  <si>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</si>
  <si>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</si>
  <si>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</si>
  <si>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</si>
  <si>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</si>
  <si>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</si>
  <si>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</si>
  <si>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</si>
  <si>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</si>
  <si>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</si>
  <si>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</si>
  <si>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</si>
  <si>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</si>
  <si>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</si>
  <si>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</si>
  <si>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</si>
  <si>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</si>
  <si>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</si>
  <si>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</si>
  <si>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</si>
  <si>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</si>
  <si>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</si>
  <si>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</si>
  <si>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</si>
  <si>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</si>
  <si>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</si>
  <si>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</si>
  <si>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</si>
  <si>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</si>
  <si>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</si>
  <si>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</si>
  <si>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</si>
  <si>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</si>
  <si>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</si>
  <si>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</si>
  <si>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</si>
  <si>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</si>
  <si>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</si>
  <si>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</si>
  <si>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</si>
  <si>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</si>
  <si>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</si>
  <si>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</si>
  <si>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</si>
  <si>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</si>
  <si>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</si>
  <si>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</si>
  <si>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</si>
  <si>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</si>
  <si>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</si>
  <si>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</si>
  <si>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</si>
  <si>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</si>
  <si>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</si>
  <si>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</si>
  <si>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</si>
  <si>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</si>
  <si>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</si>
  <si>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</si>
  <si>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</si>
  <si>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</si>
  <si>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</si>
  <si>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</si>
  <si>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</si>
  <si>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</si>
  <si>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</si>
  <si>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</si>
  <si>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</si>
  <si>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</si>
  <si>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</si>
  <si>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</si>
  <si>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</si>
  <si>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</si>
  <si>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</si>
  <si>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</si>
  <si>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</si>
  <si>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</si>
  <si>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</si>
  <si>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</si>
  <si>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</si>
  <si>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</si>
  <si>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</si>
  <si>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</si>
  <si>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</si>
  <si>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</si>
  <si>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</si>
  <si>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</si>
  <si>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</si>
  <si>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</si>
  <si>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</si>
  <si>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</si>
  <si>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</si>
  <si>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</si>
  <si>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</si>
  <si>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</si>
  <si>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</si>
  <si>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</si>
  <si>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</si>
  <si>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</si>
  <si>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</si>
  <si>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</si>
  <si>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</si>
  <si>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</si>
  <si>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</si>
  <si>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</si>
  <si>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</si>
  <si>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</si>
  <si>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</si>
  <si>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</si>
  <si>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</si>
  <si>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</si>
  <si>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</si>
  <si>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</si>
  <si>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</si>
  <si>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</si>
  <si>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</si>
  <si>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</si>
  <si>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</si>
  <si>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</si>
  <si>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</si>
  <si>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</si>
  <si>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</si>
  <si>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</si>
  <si>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</si>
  <si>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</si>
  <si>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</si>
  <si>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</si>
  <si>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</si>
  <si>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</si>
  <si>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</si>
  <si>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</si>
  <si>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</si>
  <si>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</si>
  <si>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</si>
  <si>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</si>
  <si>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</si>
  <si>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</si>
  <si>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</si>
  <si>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</si>
  <si>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</si>
  <si>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</si>
  <si>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</si>
  <si>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</si>
  <si>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</si>
  <si>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</si>
  <si>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</si>
  <si>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</si>
  <si>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</si>
  <si>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</si>
  <si>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</si>
  <si>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</si>
  <si>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</si>
  <si>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</si>
  <si>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</si>
  <si>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</si>
  <si>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</si>
  <si>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</si>
  <si>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</si>
  <si>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</si>
  <si>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</si>
  <si>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</si>
  <si>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</si>
  <si>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</si>
  <si>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</si>
  <si>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</si>
  <si>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</si>
  <si>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</si>
  <si>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</si>
  <si>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</si>
  <si>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</si>
  <si>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</si>
  <si>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</si>
  <si>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</si>
  <si>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</si>
  <si>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</si>
  <si>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</si>
  <si>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</si>
  <si>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</si>
  <si>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</si>
  <si>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</si>
  <si>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</si>
  <si>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</si>
  <si>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</si>
  <si>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</si>
  <si>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</si>
  <si>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</si>
  <si>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</si>
  <si>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</si>
  <si>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</si>
  <si>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</si>
  <si>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</si>
  <si>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</si>
  <si>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</si>
  <si>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</si>
  <si>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</si>
  <si>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</si>
  <si>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</si>
  <si>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</si>
  <si>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</si>
  <si>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</si>
  <si>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</si>
  <si>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</si>
  <si>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</si>
  <si>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</si>
  <si>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</si>
  <si>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</si>
  <si>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</si>
  <si>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</si>
  <si>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</si>
  <si>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</si>
  <si>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</si>
  <si>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</si>
  <si>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</si>
  <si>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</si>
  <si>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</si>
  <si>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</si>
  <si>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</si>
  <si>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</si>
  <si>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</si>
  <si>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</si>
  <si>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</si>
  <si>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</si>
  <si>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</si>
  <si>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</si>
  <si>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</si>
  <si>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</si>
  <si>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</si>
  <si>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</si>
  <si>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</si>
  <si>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</si>
  <si>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</si>
  <si>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</si>
  <si>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</si>
  <si>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</si>
  <si>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</si>
  <si>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</si>
  <si>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</si>
  <si>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</si>
  <si>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</si>
  <si>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</si>
  <si>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</si>
  <si>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</si>
  <si>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</si>
  <si>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</si>
  <si>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</si>
  <si>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</si>
  <si>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</si>
  <si>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</si>
  <si>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</si>
  <si>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</si>
  <si>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</si>
  <si>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</si>
  <si>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</si>
  <si>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</si>
  <si>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</si>
  <si>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</si>
  <si>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</si>
  <si>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</si>
  <si>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</si>
  <si>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</si>
  <si>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</si>
  <si>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</si>
  <si>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</si>
  <si>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</si>
  <si>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</si>
  <si>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</si>
  <si>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</si>
  <si>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</si>
  <si>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</si>
  <si>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</si>
  <si>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</si>
  <si>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</si>
  <si>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</si>
  <si>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</si>
  <si>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</si>
  <si>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</si>
  <si>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</si>
  <si>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</si>
  <si>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</si>
  <si>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</si>
  <si>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</si>
  <si>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</si>
  <si>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</si>
  <si>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</si>
  <si>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</si>
  <si>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</si>
  <si>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</si>
  <si>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</si>
  <si>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</si>
  <si>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</si>
  <si>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</si>
  <si>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</si>
  <si>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</si>
  <si>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</si>
  <si>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</si>
  <si>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</si>
  <si>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</si>
  <si>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</si>
  <si>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</si>
  <si>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</si>
  <si>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</si>
  <si>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</si>
  <si>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</si>
  <si>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</si>
  <si>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</si>
  <si>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</si>
  <si>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</si>
  <si>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</si>
  <si>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</si>
  <si>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</si>
  <si>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</si>
  <si>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</si>
  <si>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</si>
  <si>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</si>
  <si>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</si>
  <si>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</si>
  <si>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</si>
  <si>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</si>
  <si>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</si>
  <si>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</si>
  <si>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</si>
  <si>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</si>
  <si>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</si>
  <si>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</si>
  <si>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</si>
  <si>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</si>
  <si>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</si>
  <si>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</si>
  <si>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</si>
  <si>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</si>
  <si>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</si>
  <si>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</si>
  <si>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</si>
  <si>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</si>
  <si>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</si>
  <si>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</si>
  <si>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</si>
  <si>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</si>
  <si>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</si>
  <si>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</si>
  <si>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</si>
  <si>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</si>
  <si>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</si>
  <si>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</si>
  <si>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</si>
  <si>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</si>
  <si>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</si>
  <si>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</si>
  <si>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</si>
  <si>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</si>
  <si>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</si>
  <si>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</si>
  <si>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</si>
  <si>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</si>
  <si>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</si>
  <si>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</si>
  <si>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</si>
  <si>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</si>
  <si>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</si>
  <si>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</si>
  <si>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</si>
  <si>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</si>
  <si>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</si>
  <si>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</si>
  <si>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</si>
  <si>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</si>
  <si>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</si>
  <si>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</si>
  <si>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</si>
  <si>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</si>
  <si>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</si>
  <si>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</si>
  <si>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</si>
  <si>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</si>
  <si>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</si>
  <si>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</si>
  <si>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</si>
  <si>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</si>
  <si>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</si>
  <si>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</si>
  <si>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</si>
  <si>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</si>
  <si>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</si>
  <si>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</si>
  <si>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</si>
  <si>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</si>
  <si>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</si>
  <si>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</si>
  <si>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</si>
  <si>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</si>
  <si>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</si>
  <si>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</si>
  <si>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</si>
  <si>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</si>
  <si>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</si>
  <si>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</si>
  <si>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</si>
  <si>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</si>
  <si>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</si>
  <si>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</si>
  <si>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</si>
  <si>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</si>
  <si>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</si>
  <si>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</si>
  <si>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</si>
  <si>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</si>
  <si>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</si>
  <si>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</si>
  <si>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</si>
  <si>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</si>
  <si>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</si>
  <si>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</si>
  <si>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</si>
  <si>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</si>
  <si>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</si>
  <si>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</si>
  <si>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</si>
  <si>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</si>
  <si>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</si>
  <si>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</si>
  <si>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</si>
  <si>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</si>
  <si>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</si>
  <si>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</si>
  <si>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</si>
  <si>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</si>
  <si>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</si>
  <si>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</si>
  <si>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</si>
  <si>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</si>
  <si>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</si>
  <si>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</si>
  <si>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</si>
  <si>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</si>
  <si>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</si>
  <si>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</si>
  <si>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</si>
  <si>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</si>
  <si>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</si>
  <si>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</si>
  <si>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</si>
  <si>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</si>
  <si>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</si>
  <si>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</si>
  <si>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</si>
  <si>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</si>
  <si>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</si>
  <si>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</si>
  <si>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</si>
  <si>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</si>
  <si>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</si>
  <si>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</si>
  <si>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</si>
  <si>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</si>
  <si>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</si>
  <si>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</si>
  <si>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</si>
  <si>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</si>
  <si>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</si>
  <si>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</si>
  <si>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</si>
  <si>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</si>
  <si>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</si>
  <si>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</si>
  <si>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</si>
  <si>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</si>
  <si>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</si>
  <si>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</si>
  <si>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</si>
  <si>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</si>
  <si>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</si>
  <si>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</si>
  <si>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</si>
  <si>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</si>
  <si>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</si>
  <si>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</si>
  <si>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</si>
  <si>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</si>
  <si>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</si>
  <si>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</si>
  <si>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</si>
  <si>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</si>
  <si>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</si>
  <si>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</si>
  <si>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</si>
  <si>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</si>
  <si>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</si>
  <si>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</si>
  <si>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</si>
  <si>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</si>
  <si>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</si>
  <si>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</si>
  <si>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</si>
  <si>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</si>
  <si>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</si>
  <si>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</si>
  <si>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</si>
  <si>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</si>
  <si>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</si>
  <si>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</si>
  <si>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</si>
  <si>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</si>
  <si>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</si>
  <si>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</si>
  <si>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</si>
  <si>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</si>
  <si>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</si>
  <si>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</si>
  <si>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</si>
  <si>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</si>
  <si>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</si>
  <si>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</si>
  <si>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</si>
  <si>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</si>
  <si>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</si>
  <si>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</si>
  <si>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</si>
  <si>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</si>
  <si>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</si>
  <si>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</si>
  <si>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</si>
  <si>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</si>
  <si>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</si>
  <si>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</si>
  <si>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</si>
  <si>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</si>
  <si>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</si>
  <si>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</si>
  <si>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</si>
  <si>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</si>
  <si>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</si>
  <si>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</si>
  <si>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</si>
  <si>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</si>
  <si>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</si>
  <si>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</si>
  <si>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</si>
  <si>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</si>
  <si>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</si>
  <si>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</si>
  <si>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</si>
  <si>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</si>
  <si>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</si>
  <si>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</si>
  <si>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</si>
  <si>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</si>
  <si>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</si>
  <si>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</si>
  <si>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</si>
  <si>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</si>
  <si>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</si>
  <si>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</si>
  <si>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</si>
  <si>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</si>
  <si>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</si>
  <si>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</si>
  <si>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</si>
  <si>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</si>
  <si>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</si>
  <si>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</si>
  <si>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</si>
  <si>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</si>
  <si>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</si>
  <si>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</si>
  <si>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</si>
  <si>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</si>
  <si>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</si>
  <si>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</si>
  <si>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</si>
  <si>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</si>
  <si>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</si>
  <si>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</si>
  <si>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</si>
  <si>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</si>
  <si>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</si>
  <si>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</si>
  <si>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</si>
  <si>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r>
      <rPr>
        <sz val="11"/>
        <color theme="1"/>
        <rFont val="Calibri"/>
      </rPr>
      <t>6,044</t>
    </r>
  </si>
  <si>
    <t>A1,A2,A3,A4,A6,A7,A8,A11,A12,A13,A14,A16,A17,A18,A19,B3,B7,B12,B13,B16,B17,B18,C1,C2,C3,C5,C7,C8,C11,E13,F1,F2,F3,F4,F5,F6,F7,F8,F9,F10,F11,F12,F13,F14,F15,F16,G1,G2,G3,G4,G5,G6,G7,G8,G9,G10,G11,G12,G13,G14,G15,G16</t>
  </si>
  <si>
    <r>
      <rPr>
        <sz val="11"/>
        <color theme="1"/>
        <rFont val="Calibri"/>
      </rPr>
      <t>8,772</t>
    </r>
  </si>
  <si>
    <r>
      <rPr>
        <sz val="11"/>
        <color theme="1"/>
        <rFont val="Calibri"/>
      </rPr>
      <t>6,044</t>
    </r>
  </si>
  <si>
    <r>
      <rPr>
        <sz val="11"/>
        <color theme="1"/>
        <rFont val="Calibri"/>
      </rPr>
      <t>8,772</t>
    </r>
  </si>
  <si>
    <r>
      <rPr>
        <sz val="11"/>
        <color theme="1"/>
        <rFont val="Calibri"/>
      </rPr>
      <t>27,3544</t>
    </r>
  </si>
  <si>
    <r>
      <rPr>
        <sz val="11"/>
        <color theme="1"/>
        <rFont val="Calibri"/>
      </rPr>
      <t>7,566</t>
    </r>
  </si>
  <si>
    <r>
      <rPr>
        <sz val="11"/>
        <color theme="1"/>
        <rFont val="Calibri"/>
      </rPr>
      <t>4,372</t>
    </r>
  </si>
  <si>
    <r>
      <rPr>
        <sz val="11"/>
        <color theme="1"/>
        <rFont val="Calibri"/>
      </rPr>
      <t>101,536</t>
    </r>
  </si>
  <si>
    <r>
      <rPr>
        <sz val="11"/>
        <color theme="1"/>
        <rFont val="Calibri"/>
      </rPr>
      <t>12,76</t>
    </r>
  </si>
  <si>
    <r>
      <rPr>
        <sz val="11"/>
        <color theme="1"/>
        <rFont val="Calibri"/>
      </rPr>
      <t>12,76</t>
    </r>
  </si>
  <si>
    <r>
      <rPr>
        <sz val="11"/>
        <color theme="1"/>
        <rFont val="Calibri"/>
      </rPr>
      <t>12,6364</t>
    </r>
  </si>
  <si>
    <r>
      <rPr>
        <sz val="11"/>
        <color theme="1"/>
        <rFont val="Calibri"/>
      </rPr>
      <t>9,38</t>
    </r>
  </si>
  <si>
    <r>
      <rPr>
        <sz val="11"/>
        <color theme="1"/>
        <rFont val="Calibri"/>
      </rPr>
      <t>9,38</t>
    </r>
  </si>
  <si>
    <r>
      <rPr>
        <sz val="11"/>
        <color theme="1"/>
        <rFont val="Calibri"/>
      </rPr>
      <t>21,26</t>
    </r>
  </si>
  <si>
    <r>
      <rPr>
        <sz val="11"/>
        <color theme="1"/>
        <rFont val="Calibri"/>
      </rPr>
      <t>21,26</t>
    </r>
  </si>
  <si>
    <r>
      <rPr>
        <sz val="11"/>
        <color theme="1"/>
        <rFont val="Calibri"/>
      </rPr>
      <t>8,086</t>
    </r>
  </si>
  <si>
    <r>
      <rPr>
        <sz val="11"/>
        <color theme="1"/>
        <rFont val="Calibri"/>
      </rPr>
      <t>29,338</t>
    </r>
  </si>
  <si>
    <r>
      <rPr>
        <sz val="11"/>
        <color theme="1"/>
        <rFont val="Calibri"/>
      </rPr>
      <t>9,64</t>
    </r>
  </si>
  <si>
    <r>
      <rPr>
        <sz val="11"/>
        <color theme="1"/>
        <rFont val="Calibri"/>
      </rPr>
      <t>9,928</t>
    </r>
  </si>
  <si>
    <r>
      <rPr>
        <sz val="11"/>
        <color theme="1"/>
        <rFont val="Calibri"/>
      </rPr>
      <t>9,64</t>
    </r>
  </si>
  <si>
    <r>
      <rPr>
        <sz val="11"/>
        <color theme="1"/>
        <rFont val="Calibri"/>
      </rPr>
      <t>9,928</t>
    </r>
  </si>
  <si>
    <r>
      <rPr>
        <sz val="11"/>
        <color theme="1"/>
        <rFont val="Calibri"/>
      </rPr>
      <t>22,648</t>
    </r>
  </si>
  <si>
    <r>
      <rPr>
        <sz val="11"/>
        <color theme="1"/>
        <rFont val="Calibri"/>
      </rPr>
      <t>22,648</t>
    </r>
  </si>
  <si>
    <r>
      <rPr>
        <sz val="11"/>
        <color theme="1"/>
        <rFont val="Calibri"/>
      </rPr>
      <t>18,28</t>
    </r>
  </si>
  <si>
    <r>
      <rPr>
        <sz val="11"/>
        <color theme="1"/>
        <rFont val="Calibri"/>
      </rPr>
      <t>18,28</t>
    </r>
  </si>
  <si>
    <r>
      <rPr>
        <sz val="11"/>
        <color theme="1"/>
        <rFont val="Calibri"/>
      </rPr>
      <t>12,2804</t>
    </r>
  </si>
  <si>
    <r>
      <rPr>
        <sz val="11"/>
        <color theme="1"/>
        <rFont val="Calibri"/>
      </rPr>
      <t>6,042</t>
    </r>
  </si>
  <si>
    <r>
      <rPr>
        <sz val="11"/>
        <color theme="1"/>
        <rFont val="Calibri"/>
      </rPr>
      <t>8,682</t>
    </r>
  </si>
  <si>
    <r>
      <rPr>
        <sz val="11"/>
        <color theme="1"/>
        <rFont val="Calibri"/>
      </rPr>
      <t>9,078</t>
    </r>
  </si>
  <si>
    <r>
      <rPr>
        <sz val="11"/>
        <color theme="1"/>
        <rFont val="Calibri"/>
      </rPr>
      <t>13,8096</t>
    </r>
  </si>
  <si>
    <r>
      <rPr>
        <sz val="11"/>
        <color theme="1"/>
        <rFont val="Calibri"/>
      </rPr>
      <t>3,834</t>
    </r>
  </si>
  <si>
    <r>
      <rPr>
        <sz val="11"/>
        <color theme="1"/>
        <rFont val="Calibri"/>
      </rPr>
      <t>6,32</t>
    </r>
  </si>
  <si>
    <r>
      <rPr>
        <sz val="11"/>
        <color theme="1"/>
        <rFont val="Calibri"/>
      </rPr>
      <t>2,6908</t>
    </r>
  </si>
  <si>
    <r>
      <rPr>
        <sz val="11"/>
        <color theme="1"/>
        <rFont val="Calibri"/>
      </rPr>
      <t>8,224</t>
    </r>
  </si>
  <si>
    <r>
      <rPr>
        <sz val="11"/>
        <color theme="1"/>
        <rFont val="Calibri"/>
      </rPr>
      <t>19,28</t>
    </r>
  </si>
  <si>
    <r>
      <rPr>
        <sz val="11"/>
        <color theme="1"/>
        <rFont val="Calibri"/>
      </rPr>
      <t>4,98</t>
    </r>
  </si>
  <si>
    <r>
      <rPr>
        <sz val="11"/>
        <color theme="1"/>
        <rFont val="Calibri"/>
      </rPr>
      <t>11,08</t>
    </r>
  </si>
  <si>
    <r>
      <rPr>
        <sz val="11"/>
        <color theme="1"/>
        <rFont val="Calibri"/>
      </rPr>
      <t>3,6</t>
    </r>
  </si>
  <si>
    <r>
      <rPr>
        <sz val="11"/>
        <color theme="1"/>
        <rFont val="Calibri"/>
      </rPr>
      <t>1,7988</t>
    </r>
  </si>
  <si>
    <r>
      <rPr>
        <sz val="11"/>
        <color theme="1"/>
        <rFont val="Calibri"/>
      </rPr>
      <t>11,08</t>
    </r>
  </si>
  <si>
    <r>
      <rPr>
        <sz val="11"/>
        <color theme="1"/>
        <rFont val="Calibri"/>
      </rPr>
      <t>7,12</t>
    </r>
  </si>
  <si>
    <r>
      <rPr>
        <sz val="11"/>
        <color theme="1"/>
        <rFont val="Calibri"/>
      </rPr>
      <t>6,686</t>
    </r>
  </si>
  <si>
    <r>
      <rPr>
        <sz val="11"/>
        <color theme="1"/>
        <rFont val="Calibri"/>
      </rPr>
      <t>6,694</t>
    </r>
  </si>
  <si>
    <r>
      <rPr>
        <sz val="11"/>
        <color theme="1"/>
        <rFont val="Calibri"/>
      </rPr>
      <t>6,71</t>
    </r>
  </si>
  <si>
    <r>
      <rPr>
        <sz val="11"/>
        <color theme="1"/>
        <rFont val="Calibri"/>
      </rPr>
      <t>12,64</t>
    </r>
  </si>
  <si>
    <r>
      <rPr>
        <sz val="11"/>
        <color theme="1"/>
        <rFont val="Calibri"/>
      </rPr>
      <t>12,32</t>
    </r>
  </si>
  <si>
    <r>
      <rPr>
        <sz val="11"/>
        <color theme="1"/>
        <rFont val="Calibri"/>
      </rPr>
      <t>16,08</t>
    </r>
  </si>
  <si>
    <r>
      <rPr>
        <sz val="11"/>
        <color theme="1"/>
        <rFont val="Calibri"/>
      </rPr>
      <t>3,66</t>
    </r>
  </si>
  <si>
    <r>
      <rPr>
        <sz val="11"/>
        <color theme="1"/>
        <rFont val="Calibri"/>
      </rPr>
      <t>16,64</t>
    </r>
  </si>
  <si>
    <r>
      <rPr>
        <sz val="11"/>
        <color theme="1"/>
        <rFont val="Calibri"/>
      </rPr>
      <t>3,484</t>
    </r>
  </si>
  <si>
    <r>
      <rPr>
        <sz val="11"/>
        <color theme="1"/>
        <rFont val="Calibri"/>
      </rPr>
      <t>2,522</t>
    </r>
  </si>
  <si>
    <r>
      <rPr>
        <sz val="11"/>
        <color theme="1"/>
        <rFont val="Calibri"/>
      </rPr>
      <t>14,614</t>
    </r>
  </si>
  <si>
    <r>
      <rPr>
        <sz val="11"/>
        <color theme="1"/>
        <rFont val="Calibri"/>
      </rPr>
      <t>8,664</t>
    </r>
  </si>
  <si>
    <r>
      <rPr>
        <sz val="11"/>
        <color theme="1"/>
        <rFont val="Calibri"/>
      </rPr>
      <t>83,048</t>
    </r>
  </si>
  <si>
    <r>
      <rPr>
        <sz val="11"/>
        <color theme="1"/>
        <rFont val="Calibri"/>
      </rPr>
      <t>3,8</t>
    </r>
  </si>
  <si>
    <r>
      <rPr>
        <sz val="11"/>
        <color theme="1"/>
        <rFont val="Calibri"/>
      </rPr>
      <t>3,2678</t>
    </r>
  </si>
  <si>
    <r>
      <rPr>
        <sz val="11"/>
        <color theme="1"/>
        <rFont val="Calibri"/>
      </rPr>
      <t>22,13</t>
    </r>
  </si>
  <si>
    <r>
      <rPr>
        <sz val="11"/>
        <color theme="1"/>
        <rFont val="Calibri"/>
      </rPr>
      <t>3,158</t>
    </r>
  </si>
  <si>
    <r>
      <rPr>
        <sz val="11"/>
        <color theme="1"/>
        <rFont val="Calibri"/>
      </rPr>
      <t>5,32</t>
    </r>
  </si>
  <si>
    <r>
      <rPr>
        <sz val="11"/>
        <color theme="1"/>
        <rFont val="Calibri"/>
      </rPr>
      <t>5,238</t>
    </r>
  </si>
  <si>
    <r>
      <rPr>
        <sz val="11"/>
        <color theme="1"/>
        <rFont val="Calibri"/>
      </rPr>
      <t>4,96</t>
    </r>
  </si>
  <si>
    <r>
      <rPr>
        <sz val="11"/>
        <color theme="1"/>
        <rFont val="Calibri"/>
      </rPr>
      <t>4,01</t>
    </r>
  </si>
  <si>
    <r>
      <rPr>
        <sz val="11"/>
        <color theme="1"/>
        <rFont val="Calibri"/>
      </rPr>
      <t>10,28</t>
    </r>
  </si>
  <si>
    <r>
      <rPr>
        <sz val="11"/>
        <color theme="1"/>
        <rFont val="Calibri"/>
      </rPr>
      <t>10,438</t>
    </r>
  </si>
  <si>
    <r>
      <rPr>
        <sz val="11"/>
        <color theme="1"/>
        <rFont val="Calibri"/>
      </rPr>
      <t>10,438</t>
    </r>
  </si>
  <si>
    <r>
      <rPr>
        <sz val="11"/>
        <color theme="1"/>
        <rFont val="Calibri"/>
      </rPr>
      <t>3,878</t>
    </r>
  </si>
  <si>
    <r>
      <rPr>
        <sz val="11"/>
        <color theme="1"/>
        <rFont val="Calibri"/>
      </rPr>
      <t>19,628</t>
    </r>
  </si>
  <si>
    <r>
      <rPr>
        <sz val="11"/>
        <color theme="1"/>
        <rFont val="Calibri"/>
      </rPr>
      <t>1,88</t>
    </r>
  </si>
  <si>
    <r>
      <rPr>
        <sz val="11"/>
        <color theme="1"/>
        <rFont val="Calibri"/>
      </rPr>
      <t>12,78</t>
    </r>
  </si>
  <si>
    <r>
      <rPr>
        <sz val="11"/>
        <color theme="1"/>
        <rFont val="Calibri"/>
      </rPr>
      <t>9,22</t>
    </r>
  </si>
  <si>
    <r>
      <rPr>
        <sz val="11"/>
        <color theme="1"/>
        <rFont val="Calibri"/>
      </rPr>
      <t>23,13</t>
    </r>
  </si>
  <si>
    <r>
      <rPr>
        <sz val="11"/>
        <color theme="1"/>
        <rFont val="Calibri"/>
      </rPr>
      <t>3,48</t>
    </r>
  </si>
  <si>
    <r>
      <rPr>
        <sz val="11"/>
        <color theme="1"/>
        <rFont val="Calibri"/>
      </rPr>
      <t>9,078</t>
    </r>
  </si>
  <si>
    <r>
      <rPr>
        <sz val="11"/>
        <color theme="1"/>
        <rFont val="Calibri"/>
      </rPr>
      <t>7,9228</t>
    </r>
  </si>
  <si>
    <r>
      <rPr>
        <sz val="11"/>
        <color theme="1"/>
        <rFont val="Calibri"/>
      </rPr>
      <t>7,9228</t>
    </r>
  </si>
  <si>
    <r>
      <rPr>
        <sz val="11"/>
        <color theme="1"/>
        <rFont val="Calibri"/>
      </rPr>
      <t>7,678</t>
    </r>
  </si>
  <si>
    <r>
      <rPr>
        <sz val="11"/>
        <color theme="1"/>
        <rFont val="Calibri"/>
      </rPr>
      <t>7,678</t>
    </r>
  </si>
  <si>
    <r>
      <rPr>
        <sz val="11"/>
        <color theme="1"/>
        <rFont val="Calibri"/>
      </rPr>
      <t>7,678</t>
    </r>
  </si>
  <si>
    <r>
      <rPr>
        <sz val="11"/>
        <color theme="1"/>
        <rFont val="Calibri"/>
      </rPr>
      <t>6,88</t>
    </r>
  </si>
  <si>
    <r>
      <rPr>
        <sz val="11"/>
        <color theme="1"/>
        <rFont val="Calibri"/>
      </rPr>
      <t>11,28</t>
    </r>
  </si>
  <si>
    <r>
      <rPr>
        <sz val="11"/>
        <color theme="1"/>
        <rFont val="Calibri"/>
      </rPr>
      <t>10,28</t>
    </r>
  </si>
  <si>
    <r>
      <rPr>
        <sz val="11"/>
        <color theme="1"/>
        <rFont val="Calibri"/>
      </rPr>
      <t>8,68</t>
    </r>
  </si>
  <si>
    <r>
      <rPr>
        <sz val="11"/>
        <color theme="1"/>
        <rFont val="Calibri"/>
      </rPr>
      <t>7,038</t>
    </r>
  </si>
  <si>
    <r>
      <rPr>
        <sz val="11"/>
        <color theme="1"/>
        <rFont val="Calibri"/>
      </rPr>
      <t>8,278</t>
    </r>
  </si>
  <si>
    <r>
      <rPr>
        <sz val="11"/>
        <color theme="1"/>
        <rFont val="Calibri"/>
      </rPr>
      <t>5,08</t>
    </r>
  </si>
  <si>
    <r>
      <rPr>
        <sz val="11"/>
        <color theme="1"/>
        <rFont val="Calibri"/>
      </rPr>
      <t>7,03</t>
    </r>
  </si>
  <si>
    <r>
      <rPr>
        <sz val="11"/>
        <color theme="1"/>
        <rFont val="Calibri"/>
      </rPr>
      <t>11,606</t>
    </r>
  </si>
  <si>
    <r>
      <rPr>
        <sz val="11"/>
        <color theme="1"/>
        <rFont val="Calibri"/>
      </rPr>
      <t>18,28</t>
    </r>
  </si>
  <si>
    <r>
      <rPr>
        <sz val="11"/>
        <color theme="1"/>
        <rFont val="Calibri"/>
      </rPr>
      <t>4,8172</t>
    </r>
  </si>
  <si>
    <r>
      <rPr>
        <sz val="11"/>
        <color theme="1"/>
        <rFont val="Calibri"/>
      </rPr>
      <t>14,26</t>
    </r>
  </si>
  <si>
    <r>
      <rPr>
        <sz val="11"/>
        <color theme="1"/>
        <rFont val="Calibri"/>
      </rPr>
      <t>14,26</t>
    </r>
  </si>
  <si>
    <r>
      <rPr>
        <sz val="11"/>
        <color theme="1"/>
        <rFont val="Calibri"/>
      </rPr>
      <t>5,4652</t>
    </r>
  </si>
  <si>
    <r>
      <rPr>
        <sz val="11"/>
        <color theme="1"/>
        <rFont val="Calibri"/>
      </rPr>
      <t>3,832</t>
    </r>
  </si>
  <si>
    <r>
      <rPr>
        <sz val="11"/>
        <color theme="1"/>
        <rFont val="Calibri"/>
      </rPr>
      <t>12,28</t>
    </r>
  </si>
  <si>
    <r>
      <rPr>
        <sz val="11"/>
        <color theme="1"/>
        <rFont val="Calibri"/>
      </rPr>
      <t>12,28</t>
    </r>
  </si>
  <si>
    <r>
      <rPr>
        <sz val="11"/>
        <color theme="1"/>
        <rFont val="Calibri"/>
      </rPr>
      <t>8,88</t>
    </r>
  </si>
  <si>
    <r>
      <rPr>
        <sz val="11"/>
        <color theme="1"/>
        <rFont val="Calibri"/>
      </rPr>
      <t>14,28</t>
    </r>
  </si>
  <si>
    <r>
      <rPr>
        <sz val="11"/>
        <color theme="1"/>
        <rFont val="Calibri"/>
      </rPr>
      <t>3,52</t>
    </r>
  </si>
  <si>
    <r>
      <rPr>
        <sz val="11"/>
        <color theme="1"/>
        <rFont val="Calibri"/>
      </rPr>
      <t>3,52</t>
    </r>
  </si>
  <si>
    <r>
      <rPr>
        <sz val="11"/>
        <color theme="1"/>
        <rFont val="Calibri"/>
      </rPr>
      <t>3,376</t>
    </r>
  </si>
  <si>
    <r>
      <rPr>
        <sz val="11"/>
        <color theme="1"/>
        <rFont val="Calibri"/>
      </rPr>
      <t>3,376</t>
    </r>
  </si>
  <si>
    <r>
      <rPr>
        <sz val="11"/>
        <color theme="1"/>
        <rFont val="Calibri"/>
      </rPr>
      <t>20,044</t>
    </r>
  </si>
  <si>
    <r>
      <rPr>
        <sz val="11"/>
        <color theme="1"/>
        <rFont val="Calibri"/>
      </rPr>
      <t>20,044</t>
    </r>
  </si>
  <si>
    <r>
      <rPr>
        <sz val="11"/>
        <color theme="1"/>
        <rFont val="Calibri"/>
      </rPr>
      <t>6,08</t>
    </r>
  </si>
  <si>
    <r>
      <rPr>
        <sz val="11"/>
        <color theme="1"/>
        <rFont val="Calibri"/>
      </rPr>
      <t>2,1404</t>
    </r>
  </si>
  <si>
    <r>
      <rPr>
        <sz val="11"/>
        <color theme="1"/>
        <rFont val="Calibri"/>
      </rPr>
      <t>11,8908</t>
    </r>
  </si>
  <si>
    <r>
      <rPr>
        <sz val="11"/>
        <color theme="1"/>
        <rFont val="Calibri"/>
      </rPr>
      <t>11,8908</t>
    </r>
  </si>
  <si>
    <r>
      <rPr>
        <sz val="11"/>
        <color theme="1"/>
        <rFont val="Calibri"/>
      </rPr>
      <t>11,8908</t>
    </r>
  </si>
  <si>
    <r>
      <rPr>
        <sz val="11"/>
        <color theme="1"/>
        <rFont val="Calibri"/>
      </rPr>
      <t>11,8908</t>
    </r>
  </si>
  <si>
    <r>
      <rPr>
        <sz val="11"/>
        <color theme="1"/>
        <rFont val="Calibri"/>
      </rPr>
      <t>11,3752</t>
    </r>
  </si>
  <si>
    <r>
      <rPr>
        <sz val="11"/>
        <color theme="1"/>
        <rFont val="Calibri"/>
      </rPr>
      <t>11,3752</t>
    </r>
  </si>
  <si>
    <r>
      <rPr>
        <sz val="11"/>
        <color theme="1"/>
        <rFont val="Calibri"/>
      </rPr>
      <t>16,938</t>
    </r>
  </si>
  <si>
    <r>
      <rPr>
        <sz val="11"/>
        <color theme="1"/>
        <rFont val="Calibri"/>
      </rPr>
      <t>8,98</t>
    </r>
  </si>
  <si>
    <r>
      <rPr>
        <sz val="11"/>
        <color theme="1"/>
        <rFont val="Calibri"/>
      </rPr>
      <t>7,48</t>
    </r>
  </si>
  <si>
    <r>
      <rPr>
        <sz val="11"/>
        <color theme="1"/>
        <rFont val="Calibri"/>
      </rPr>
      <t>4,78</t>
    </r>
  </si>
  <si>
    <r>
      <rPr>
        <sz val="11"/>
        <color theme="1"/>
        <rFont val="Calibri"/>
      </rPr>
      <t>10,696</t>
    </r>
  </si>
  <si>
    <r>
      <rPr>
        <sz val="11"/>
        <color theme="1"/>
        <rFont val="Calibri"/>
      </rPr>
      <t>8,644</t>
    </r>
  </si>
  <si>
    <r>
      <rPr>
        <sz val="11"/>
        <color theme="1"/>
        <rFont val="Calibri"/>
      </rPr>
      <t>3,4836</t>
    </r>
  </si>
  <si>
    <r>
      <rPr>
        <sz val="11"/>
        <color theme="1"/>
        <rFont val="Calibri"/>
      </rPr>
      <t>10,48</t>
    </r>
  </si>
  <si>
    <r>
      <rPr>
        <sz val="11"/>
        <color theme="1"/>
        <rFont val="Calibri"/>
      </rPr>
      <t>7,6512</t>
    </r>
  </si>
  <si>
    <r>
      <rPr>
        <sz val="11"/>
        <color theme="1"/>
        <rFont val="Calibri"/>
      </rPr>
      <t>7,608</t>
    </r>
  </si>
  <si>
    <r>
      <rPr>
        <sz val="11"/>
        <color theme="1"/>
        <rFont val="Calibri"/>
      </rPr>
      <t>7,1684</t>
    </r>
  </si>
  <si>
    <r>
      <rPr>
        <sz val="11"/>
        <color theme="1"/>
        <rFont val="Calibri"/>
      </rPr>
      <t>7,1684</t>
    </r>
  </si>
  <si>
    <r>
      <rPr>
        <sz val="11"/>
        <color theme="1"/>
        <rFont val="Calibri"/>
      </rPr>
      <t>4,214</t>
    </r>
  </si>
  <si>
    <r>
      <rPr>
        <sz val="11"/>
        <color theme="1"/>
        <rFont val="Calibri"/>
      </rPr>
      <t>6,98</t>
    </r>
  </si>
  <si>
    <r>
      <rPr>
        <sz val="11"/>
        <color theme="1"/>
        <rFont val="Calibri"/>
      </rPr>
      <t>16,946</t>
    </r>
  </si>
  <si>
    <r>
      <rPr>
        <sz val="11"/>
        <color theme="1"/>
        <rFont val="Calibri"/>
      </rPr>
      <t>17,29</t>
    </r>
  </si>
  <si>
    <r>
      <rPr>
        <sz val="11"/>
        <color theme="1"/>
        <rFont val="Calibri"/>
      </rPr>
      <t>16,946</t>
    </r>
  </si>
  <si>
    <r>
      <rPr>
        <sz val="11"/>
        <color theme="1"/>
        <rFont val="Calibri"/>
      </rPr>
      <t>17,29</t>
    </r>
  </si>
  <si>
    <r>
      <rPr>
        <sz val="11"/>
        <color theme="1"/>
        <rFont val="Calibri"/>
      </rPr>
      <t>33,88</t>
    </r>
  </si>
  <si>
    <r>
      <rPr>
        <sz val="11"/>
        <color theme="1"/>
        <rFont val="Calibri"/>
      </rPr>
      <t>23,88</t>
    </r>
  </si>
  <si>
    <r>
      <rPr>
        <sz val="11"/>
        <color theme="1"/>
        <rFont val="Calibri"/>
      </rPr>
      <t>21,88</t>
    </r>
  </si>
  <si>
    <r>
      <rPr>
        <sz val="11"/>
        <color theme="1"/>
        <rFont val="Calibri"/>
      </rPr>
      <t>15,88</t>
    </r>
  </si>
  <si>
    <r>
      <rPr>
        <sz val="11"/>
        <color theme="1"/>
        <rFont val="Calibri"/>
      </rPr>
      <t>11,08</t>
    </r>
  </si>
  <si>
    <r>
      <rPr>
        <sz val="11"/>
        <color theme="1"/>
        <rFont val="Calibri"/>
      </rPr>
      <t>18,604</t>
    </r>
  </si>
  <si>
    <r>
      <rPr>
        <sz val="11"/>
        <color theme="1"/>
        <rFont val="Calibri"/>
      </rPr>
      <t>18,604</t>
    </r>
  </si>
  <si>
    <r>
      <rPr>
        <sz val="11"/>
        <color theme="1"/>
        <rFont val="Calibri"/>
      </rPr>
      <t>102,08</t>
    </r>
  </si>
  <si>
    <r>
      <rPr>
        <sz val="11"/>
        <color theme="1"/>
        <rFont val="Calibri"/>
      </rPr>
      <t>4,312</t>
    </r>
  </si>
  <si>
    <r>
      <rPr>
        <sz val="11"/>
        <color theme="1"/>
        <rFont val="Calibri"/>
      </rPr>
      <t>0,68</t>
    </r>
  </si>
  <si>
    <r>
      <rPr>
        <sz val="11"/>
        <color theme="1"/>
        <rFont val="Calibri"/>
      </rPr>
      <t>13,732</t>
    </r>
  </si>
  <si>
    <r>
      <rPr>
        <sz val="11"/>
        <color theme="1"/>
        <rFont val="Calibri"/>
      </rPr>
      <t>18,37</t>
    </r>
  </si>
  <si>
    <r>
      <rPr>
        <sz val="11"/>
        <color theme="1"/>
        <rFont val="Calibri"/>
      </rPr>
      <t>4,55</t>
    </r>
  </si>
  <si>
    <r>
      <rPr>
        <sz val="11"/>
        <color theme="1"/>
        <rFont val="Calibri"/>
      </rPr>
      <t>14,678</t>
    </r>
  </si>
  <si>
    <r>
      <rPr>
        <sz val="11"/>
        <color theme="1"/>
        <rFont val="Calibri"/>
      </rPr>
      <t>8,68</t>
    </r>
  </si>
  <si>
    <r>
      <rPr>
        <sz val="11"/>
        <color theme="1"/>
        <rFont val="Calibri"/>
      </rPr>
      <t>8,92</t>
    </r>
  </si>
  <si>
    <r>
      <rPr>
        <sz val="11"/>
        <color theme="1"/>
        <rFont val="Calibri"/>
      </rPr>
      <t>11,72</t>
    </r>
  </si>
  <si>
    <r>
      <rPr>
        <sz val="11"/>
        <color theme="1"/>
        <rFont val="Calibri"/>
      </rPr>
      <t>15,964</t>
    </r>
  </si>
  <si>
    <r>
      <rPr>
        <sz val="11"/>
        <color theme="1"/>
        <rFont val="Calibri"/>
      </rPr>
      <t>15,8476</t>
    </r>
  </si>
  <si>
    <r>
      <rPr>
        <sz val="11"/>
        <color theme="1"/>
        <rFont val="Calibri"/>
      </rPr>
      <t>14,7724</t>
    </r>
  </si>
  <si>
    <r>
      <rPr>
        <sz val="11"/>
        <color theme="1"/>
        <rFont val="Calibri"/>
      </rPr>
      <t>10,33</t>
    </r>
  </si>
  <si>
    <r>
      <rPr>
        <sz val="11"/>
        <color theme="1"/>
        <rFont val="Calibri"/>
      </rPr>
      <t>8,93</t>
    </r>
  </si>
  <si>
    <r>
      <rPr>
        <sz val="11"/>
        <color theme="1"/>
        <rFont val="Calibri"/>
      </rPr>
      <t>3,878</t>
    </r>
  </si>
  <si>
    <r>
      <rPr>
        <sz val="11"/>
        <color theme="1"/>
        <rFont val="Calibri"/>
      </rPr>
      <t>10,378</t>
    </r>
  </si>
  <si>
    <r>
      <rPr>
        <sz val="11"/>
        <color theme="1"/>
        <rFont val="Calibri"/>
      </rPr>
      <t>12,754</t>
    </r>
  </si>
  <si>
    <r>
      <rPr>
        <sz val="11"/>
        <color theme="1"/>
        <rFont val="Calibri"/>
      </rPr>
      <t>2,438</t>
    </r>
  </si>
  <si>
    <r>
      <rPr>
        <sz val="11"/>
        <color theme="1"/>
        <rFont val="Calibri"/>
      </rPr>
      <t>6,0804</t>
    </r>
  </si>
  <si>
    <r>
      <rPr>
        <sz val="11"/>
        <color theme="1"/>
        <rFont val="Calibri"/>
      </rPr>
      <t>4,36</t>
    </r>
  </si>
  <si>
    <r>
      <rPr>
        <sz val="11"/>
        <color theme="1"/>
        <rFont val="Calibri"/>
      </rPr>
      <t>10,506</t>
    </r>
  </si>
  <si>
    <r>
      <rPr>
        <sz val="11"/>
        <color theme="1"/>
        <rFont val="Calibri"/>
      </rPr>
      <t>2,828</t>
    </r>
  </si>
  <si>
    <r>
      <rPr>
        <sz val="11"/>
        <color theme="1"/>
        <rFont val="Calibri"/>
      </rPr>
      <t>2,8</t>
    </r>
  </si>
  <si>
    <r>
      <rPr>
        <sz val="11"/>
        <color theme="1"/>
        <rFont val="Calibri"/>
      </rPr>
      <t>9,9136</t>
    </r>
  </si>
  <si>
    <r>
      <rPr>
        <sz val="11"/>
        <color theme="1"/>
        <rFont val="Calibri"/>
      </rPr>
      <t>9,9136</t>
    </r>
  </si>
  <si>
    <r>
      <rPr>
        <sz val="11"/>
        <color theme="1"/>
        <rFont val="Calibri"/>
      </rPr>
      <t>6,004</t>
    </r>
  </si>
  <si>
    <r>
      <rPr>
        <sz val="11"/>
        <color theme="1"/>
        <rFont val="Calibri"/>
      </rPr>
      <t>9,72</t>
    </r>
  </si>
  <si>
    <r>
      <rPr>
        <sz val="11"/>
        <color theme="1"/>
        <rFont val="Calibri"/>
      </rPr>
      <t>9,427</t>
    </r>
  </si>
  <si>
    <r>
      <rPr>
        <sz val="11"/>
        <color theme="1"/>
        <rFont val="Calibri"/>
      </rPr>
      <t>15,08</t>
    </r>
  </si>
  <si>
    <t>A9,A10,A15,A20,C4,C6,C12,D1,D2,D3,D4,D5,D6,D7,D8,D9,D10,D11,D12,D13,D14,D15,D17,D18,D19,D20,E1,E2,E3,E4,E5,E6,E7,E8,E9,E10,E11,E12,E14,E15,E16</t>
  </si>
  <si>
    <r>
      <rPr>
        <sz val="11"/>
        <color theme="1"/>
        <rFont val="Calibri"/>
      </rPr>
      <t>15,08</t>
    </r>
  </si>
  <si>
    <r>
      <rPr>
        <sz val="11"/>
        <color theme="1"/>
        <rFont val="Calibri"/>
      </rPr>
      <t>13,68</t>
    </r>
  </si>
  <si>
    <r>
      <rPr>
        <sz val="11"/>
        <color theme="1"/>
        <rFont val="Calibri"/>
      </rPr>
      <t>16,28</t>
    </r>
  </si>
  <si>
    <r>
      <rPr>
        <sz val="11"/>
        <color theme="1"/>
        <rFont val="Calibri"/>
      </rPr>
      <t>5,08</t>
    </r>
  </si>
  <si>
    <r>
      <rPr>
        <sz val="11"/>
        <color theme="1"/>
        <rFont val="Calibri"/>
      </rPr>
      <t>6,2</t>
    </r>
  </si>
  <si>
    <r>
      <rPr>
        <sz val="11"/>
        <color theme="1"/>
        <rFont val="Calibri"/>
      </rPr>
      <t>22,96</t>
    </r>
  </si>
  <si>
    <r>
      <rPr>
        <sz val="11"/>
        <color theme="1"/>
        <rFont val="Calibri"/>
      </rPr>
      <t>7,08</t>
    </r>
  </si>
  <si>
    <r>
      <rPr>
        <sz val="11"/>
        <color theme="1"/>
        <rFont val="Calibri"/>
      </rPr>
      <t>8,96</t>
    </r>
  </si>
  <si>
    <r>
      <rPr>
        <sz val="11"/>
        <color theme="1"/>
        <rFont val="Calibri"/>
      </rPr>
      <t>13,508</t>
    </r>
  </si>
  <si>
    <r>
      <rPr>
        <sz val="11"/>
        <color theme="1"/>
        <rFont val="Calibri"/>
      </rPr>
      <t>18,134</t>
    </r>
  </si>
  <si>
    <r>
      <rPr>
        <sz val="11"/>
        <color theme="1"/>
        <rFont val="Calibri"/>
      </rPr>
      <t>11,368</t>
    </r>
  </si>
  <si>
    <r>
      <rPr>
        <sz val="11"/>
        <color theme="1"/>
        <rFont val="Calibri"/>
      </rPr>
      <t>10,63</t>
    </r>
  </si>
  <si>
    <r>
      <rPr>
        <sz val="11"/>
        <color theme="1"/>
        <rFont val="Calibri"/>
      </rPr>
      <t>22,48</t>
    </r>
  </si>
  <si>
    <r>
      <rPr>
        <sz val="11"/>
        <color theme="1"/>
        <rFont val="Calibri"/>
      </rPr>
      <t>9,9952</t>
    </r>
  </si>
  <si>
    <r>
      <rPr>
        <sz val="11"/>
        <color theme="1"/>
        <rFont val="Calibri"/>
      </rPr>
      <t>11,71</t>
    </r>
  </si>
  <si>
    <r>
      <rPr>
        <sz val="11"/>
        <color theme="1"/>
        <rFont val="Calibri"/>
      </rPr>
      <t>13,38</t>
    </r>
  </si>
  <si>
    <r>
      <rPr>
        <sz val="11"/>
        <color theme="1"/>
        <rFont val="Calibri"/>
      </rPr>
      <t>14,948</t>
    </r>
  </si>
  <si>
    <r>
      <rPr>
        <sz val="11"/>
        <color theme="1"/>
        <rFont val="Calibri"/>
      </rPr>
      <t>4,456</t>
    </r>
  </si>
  <si>
    <r>
      <rPr>
        <sz val="11"/>
        <color theme="1"/>
        <rFont val="Calibri"/>
      </rPr>
      <t>16,03</t>
    </r>
  </si>
  <si>
    <r>
      <rPr>
        <sz val="11"/>
        <color theme="1"/>
        <rFont val="Calibri"/>
      </rPr>
      <t>8,056</t>
    </r>
  </si>
  <si>
    <r>
      <rPr>
        <sz val="11"/>
        <color theme="1"/>
        <rFont val="Calibri"/>
      </rPr>
      <t>7,96</t>
    </r>
  </si>
  <si>
    <r>
      <rPr>
        <sz val="11"/>
        <color theme="1"/>
        <rFont val="Calibri"/>
      </rPr>
      <t>10,44</t>
    </r>
  </si>
  <si>
    <r>
      <rPr>
        <sz val="11"/>
        <color theme="1"/>
        <rFont val="Calibri"/>
      </rPr>
      <t>10,44</t>
    </r>
  </si>
  <si>
    <r>
      <rPr>
        <sz val="11"/>
        <color theme="1"/>
        <rFont val="Calibri"/>
      </rPr>
      <t>7,56</t>
    </r>
  </si>
  <si>
    <r>
      <rPr>
        <sz val="11"/>
        <color theme="1"/>
        <rFont val="Calibri"/>
      </rPr>
      <t>3,4</t>
    </r>
  </si>
  <si>
    <r>
      <rPr>
        <sz val="11"/>
        <color theme="1"/>
        <rFont val="Calibri"/>
      </rPr>
      <t>17,5</t>
    </r>
  </si>
  <si>
    <r>
      <rPr>
        <sz val="11"/>
        <color theme="1"/>
        <rFont val="Calibri"/>
      </rPr>
      <t>21,48</t>
    </r>
  </si>
  <si>
    <r>
      <rPr>
        <sz val="11"/>
        <color theme="1"/>
        <rFont val="Calibri"/>
      </rPr>
      <t>19,396</t>
    </r>
  </si>
  <si>
    <r>
      <rPr>
        <sz val="11"/>
        <color theme="1"/>
        <rFont val="Calibri"/>
      </rPr>
      <t>19,396</t>
    </r>
  </si>
  <si>
    <r>
      <rPr>
        <sz val="11"/>
        <color theme="1"/>
        <rFont val="Calibri"/>
      </rPr>
      <t>1,639</t>
    </r>
  </si>
  <si>
    <r>
      <rPr>
        <sz val="11"/>
        <color theme="1"/>
        <rFont val="Calibri"/>
      </rPr>
      <t>3,102</t>
    </r>
  </si>
  <si>
    <r>
      <rPr>
        <sz val="11"/>
        <color theme="1"/>
        <rFont val="Calibri"/>
      </rPr>
      <t>1,63</t>
    </r>
  </si>
  <si>
    <r>
      <rPr>
        <sz val="11"/>
        <color theme="1"/>
        <rFont val="Calibri"/>
      </rPr>
      <t>11,044</t>
    </r>
  </si>
  <si>
    <r>
      <rPr>
        <sz val="11"/>
        <color theme="1"/>
        <rFont val="Calibri"/>
      </rPr>
      <t>10,444</t>
    </r>
  </si>
  <si>
    <r>
      <rPr>
        <sz val="11"/>
        <color theme="1"/>
        <rFont val="Calibri"/>
      </rPr>
      <t>9,044</t>
    </r>
  </si>
  <si>
    <r>
      <rPr>
        <sz val="11"/>
        <color theme="1"/>
        <rFont val="Calibri"/>
      </rPr>
      <t>8,444</t>
    </r>
  </si>
  <si>
    <r>
      <rPr>
        <sz val="11"/>
        <color theme="1"/>
        <rFont val="Calibri"/>
      </rPr>
      <t>8,444</t>
    </r>
  </si>
  <si>
    <r>
      <rPr>
        <sz val="11"/>
        <color theme="1"/>
        <rFont val="Calibri"/>
      </rPr>
      <t>11,644</t>
    </r>
  </si>
  <si>
    <r>
      <rPr>
        <sz val="11"/>
        <color theme="1"/>
        <rFont val="Calibri"/>
      </rPr>
      <t>21,7</t>
    </r>
  </si>
  <si>
    <r>
      <rPr>
        <sz val="11"/>
        <color theme="1"/>
        <rFont val="Calibri"/>
      </rPr>
      <t>11,844</t>
    </r>
  </si>
  <si>
    <r>
      <rPr>
        <sz val="11"/>
        <color theme="1"/>
        <rFont val="Calibri"/>
      </rPr>
      <t>11,444</t>
    </r>
  </si>
  <si>
    <r>
      <rPr>
        <sz val="11"/>
        <color theme="1"/>
        <rFont val="Calibri"/>
      </rPr>
      <t>10,644</t>
    </r>
  </si>
  <si>
    <r>
      <rPr>
        <sz val="11"/>
        <color theme="1"/>
        <rFont val="Calibri"/>
      </rPr>
      <t>9,844</t>
    </r>
  </si>
  <si>
    <r>
      <rPr>
        <sz val="11"/>
        <color theme="1"/>
        <rFont val="Calibri"/>
      </rPr>
      <t>12,844</t>
    </r>
  </si>
  <si>
    <r>
      <rPr>
        <sz val="11"/>
        <color theme="1"/>
        <rFont val="Calibri"/>
      </rPr>
      <t>12,644</t>
    </r>
  </si>
  <si>
    <r>
      <rPr>
        <sz val="11"/>
        <color theme="1"/>
        <rFont val="Calibri"/>
      </rPr>
      <t>11,844</t>
    </r>
  </si>
  <si>
    <r>
      <rPr>
        <sz val="11"/>
        <color theme="1"/>
        <rFont val="Calibri"/>
      </rPr>
      <t>10,644</t>
    </r>
  </si>
  <si>
    <r>
      <rPr>
        <sz val="11"/>
        <color theme="1"/>
        <rFont val="Calibri"/>
      </rPr>
      <t>18,004</t>
    </r>
  </si>
  <si>
    <r>
      <rPr>
        <sz val="11"/>
        <color theme="1"/>
        <rFont val="Calibri"/>
      </rPr>
      <t>16,884</t>
    </r>
  </si>
  <si>
    <r>
      <rPr>
        <sz val="11"/>
        <color theme="1"/>
        <rFont val="Calibri"/>
      </rPr>
      <t>15,604</t>
    </r>
  </si>
  <si>
    <r>
      <rPr>
        <sz val="11"/>
        <color theme="1"/>
        <rFont val="Calibri"/>
      </rPr>
      <t>22,324</t>
    </r>
  </si>
  <si>
    <r>
      <rPr>
        <sz val="11"/>
        <color theme="1"/>
        <rFont val="Calibri"/>
      </rPr>
      <t>19,124</t>
    </r>
  </si>
  <si>
    <r>
      <rPr>
        <sz val="11"/>
        <color theme="1"/>
        <rFont val="Calibri"/>
      </rPr>
      <t>13,444</t>
    </r>
  </si>
  <si>
    <r>
      <rPr>
        <sz val="11"/>
        <color theme="1"/>
        <rFont val="Calibri"/>
      </rPr>
      <t>12,444</t>
    </r>
  </si>
  <si>
    <r>
      <rPr>
        <sz val="11"/>
        <color theme="1"/>
        <rFont val="Calibri"/>
      </rPr>
      <t>12,244</t>
    </r>
  </si>
  <si>
    <r>
      <rPr>
        <sz val="11"/>
        <color theme="1"/>
        <rFont val="Calibri"/>
      </rPr>
      <t>10,844</t>
    </r>
  </si>
  <si>
    <r>
      <rPr>
        <sz val="11"/>
        <color theme="1"/>
        <rFont val="Calibri"/>
      </rPr>
      <t>3,78</t>
    </r>
  </si>
  <si>
    <r>
      <rPr>
        <sz val="11"/>
        <color theme="1"/>
        <rFont val="Calibri"/>
      </rPr>
      <t>4,48</t>
    </r>
  </si>
  <si>
    <r>
      <rPr>
        <sz val="11"/>
        <color theme="1"/>
        <rFont val="Calibri"/>
      </rPr>
      <t>4,9936</t>
    </r>
  </si>
  <si>
    <r>
      <rPr>
        <sz val="11"/>
        <color theme="1"/>
        <rFont val="Calibri"/>
      </rPr>
      <t>4,93</t>
    </r>
  </si>
  <si>
    <r>
      <rPr>
        <sz val="11"/>
        <color theme="1"/>
        <rFont val="Calibri"/>
      </rPr>
      <t>8,128</t>
    </r>
  </si>
  <si>
    <r>
      <rPr>
        <sz val="11"/>
        <color theme="1"/>
        <rFont val="Calibri"/>
      </rPr>
      <t>#VALUE!</t>
    </r>
  </si>
  <si>
    <r>
      <rPr>
        <sz val="11"/>
        <color theme="1"/>
        <rFont val="Calibri"/>
      </rPr>
      <t>15,28</t>
    </r>
  </si>
  <si>
    <r>
      <rPr>
        <sz val="11"/>
        <color theme="1"/>
        <rFont val="Calibri"/>
      </rPr>
      <t>3,22</t>
    </r>
  </si>
  <si>
    <r>
      <rPr>
        <sz val="11"/>
        <color theme="1"/>
        <rFont val="Calibri"/>
      </rPr>
      <t>#VALUE!</t>
    </r>
  </si>
  <si>
    <r>
      <rPr>
        <sz val="11"/>
        <color theme="1"/>
        <rFont val="Calibri"/>
      </rPr>
      <t>12,844</t>
    </r>
  </si>
  <si>
    <r>
      <rPr>
        <sz val="11"/>
        <color theme="1"/>
        <rFont val="Calibri"/>
      </rPr>
      <t>11,844</t>
    </r>
  </si>
  <si>
    <r>
      <rPr>
        <sz val="11"/>
        <color theme="1"/>
        <rFont val="Calibri"/>
      </rPr>
      <t>5,44</t>
    </r>
  </si>
  <si>
    <r>
      <rPr>
        <sz val="11"/>
        <color theme="1"/>
        <rFont val="Calibri"/>
      </rPr>
      <t>15,952</t>
    </r>
  </si>
  <si>
    <r>
      <rPr>
        <sz val="11"/>
        <color theme="1"/>
        <rFont val="Calibri"/>
      </rPr>
      <t>21,72</t>
    </r>
  </si>
  <si>
    <r>
      <rPr>
        <sz val="11"/>
        <color theme="1"/>
        <rFont val="Calibri"/>
      </rPr>
      <t>5,898</t>
    </r>
  </si>
  <si>
    <r>
      <rPr>
        <sz val="11"/>
        <color theme="1"/>
        <rFont val="Calibri"/>
      </rPr>
      <t>12,72</t>
    </r>
  </si>
  <si>
    <r>
      <rPr>
        <sz val="11"/>
        <color theme="1"/>
        <rFont val="Calibri"/>
      </rPr>
      <t>3,48</t>
    </r>
  </si>
  <si>
    <r>
      <rPr>
        <sz val="11"/>
        <color theme="1"/>
        <rFont val="Calibri"/>
      </rPr>
      <t>4,3</t>
    </r>
  </si>
  <si>
    <r>
      <rPr>
        <sz val="11"/>
        <color theme="1"/>
        <rFont val="Calibri"/>
      </rPr>
      <t>4,078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</si>
  <si>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</si>
  <si>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15,4</t>
    </r>
  </si>
  <si>
    <r>
      <rPr>
        <sz val="11"/>
        <color theme="1"/>
        <rFont val="Calibri"/>
      </rPr>
      <t>17,92</t>
    </r>
  </si>
  <si>
    <r>
      <rPr>
        <sz val="11"/>
        <color theme="1"/>
        <rFont val="Calibri"/>
      </rPr>
      <t>3,24</t>
    </r>
  </si>
  <si>
    <r>
      <rPr>
        <sz val="11"/>
        <color theme="1"/>
        <rFont val="Calibri"/>
      </rPr>
      <t>19,396</t>
    </r>
  </si>
  <si>
    <r>
      <rPr>
        <sz val="11"/>
        <color theme="1"/>
        <rFont val="Calibri"/>
      </rPr>
      <t>19,396</t>
    </r>
  </si>
  <si>
    <r>
      <rPr>
        <sz val="11"/>
        <color theme="1"/>
        <rFont val="Calibri"/>
      </rPr>
      <t>0,029792</t>
    </r>
  </si>
  <si>
    <r>
      <rPr>
        <sz val="11"/>
        <color theme="1"/>
        <rFont val="Calibri"/>
      </rPr>
      <t>7,125</t>
    </r>
  </si>
  <si>
    <r>
      <rPr>
        <sz val="11"/>
        <color theme="1"/>
        <rFont val="Calibri"/>
      </rPr>
      <t>13,8104</t>
    </r>
  </si>
  <si>
    <r>
      <rPr>
        <sz val="11"/>
        <color theme="1"/>
        <rFont val="Calibri"/>
      </rPr>
      <t>15,106</t>
    </r>
  </si>
  <si>
    <r>
      <rPr>
        <sz val="11"/>
        <color theme="1"/>
        <rFont val="Calibri"/>
      </rPr>
      <t>2,3532</t>
    </r>
  </si>
  <si>
    <r>
      <rPr>
        <sz val="11"/>
        <color theme="1"/>
        <rFont val="Calibri"/>
      </rPr>
      <t>0,773775</t>
    </r>
  </si>
  <si>
    <r>
      <rPr>
        <sz val="11"/>
        <color theme="1"/>
        <rFont val="Calibri"/>
      </rPr>
      <t>1,364</t>
    </r>
  </si>
  <si>
    <r>
      <rPr>
        <sz val="11"/>
        <color theme="1"/>
        <rFont val="Calibri"/>
      </rPr>
      <t>4,592</t>
    </r>
  </si>
  <si>
    <r>
      <rPr>
        <sz val="11"/>
        <color theme="1"/>
        <rFont val="Calibri"/>
      </rPr>
      <t>11,896</t>
    </r>
  </si>
  <si>
    <r>
      <rPr>
        <sz val="11"/>
        <color theme="1"/>
        <rFont val="Calibri"/>
      </rPr>
      <t>11,08</t>
    </r>
  </si>
  <si>
    <r>
      <rPr>
        <sz val="11"/>
        <color theme="1"/>
        <rFont val="Calibri"/>
      </rPr>
      <t>13,33</t>
    </r>
  </si>
  <si>
    <r>
      <rPr>
        <sz val="11"/>
        <color theme="1"/>
        <rFont val="Calibri"/>
      </rPr>
      <t>16,858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</si>
  <si>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</si>
  <si>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6,418</t>
    </r>
  </si>
  <si>
    <r>
      <rPr>
        <sz val="11"/>
        <color theme="1"/>
        <rFont val="Calibri"/>
      </rPr>
      <t>12,28</t>
    </r>
  </si>
  <si>
    <r>
      <rPr>
        <sz val="11"/>
        <color theme="1"/>
        <rFont val="Calibri"/>
      </rPr>
      <t>18,786</t>
    </r>
  </si>
  <si>
    <r>
      <rPr>
        <sz val="11"/>
        <color theme="1"/>
        <rFont val="Calibri"/>
      </rPr>
      <t>18,786</t>
    </r>
  </si>
  <si>
    <r>
      <rPr>
        <sz val="11"/>
        <color theme="1"/>
        <rFont val="Calibri"/>
      </rPr>
      <t>15,22</t>
    </r>
  </si>
  <si>
    <t/>
  </si>
  <si>
    <r>
      <rPr>
        <sz val="11"/>
        <color theme="1"/>
        <rFont val="Calibri"/>
      </rPr>
      <t>17,3192</t>
    </r>
  </si>
  <si>
    <t>A5,B1,B2,B5,B8,B9,B10,B11,B14,B15,C9,D16</t>
  </si>
  <si>
    <r>
      <rPr>
        <sz val="11"/>
        <color theme="1"/>
        <rFont val="Calibri"/>
      </rPr>
      <t>8,416</t>
    </r>
  </si>
  <si>
    <r>
      <rPr>
        <sz val="11"/>
        <color theme="1"/>
        <rFont val="Calibri"/>
      </rPr>
      <t>8,38</t>
    </r>
  </si>
  <si>
    <r>
      <rPr>
        <sz val="11"/>
        <color theme="1"/>
        <rFont val="Calibri"/>
      </rPr>
      <t>12,878</t>
    </r>
  </si>
  <si>
    <r>
      <rPr>
        <sz val="11"/>
        <color theme="1"/>
        <rFont val="Calibri"/>
      </rPr>
      <t>11,444</t>
    </r>
  </si>
  <si>
    <r>
      <rPr>
        <sz val="11"/>
        <color theme="1"/>
        <rFont val="Calibri"/>
      </rPr>
      <t>11,524</t>
    </r>
  </si>
  <si>
    <r>
      <rPr>
        <sz val="11"/>
        <color theme="1"/>
        <rFont val="Calibri"/>
      </rPr>
      <t>11,664</t>
    </r>
  </si>
  <si>
    <r>
      <rPr>
        <sz val="11"/>
        <color theme="1"/>
        <rFont val="Calibri"/>
      </rPr>
      <t>11,664</t>
    </r>
  </si>
  <si>
    <r>
      <rPr>
        <sz val="11"/>
        <color theme="1"/>
        <rFont val="Calibri"/>
      </rPr>
      <t>7,822</t>
    </r>
  </si>
  <si>
    <r>
      <rPr>
        <sz val="11"/>
        <color theme="1"/>
        <rFont val="Calibri"/>
      </rPr>
      <t>6,68</t>
    </r>
  </si>
  <si>
    <r>
      <rPr>
        <sz val="11"/>
        <color theme="1"/>
        <rFont val="Calibri"/>
      </rPr>
      <t>5,23</t>
    </r>
  </si>
  <si>
    <r>
      <rPr>
        <sz val="11"/>
        <color theme="1"/>
        <rFont val="Calibri"/>
      </rPr>
      <t>5,23</t>
    </r>
  </si>
  <si>
    <r>
      <rPr>
        <sz val="11"/>
        <color theme="1"/>
        <rFont val="Calibri"/>
      </rPr>
      <t>5,02</t>
    </r>
  </si>
  <si>
    <r>
      <rPr>
        <sz val="11"/>
        <color theme="1"/>
        <rFont val="Calibri"/>
      </rPr>
      <t>6,56</t>
    </r>
  </si>
  <si>
    <r>
      <rPr>
        <sz val="11"/>
        <color theme="1"/>
        <rFont val="Calibri"/>
      </rPr>
      <t>7,93</t>
    </r>
  </si>
  <si>
    <r>
      <rPr>
        <sz val="11"/>
        <color theme="1"/>
        <rFont val="Calibri"/>
      </rPr>
      <t>17,556</t>
    </r>
  </si>
  <si>
    <r>
      <rPr>
        <sz val="11"/>
        <color theme="1"/>
        <rFont val="Calibri"/>
      </rPr>
      <t>17,5</t>
    </r>
  </si>
  <si>
    <r>
      <rPr>
        <sz val="11"/>
        <color theme="1"/>
        <rFont val="Calibri"/>
      </rPr>
      <t>10,166</t>
    </r>
  </si>
  <si>
    <r>
      <rPr>
        <sz val="11"/>
        <color theme="1"/>
        <rFont val="Calibri"/>
      </rPr>
      <t>11,62</t>
    </r>
  </si>
  <si>
    <r>
      <rPr>
        <sz val="11"/>
        <color theme="1"/>
        <rFont val="Calibri"/>
      </rPr>
      <t>8,68</t>
    </r>
  </si>
  <si>
    <r>
      <rPr>
        <sz val="11"/>
        <color theme="1"/>
        <rFont val="Calibri"/>
      </rPr>
      <t>24,36</t>
    </r>
  </si>
  <si>
    <r>
      <rPr>
        <sz val="11"/>
        <color theme="1"/>
        <rFont val="Calibri"/>
      </rPr>
      <t>12,88</t>
    </r>
  </si>
  <si>
    <r>
      <rPr>
        <sz val="11"/>
        <color theme="1"/>
        <rFont val="Calibri"/>
      </rPr>
      <t>13,238</t>
    </r>
  </si>
  <si>
    <r>
      <rPr>
        <sz val="11"/>
        <color theme="1"/>
        <rFont val="Calibri"/>
      </rPr>
      <t>8,38</t>
    </r>
  </si>
  <si>
    <r>
      <rPr>
        <sz val="11"/>
        <color theme="1"/>
        <rFont val="Calibri"/>
      </rPr>
      <t>8,38</t>
    </r>
  </si>
  <si>
    <r>
      <rPr>
        <sz val="11"/>
        <color theme="1"/>
        <rFont val="Calibri"/>
      </rPr>
      <t>16,08</t>
    </r>
  </si>
  <si>
    <r>
      <rPr>
        <sz val="11"/>
        <color theme="1"/>
        <rFont val="Calibri"/>
      </rPr>
      <t>11,28</t>
    </r>
  </si>
  <si>
    <t>B19,B20</t>
  </si>
  <si>
    <r>
      <rPr>
        <sz val="11"/>
        <color theme="1"/>
        <rFont val="Calibri"/>
      </rPr>
      <t>12,78</t>
    </r>
  </si>
  <si>
    <r>
      <rPr>
        <sz val="11"/>
        <color theme="1"/>
        <rFont val="Calibri"/>
      </rPr>
      <t>14,18</t>
    </r>
  </si>
  <si>
    <r>
      <rPr>
        <sz val="11"/>
        <color theme="1"/>
        <rFont val="Calibri"/>
      </rPr>
      <t>3,2</t>
    </r>
  </si>
  <si>
    <r>
      <rPr>
        <sz val="11"/>
        <color theme="1"/>
        <rFont val="Calibri"/>
      </rPr>
      <t>8,96</t>
    </r>
  </si>
  <si>
    <r>
      <rPr>
        <sz val="11"/>
        <color theme="1"/>
        <rFont val="Calibri"/>
      </rPr>
      <t>8,38</t>
    </r>
  </si>
  <si>
    <r>
      <rPr>
        <sz val="11"/>
        <color theme="1"/>
        <rFont val="Calibri"/>
      </rPr>
      <t>8,38</t>
    </r>
  </si>
  <si>
    <r>
      <rPr>
        <sz val="11"/>
        <color theme="1"/>
        <rFont val="Calibri"/>
      </rPr>
      <t>6,85</t>
    </r>
  </si>
  <si>
    <r>
      <rPr>
        <sz val="11"/>
        <color theme="1"/>
        <rFont val="Calibri"/>
      </rPr>
      <t>3,48</t>
    </r>
  </si>
  <si>
    <r>
      <rPr>
        <sz val="11"/>
        <color theme="1"/>
        <rFont val="Calibri"/>
      </rPr>
      <t>16,16</t>
    </r>
  </si>
  <si>
    <r>
      <rPr>
        <sz val="11"/>
        <color theme="1"/>
        <rFont val="Calibri"/>
      </rPr>
      <t>2,8</t>
    </r>
  </si>
  <si>
    <r>
      <rPr>
        <sz val="11"/>
        <color theme="1"/>
        <rFont val="Calibri"/>
      </rPr>
      <t>20,096</t>
    </r>
  </si>
  <si>
    <r>
      <rPr>
        <sz val="11"/>
        <color theme="1"/>
        <rFont val="Calibri"/>
      </rPr>
      <t>4,092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</si>
  <si>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</si>
  <si>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9,28</t>
    </r>
  </si>
  <si>
    <r>
      <rPr>
        <sz val="11"/>
        <color theme="1"/>
        <rFont val="Calibri"/>
      </rPr>
      <t>1,49</t>
    </r>
  </si>
  <si>
    <r>
      <rPr>
        <sz val="11"/>
        <color theme="1"/>
        <rFont val="Calibri"/>
      </rPr>
      <t>11,038</t>
    </r>
  </si>
  <si>
    <r>
      <rPr>
        <sz val="11"/>
        <color theme="1"/>
        <rFont val="Calibri"/>
      </rPr>
      <t>8,04</t>
    </r>
  </si>
  <si>
    <r>
      <rPr>
        <sz val="11"/>
        <color theme="1"/>
        <rFont val="Calibri"/>
      </rPr>
      <t>12,7948</t>
    </r>
  </si>
  <si>
    <r>
      <rPr>
        <sz val="11"/>
        <color theme="1"/>
        <rFont val="Calibri"/>
      </rPr>
      <t>5,5324</t>
    </r>
  </si>
  <si>
    <r>
      <rPr>
        <sz val="11"/>
        <color theme="1"/>
        <rFont val="Calibri"/>
      </rPr>
      <t>3,2</t>
    </r>
  </si>
  <si>
    <r>
      <rPr>
        <sz val="11"/>
        <color theme="1"/>
        <rFont val="Calibri"/>
      </rPr>
      <t>13,44</t>
    </r>
  </si>
  <si>
    <r>
      <rPr>
        <sz val="11"/>
        <color theme="1"/>
        <rFont val="Calibri"/>
      </rPr>
      <t>16,6572</t>
    </r>
  </si>
  <si>
    <r>
      <rPr>
        <sz val="11"/>
        <color theme="1"/>
        <rFont val="Calibri"/>
      </rPr>
      <t>12,24</t>
    </r>
  </si>
  <si>
    <r>
      <rPr>
        <sz val="11"/>
        <color theme="1"/>
        <rFont val="Calibri"/>
      </rPr>
      <t>3,88</t>
    </r>
  </si>
  <si>
    <r>
      <rPr>
        <sz val="11"/>
        <color theme="1"/>
        <rFont val="Calibri"/>
      </rPr>
      <t>6,7032</t>
    </r>
  </si>
  <si>
    <r>
      <rPr>
        <sz val="11"/>
        <color theme="1"/>
        <rFont val="Calibri"/>
      </rPr>
      <t>0,79268</t>
    </r>
  </si>
  <si>
    <r>
      <rPr>
        <sz val="11"/>
        <color theme="1"/>
        <rFont val="Calibri"/>
      </rPr>
      <t>9,53</t>
    </r>
  </si>
  <si>
    <r>
      <rPr>
        <sz val="11"/>
        <color theme="1"/>
        <rFont val="Calibri"/>
      </rPr>
      <t>19,684</t>
    </r>
  </si>
  <si>
    <r>
      <rPr>
        <sz val="11"/>
        <color theme="1"/>
        <rFont val="Calibri"/>
      </rPr>
      <t>14,584</t>
    </r>
  </si>
  <si>
    <r>
      <rPr>
        <sz val="11"/>
        <color theme="1"/>
        <rFont val="Calibri"/>
      </rPr>
      <t>0,58</t>
    </r>
  </si>
  <si>
    <r>
      <rPr>
        <sz val="11"/>
        <color theme="1"/>
        <rFont val="Calibri"/>
      </rPr>
      <t>0,58</t>
    </r>
  </si>
  <si>
    <r>
      <rPr>
        <sz val="11"/>
        <color theme="1"/>
        <rFont val="Calibri"/>
      </rPr>
      <t>2,112</t>
    </r>
  </si>
  <si>
    <r>
      <rPr>
        <sz val="11"/>
        <color theme="1"/>
        <rFont val="Calibri"/>
      </rPr>
      <t>#VALUE!</t>
    </r>
  </si>
  <si>
    <r>
      <rPr>
        <sz val="11"/>
        <color theme="1"/>
        <rFont val="Calibri"/>
      </rPr>
      <t>#VALUE!</t>
    </r>
  </si>
  <si>
    <r>
      <rPr>
        <sz val="11"/>
        <color theme="1"/>
        <rFont val="Calibri"/>
      </rPr>
      <t>8,29</t>
    </r>
  </si>
  <si>
    <r>
      <rPr>
        <sz val="11"/>
        <color theme="1"/>
        <rFont val="Calibri"/>
      </rPr>
      <t>3,02</t>
    </r>
  </si>
  <si>
    <r>
      <rPr>
        <sz val="11"/>
        <color theme="1"/>
        <rFont val="Calibri"/>
      </rPr>
      <t>0,0134</t>
    </r>
  </si>
  <si>
    <r>
      <rPr>
        <sz val="11"/>
        <color theme="1"/>
        <rFont val="Calibri"/>
      </rPr>
      <t>#VALUE!</t>
    </r>
  </si>
  <si>
    <r>
      <rPr>
        <sz val="11"/>
        <color theme="1"/>
        <rFont val="Calibri"/>
      </rPr>
      <t>9,844</t>
    </r>
  </si>
  <si>
    <r>
      <rPr>
        <sz val="11"/>
        <color theme="1"/>
        <rFont val="Calibri"/>
      </rPr>
      <t>8,29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</si>
  <si>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</si>
  <si>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</si>
  <si>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23,08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</si>
  <si>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</si>
  <si>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</si>
  <si>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0,58</t>
    </r>
  </si>
  <si>
    <r>
      <rPr>
        <sz val="11"/>
        <color theme="1"/>
        <rFont val="Calibri"/>
      </rPr>
      <t>8,08</t>
    </r>
  </si>
  <si>
    <r>
      <rPr>
        <sz val="11"/>
        <color theme="1"/>
        <rFont val="Calibri"/>
      </rPr>
      <t>8,08</t>
    </r>
  </si>
  <si>
    <r>
      <rPr>
        <sz val="11"/>
        <color theme="1"/>
        <rFont val="Calibri"/>
      </rPr>
      <t>19,369</t>
    </r>
  </si>
  <si>
    <r>
      <rPr>
        <sz val="11"/>
        <color theme="1"/>
        <rFont val="Calibri"/>
      </rPr>
      <t>12,642</t>
    </r>
  </si>
  <si>
    <r>
      <rPr>
        <sz val="11"/>
        <color theme="1"/>
        <rFont val="Calibri"/>
      </rPr>
      <t>3,678</t>
    </r>
  </si>
  <si>
    <r>
      <rPr>
        <sz val="11"/>
        <color theme="1"/>
        <rFont val="Calibri"/>
      </rPr>
      <t>3,78</t>
    </r>
  </si>
  <si>
    <r>
      <rPr>
        <sz val="11"/>
        <color theme="1"/>
        <rFont val="Calibri"/>
      </rPr>
      <t>6,324</t>
    </r>
  </si>
  <si>
    <r>
      <rPr>
        <sz val="11"/>
        <color theme="1"/>
        <rFont val="Calibri"/>
      </rPr>
      <t>11,244</t>
    </r>
  </si>
  <si>
    <r>
      <rPr>
        <sz val="11"/>
        <color theme="1"/>
        <rFont val="Calibri"/>
      </rPr>
      <t>2,224</t>
    </r>
  </si>
  <si>
    <r>
      <rPr>
        <sz val="11"/>
        <color theme="1"/>
        <rFont val="Calibri"/>
      </rPr>
      <t>1,078</t>
    </r>
  </si>
  <si>
    <r>
      <rPr>
        <sz val="11"/>
        <color theme="1"/>
        <rFont val="Calibri"/>
      </rPr>
      <t>4,278</t>
    </r>
  </si>
  <si>
    <r>
      <rPr>
        <sz val="11"/>
        <color theme="1"/>
        <rFont val="Calibri"/>
      </rPr>
      <t>4,164</t>
    </r>
  </si>
  <si>
    <r>
      <rPr>
        <sz val="11"/>
        <color theme="1"/>
        <rFont val="Calibri"/>
      </rPr>
      <t>8,28</t>
    </r>
  </si>
  <si>
    <r>
      <rPr>
        <sz val="11"/>
        <color theme="1"/>
        <rFont val="Calibri"/>
      </rPr>
      <t>2,918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</si>
  <si>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</si>
  <si>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0,28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</si>
  <si>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</si>
  <si>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</si>
  <si>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</si>
  <si>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</si>
  <si>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</si>
  <si>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0,244</t>
    </r>
  </si>
  <si>
    <r>
      <rPr>
        <sz val="11"/>
        <color theme="1"/>
        <rFont val="Calibri"/>
      </rPr>
      <t>3,1676</t>
    </r>
  </si>
  <si>
    <r>
      <rPr>
        <sz val="11"/>
        <color theme="1"/>
        <rFont val="Calibri"/>
      </rPr>
      <t>8,944</t>
    </r>
  </si>
  <si>
    <r>
      <rPr>
        <sz val="11"/>
        <color theme="1"/>
        <rFont val="Calibri"/>
      </rPr>
      <t>6,136</t>
    </r>
  </si>
  <si>
    <r>
      <rPr>
        <sz val="11"/>
        <color theme="1"/>
        <rFont val="Calibri"/>
      </rPr>
      <t>2,764</t>
    </r>
  </si>
  <si>
    <t>Perusahaan</t>
  </si>
  <si>
    <t xml:space="preserve"> 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</si>
  <si>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</si>
  <si>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</si>
  <si>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</si>
  <si>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</si>
  <si>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PT. TOA GALVA INDONESIA</t>
  </si>
  <si>
    <t>B4, B6, C10</t>
  </si>
  <si>
    <t>Rak</t>
  </si>
  <si>
    <t>A9</t>
  </si>
  <si>
    <t>A10</t>
  </si>
  <si>
    <t>A15</t>
  </si>
  <si>
    <t>A20</t>
  </si>
  <si>
    <t>C4</t>
  </si>
  <si>
    <t>C6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</si>
  <si>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</si>
  <si>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</si>
  <si>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</si>
  <si>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</si>
  <si>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</si>
  <si>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</si>
  <si>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</si>
  <si>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</si>
  <si>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</si>
  <si>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</si>
  <si>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</si>
  <si>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</si>
  <si>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</si>
  <si>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</si>
  <si>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</si>
  <si>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</si>
  <si>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D17</t>
  </si>
  <si>
    <t>D18</t>
  </si>
  <si>
    <t>D19</t>
  </si>
  <si>
    <t>D20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</si>
  <si>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</si>
  <si>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</si>
  <si>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</si>
  <si>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</si>
  <si>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</si>
  <si>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</si>
  <si>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</si>
  <si>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</si>
  <si>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</si>
  <si>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</si>
  <si>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</si>
  <si>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</si>
  <si>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E14</t>
  </si>
  <si>
    <t>E15</t>
  </si>
  <si>
    <t>E16</t>
  </si>
  <si>
    <t>A5</t>
  </si>
  <si>
    <t>B1</t>
  </si>
  <si>
    <t>B2</t>
  </si>
  <si>
    <t>B5</t>
  </si>
  <si>
    <t>B8</t>
  </si>
  <si>
    <t>B9</t>
  </si>
  <si>
    <t>B10</t>
  </si>
  <si>
    <t>B11</t>
  </si>
  <si>
    <t>B14</t>
  </si>
  <si>
    <t>B15</t>
  </si>
  <si>
    <t>C9</t>
  </si>
  <si>
    <t>D16</t>
  </si>
  <si>
    <t>A1</t>
  </si>
  <si>
    <t>A2</t>
  </si>
  <si>
    <t>A3</t>
  </si>
  <si>
    <t>A4</t>
  </si>
  <si>
    <t>A6</t>
  </si>
  <si>
    <t>A7</t>
  </si>
  <si>
    <t>A8</t>
  </si>
  <si>
    <t>A11</t>
  </si>
  <si>
    <t>A12</t>
  </si>
  <si>
    <t>A13</t>
  </si>
  <si>
    <t>A14</t>
  </si>
  <si>
    <t>A16</t>
  </si>
  <si>
    <t>A17</t>
  </si>
  <si>
    <t>A18</t>
  </si>
  <si>
    <t>A19</t>
  </si>
  <si>
    <t>B3</t>
  </si>
  <si>
    <t>B7</t>
  </si>
  <si>
    <t>B12</t>
  </si>
  <si>
    <t>B13</t>
  </si>
  <si>
    <t>B16</t>
  </si>
  <si>
    <t>B17</t>
  </si>
  <si>
    <t>B18</t>
  </si>
  <si>
    <t>C1</t>
  </si>
  <si>
    <t>C2</t>
  </si>
  <si>
    <t>C3</t>
  </si>
  <si>
    <t>C5</t>
  </si>
  <si>
    <t>C7</t>
  </si>
  <si>
    <t>C8</t>
  </si>
  <si>
    <t>C11</t>
  </si>
  <si>
    <t>E13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</si>
  <si>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</si>
  <si>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</si>
  <si>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</si>
  <si>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</si>
  <si>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</si>
  <si>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</si>
  <si>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</si>
  <si>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</si>
  <si>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</si>
  <si>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</si>
  <si>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</si>
  <si>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</si>
  <si>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</si>
  <si>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</si>
  <si>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</si>
  <si>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</si>
  <si>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</si>
  <si>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</si>
  <si>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</si>
  <si>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</si>
  <si>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</si>
  <si>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</si>
  <si>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</si>
  <si>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</si>
  <si>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</si>
  <si>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</si>
  <si>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</si>
  <si>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</si>
  <si>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</si>
  <si>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</si>
  <si>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</si>
  <si>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</si>
  <si>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B19</t>
  </si>
  <si>
    <t>B20</t>
  </si>
  <si>
    <t>B4</t>
  </si>
  <si>
    <t>B6</t>
  </si>
  <si>
    <t>C10</t>
  </si>
</sst>
</file>

<file path=xl/styles.xml><?xml version="1.0" encoding="utf-8"?>
<styleSheet xmlns="http://schemas.openxmlformats.org/spreadsheetml/2006/main">
  <numFmts count="8">
    <numFmt numFmtId="164" formatCode="0\ &quot;Pcs&quot;"/>
    <numFmt numFmtId="165" formatCode="_-* #,##0_-;\-* #,##0_-;_-* &quot;-&quot;??_-;_-@"/>
    <numFmt numFmtId="166" formatCode="m/d/yyyy"/>
    <numFmt numFmtId="167" formatCode="_-* #,##0_-;\-* #,##0_-;_-* &quot;-&quot;_-;_-@"/>
    <numFmt numFmtId="168" formatCode="dd\/mm\/yy"/>
    <numFmt numFmtId="169" formatCode="_-* #,##0.0_-;\-* #,##0.0_-;_-* &quot;-&quot;_-;_-@"/>
    <numFmt numFmtId="170" formatCode="_-* #,##0.00_-;\-* #,##0.00_-;_-* &quot;-&quot;_-;_-@"/>
    <numFmt numFmtId="171" formatCode="_-* #,##0.000_-;\-* #,##0.000_-;_-* &quot;-&quot;_-;_-@"/>
  </numFmts>
  <fonts count="29">
    <font>
      <sz val="11"/>
      <color rgb="FF000000"/>
      <name val="Calibri"/>
      <scheme val="minor"/>
    </font>
    <font>
      <b/>
      <sz val="22"/>
      <color theme="1"/>
      <name val="Arial Narrow"/>
    </font>
    <font>
      <sz val="11"/>
      <name val="Calibri"/>
    </font>
    <font>
      <sz val="22"/>
      <color theme="1"/>
      <name val="Arial Narrow"/>
    </font>
    <font>
      <sz val="11"/>
      <color theme="1"/>
      <name val="Arial Narrow"/>
    </font>
    <font>
      <b/>
      <sz val="13"/>
      <color rgb="FF000000"/>
      <name val="Arial Narrow"/>
    </font>
    <font>
      <sz val="13"/>
      <color rgb="FF000000"/>
      <name val="Arial Narrow"/>
    </font>
    <font>
      <b/>
      <sz val="65"/>
      <color rgb="FF000000"/>
      <name val="Arial Narrow"/>
    </font>
    <font>
      <sz val="13"/>
      <color rgb="FF000000"/>
      <name val="Barecode"/>
    </font>
    <font>
      <b/>
      <sz val="36"/>
      <color rgb="FF000000"/>
      <name val="Arial Narrow"/>
    </font>
    <font>
      <b/>
      <sz val="13"/>
      <color theme="1"/>
      <name val="Arial Narrow"/>
    </font>
    <font>
      <b/>
      <sz val="20"/>
      <color rgb="FF000000"/>
      <name val="Cambria"/>
    </font>
    <font>
      <sz val="12"/>
      <color rgb="FF000000"/>
      <name val="Cambria"/>
    </font>
    <font>
      <b/>
      <sz val="12"/>
      <color rgb="FF000000"/>
      <name val="Cambria"/>
    </font>
    <font>
      <b/>
      <sz val="14"/>
      <color rgb="FF000000"/>
      <name val="Cambria"/>
    </font>
    <font>
      <sz val="11"/>
      <color rgb="FF000000"/>
      <name val="Cambria"/>
    </font>
    <font>
      <sz val="12"/>
      <color theme="1"/>
      <name val="Cambria"/>
    </font>
    <font>
      <sz val="11"/>
      <color theme="1"/>
      <name val="Cambria"/>
    </font>
    <font>
      <sz val="11"/>
      <color rgb="FFFF0000"/>
      <name val="Cambria"/>
    </font>
    <font>
      <sz val="12"/>
      <color rgb="FFFFFFFF"/>
      <name val="Cambria"/>
    </font>
    <font>
      <sz val="12"/>
      <color rgb="FF0070C0"/>
      <name val="Cambria"/>
    </font>
    <font>
      <sz val="12"/>
      <color rgb="FFFF0000"/>
      <name val="Cambria"/>
    </font>
    <font>
      <sz val="12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rgb="FF000000"/>
      <name val="Arial"/>
    </font>
    <font>
      <b/>
      <sz val="11"/>
      <color rgb="FF000000"/>
      <name val="Calibri"/>
    </font>
    <font>
      <sz val="13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0000"/>
        <bgColor rgb="FFFF0000"/>
      </patternFill>
    </fill>
    <fill>
      <patternFill patternType="solid">
        <fgColor rgb="FFE2EFD9"/>
        <bgColor rgb="FFE2EFD9"/>
      </patternFill>
    </fill>
    <fill>
      <patternFill patternType="solid">
        <fgColor rgb="FF000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4">
    <xf numFmtId="0" fontId="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5" xfId="0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164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2" borderId="10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0" fontId="6" fillId="2" borderId="11" xfId="0" applyFont="1" applyFill="1" applyBorder="1" applyAlignment="1">
      <alignment vertical="center"/>
    </xf>
    <xf numFmtId="11" fontId="6" fillId="2" borderId="11" xfId="0" applyNumberFormat="1" applyFont="1" applyFill="1" applyBorder="1" applyAlignment="1">
      <alignment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165" fontId="6" fillId="2" borderId="1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1" fontId="13" fillId="3" borderId="13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167" fontId="12" fillId="3" borderId="13" xfId="0" applyNumberFormat="1" applyFont="1" applyFill="1" applyBorder="1" applyAlignment="1">
      <alignment horizontal="center" vertical="center" wrapText="1"/>
    </xf>
    <xf numFmtId="168" fontId="12" fillId="3" borderId="13" xfId="0" applyNumberFormat="1" applyFont="1" applyFill="1" applyBorder="1" applyAlignment="1">
      <alignment horizontal="center" vertical="center" wrapText="1"/>
    </xf>
    <xf numFmtId="168" fontId="12" fillId="3" borderId="1" xfId="0" applyNumberFormat="1" applyFont="1" applyFill="1" applyBorder="1" applyAlignment="1">
      <alignment horizontal="center" vertical="center" wrapText="1"/>
    </xf>
    <xf numFmtId="1" fontId="13" fillId="3" borderId="27" xfId="0" applyNumberFormat="1" applyFont="1" applyFill="1" applyBorder="1" applyAlignment="1">
      <alignment horizontal="center" vertical="center"/>
    </xf>
    <xf numFmtId="0" fontId="12" fillId="3" borderId="27" xfId="0" applyFont="1" applyFill="1" applyBorder="1" applyAlignment="1">
      <alignment horizontal="center" vertical="center"/>
    </xf>
    <xf numFmtId="167" fontId="12" fillId="3" borderId="27" xfId="0" applyNumberFormat="1" applyFont="1" applyFill="1" applyBorder="1" applyAlignment="1">
      <alignment horizontal="center" vertical="center" wrapText="1"/>
    </xf>
    <xf numFmtId="168" fontId="12" fillId="3" borderId="27" xfId="0" applyNumberFormat="1" applyFont="1" applyFill="1" applyBorder="1" applyAlignment="1">
      <alignment horizontal="center" vertical="center" wrapText="1"/>
    </xf>
    <xf numFmtId="167" fontId="12" fillId="3" borderId="1" xfId="0" applyNumberFormat="1" applyFont="1" applyFill="1" applyBorder="1" applyAlignment="1">
      <alignment horizontal="center" vertical="center" wrapText="1"/>
    </xf>
    <xf numFmtId="169" fontId="12" fillId="3" borderId="1" xfId="0" applyNumberFormat="1" applyFont="1" applyFill="1" applyBorder="1" applyAlignment="1">
      <alignment horizontal="center" vertical="center" wrapText="1"/>
    </xf>
    <xf numFmtId="170" fontId="12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167" fontId="12" fillId="5" borderId="1" xfId="0" applyNumberFormat="1" applyFont="1" applyFill="1" applyBorder="1" applyAlignment="1">
      <alignment horizontal="center" vertical="center"/>
    </xf>
    <xf numFmtId="168" fontId="12" fillId="0" borderId="1" xfId="0" applyNumberFormat="1" applyFont="1" applyBorder="1" applyAlignment="1">
      <alignment horizontal="center" vertical="center"/>
    </xf>
    <xf numFmtId="166" fontId="12" fillId="0" borderId="1" xfId="0" quotePrefix="1" applyNumberFormat="1" applyFont="1" applyBorder="1" applyAlignment="1">
      <alignment horizontal="center" vertical="center"/>
    </xf>
    <xf numFmtId="167" fontId="12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12" fillId="6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" fontId="14" fillId="0" borderId="1" xfId="0" quotePrefix="1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166" fontId="12" fillId="0" borderId="1" xfId="0" quotePrefix="1" applyNumberFormat="1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71" fontId="12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5" borderId="1" xfId="0" applyNumberFormat="1" applyFont="1" applyFill="1" applyBorder="1" applyAlignment="1">
      <alignment horizontal="center" vertical="center"/>
    </xf>
    <xf numFmtId="168" fontId="21" fillId="0" borderId="1" xfId="0" applyNumberFormat="1" applyFont="1" applyBorder="1" applyAlignment="1">
      <alignment horizontal="center" vertical="center"/>
    </xf>
    <xf numFmtId="167" fontId="21" fillId="0" borderId="1" xfId="0" applyNumberFormat="1" applyFont="1" applyBorder="1" applyAlignment="1">
      <alignment horizontal="center" vertical="center"/>
    </xf>
    <xf numFmtId="169" fontId="21" fillId="0" borderId="1" xfId="0" applyNumberFormat="1" applyFont="1" applyBorder="1" applyAlignment="1">
      <alignment horizontal="center" vertical="center"/>
    </xf>
    <xf numFmtId="170" fontId="21" fillId="0" borderId="1" xfId="0" applyNumberFormat="1" applyFont="1" applyBorder="1" applyAlignment="1">
      <alignment horizontal="center" vertical="center"/>
    </xf>
    <xf numFmtId="166" fontId="21" fillId="0" borderId="1" xfId="0" applyNumberFormat="1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left" vertical="center"/>
    </xf>
    <xf numFmtId="0" fontId="12" fillId="0" borderId="1" xfId="0" quotePrefix="1" applyFont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center"/>
    </xf>
    <xf numFmtId="167" fontId="12" fillId="0" borderId="0" xfId="0" applyNumberFormat="1" applyFont="1" applyAlignment="1">
      <alignment horizontal="center" vertical="center"/>
    </xf>
    <xf numFmtId="168" fontId="12" fillId="0" borderId="0" xfId="0" applyNumberFormat="1" applyFont="1" applyAlignment="1">
      <alignment horizontal="center" vertical="center"/>
    </xf>
    <xf numFmtId="169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center" vertical="center"/>
    </xf>
    <xf numFmtId="0" fontId="12" fillId="3" borderId="28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" fontId="13" fillId="3" borderId="13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0" fontId="12" fillId="3" borderId="13" xfId="0" applyFont="1" applyFill="1" applyBorder="1" applyAlignment="1">
      <alignment vertical="center"/>
    </xf>
    <xf numFmtId="167" fontId="12" fillId="3" borderId="13" xfId="0" applyNumberFormat="1" applyFont="1" applyFill="1" applyBorder="1" applyAlignment="1">
      <alignment vertical="center" wrapText="1"/>
    </xf>
    <xf numFmtId="168" fontId="12" fillId="3" borderId="13" xfId="0" applyNumberFormat="1" applyFont="1" applyFill="1" applyBorder="1" applyAlignment="1">
      <alignment vertical="center" wrapText="1"/>
    </xf>
    <xf numFmtId="168" fontId="12" fillId="3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1" fontId="12" fillId="5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right" vertical="center" wrapText="1"/>
    </xf>
    <xf numFmtId="0" fontId="25" fillId="0" borderId="0" xfId="0" applyFont="1" applyAlignment="1">
      <alignment vertical="center" wrapText="1"/>
    </xf>
    <xf numFmtId="0" fontId="25" fillId="0" borderId="15" xfId="0" applyFont="1" applyBorder="1" applyAlignment="1">
      <alignment horizontal="right" vertical="center" wrapText="1"/>
    </xf>
    <xf numFmtId="1" fontId="12" fillId="6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 wrapText="1"/>
    </xf>
    <xf numFmtId="1" fontId="21" fillId="5" borderId="1" xfId="0" applyNumberFormat="1" applyFont="1" applyFill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169" fontId="25" fillId="0" borderId="1" xfId="0" applyNumberFormat="1" applyFont="1" applyBorder="1" applyAlignment="1">
      <alignment horizontal="center" vertical="center"/>
    </xf>
    <xf numFmtId="0" fontId="26" fillId="0" borderId="29" xfId="0" applyFont="1" applyBorder="1" applyAlignment="1">
      <alignment wrapText="1"/>
    </xf>
    <xf numFmtId="0" fontId="26" fillId="0" borderId="29" xfId="0" applyFont="1" applyBorder="1" applyAlignment="1"/>
    <xf numFmtId="0" fontId="27" fillId="0" borderId="4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7" fillId="2" borderId="14" xfId="0" applyFont="1" applyFill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6" fillId="0" borderId="17" xfId="0" applyFont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2" fillId="0" borderId="18" xfId="0" applyFont="1" applyBorder="1" applyAlignment="1">
      <alignment vertical="center"/>
    </xf>
    <xf numFmtId="0" fontId="6" fillId="2" borderId="19" xfId="0" applyFont="1" applyFill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6" fillId="0" borderId="22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9" fillId="0" borderId="23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6" fillId="0" borderId="26" xfId="0" applyFont="1" applyBorder="1" applyAlignment="1">
      <alignment horizontal="left" vertical="center"/>
    </xf>
    <xf numFmtId="0" fontId="2" fillId="0" borderId="26" xfId="0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5" fillId="2" borderId="12" xfId="0" applyFont="1" applyFill="1" applyBorder="1" applyAlignment="1">
      <alignment horizontal="left" vertical="center"/>
    </xf>
    <xf numFmtId="166" fontId="6" fillId="2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7" fillId="2" borderId="14" xfId="0" quotePrefix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167" fontId="12" fillId="4" borderId="9" xfId="0" applyNumberFormat="1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123825</xdr:colOff>
      <xdr:row>0</xdr:row>
      <xdr:rowOff>0</xdr:rowOff>
    </xdr:from>
    <xdr:ext cx="38100" cy="14811375"/>
    <xdr:grpSp>
      <xdr:nvGrpSpPr>
        <xdr:cNvPr id="2" name="Shape 2"/>
        <xdr:cNvGrpSpPr/>
      </xdr:nvGrpSpPr>
      <xdr:grpSpPr>
        <a:xfrm>
          <a:off x="5346000" y="0"/>
          <a:ext cx="0" cy="7560000"/>
          <a:chOff x="5346000" y="0"/>
          <a:chExt cx="0" cy="7560000"/>
        </a:xfrm>
      </xdr:grpSpPr>
      <xdr:cxnSp macro="">
        <xdr:nvCxnSpPr>
          <xdr:cNvPr id="3" name="Shape 3"/>
          <xdr:cNvCxnSpPr/>
        </xdr:nvCxnSpPr>
        <xdr:spPr>
          <a:xfrm>
            <a:off x="5346000" y="0"/>
            <a:ext cx="0" cy="7560000"/>
          </a:xfrm>
          <a:prstGeom prst="straightConnector1">
            <a:avLst/>
          </a:prstGeom>
          <a:noFill/>
          <a:ln w="9525" cap="flat" cmpd="sng">
            <a:solidFill>
              <a:srgbClr val="599BD5"/>
            </a:solidFill>
            <a:prstDash val="lgDashDot"/>
            <a:miter lim="8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12</xdr:row>
      <xdr:rowOff>-19050</xdr:rowOff>
    </xdr:from>
    <xdr:ext cx="9725025" cy="38100"/>
    <xdr:grpSp>
      <xdr:nvGrpSpPr>
        <xdr:cNvPr id="4" name="Shape 2"/>
        <xdr:cNvGrpSpPr/>
      </xdr:nvGrpSpPr>
      <xdr:grpSpPr>
        <a:xfrm>
          <a:off x="483488" y="3780000"/>
          <a:ext cx="9725025" cy="0"/>
          <a:chOff x="483488" y="3780000"/>
          <a:chExt cx="9725025" cy="0"/>
        </a:xfrm>
      </xdr:grpSpPr>
      <xdr:cxnSp macro="">
        <xdr:nvCxnSpPr>
          <xdr:cNvPr id="5" name="Shape 4"/>
          <xdr:cNvCxnSpPr/>
        </xdr:nvCxnSpPr>
        <xdr:spPr>
          <a:xfrm>
            <a:off x="483488" y="3780000"/>
            <a:ext cx="9725025" cy="0"/>
          </a:xfrm>
          <a:prstGeom prst="straightConnector1">
            <a:avLst/>
          </a:prstGeom>
          <a:noFill/>
          <a:ln w="9525" cap="flat" cmpd="sng">
            <a:solidFill>
              <a:srgbClr val="599BD5"/>
            </a:solidFill>
            <a:prstDash val="lgDashDot"/>
            <a:miter lim="8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25</xdr:row>
      <xdr:rowOff>-19050</xdr:rowOff>
    </xdr:from>
    <xdr:ext cx="9715500" cy="38100"/>
    <xdr:grpSp>
      <xdr:nvGrpSpPr>
        <xdr:cNvPr id="6" name="Shape 2"/>
        <xdr:cNvGrpSpPr/>
      </xdr:nvGrpSpPr>
      <xdr:grpSpPr>
        <a:xfrm>
          <a:off x="488250" y="3780000"/>
          <a:ext cx="9715500" cy="0"/>
          <a:chOff x="488250" y="3780000"/>
          <a:chExt cx="9715500" cy="0"/>
        </a:xfrm>
      </xdr:grpSpPr>
      <xdr:cxnSp macro="">
        <xdr:nvCxnSpPr>
          <xdr:cNvPr id="7" name="Shape 5"/>
          <xdr:cNvCxnSpPr/>
        </xdr:nvCxnSpPr>
        <xdr:spPr>
          <a:xfrm>
            <a:off x="488250" y="3780000"/>
            <a:ext cx="9715500" cy="0"/>
          </a:xfrm>
          <a:prstGeom prst="straightConnector1">
            <a:avLst/>
          </a:prstGeom>
          <a:noFill/>
          <a:ln w="9525" cap="flat" cmpd="sng">
            <a:solidFill>
              <a:srgbClr val="599BD5"/>
            </a:solidFill>
            <a:prstDash val="lgDashDot"/>
            <a:miter lim="8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38</xdr:row>
      <xdr:rowOff>-19050</xdr:rowOff>
    </xdr:from>
    <xdr:ext cx="9705975" cy="38100"/>
    <xdr:grpSp>
      <xdr:nvGrpSpPr>
        <xdr:cNvPr id="8" name="Shape 2"/>
        <xdr:cNvGrpSpPr/>
      </xdr:nvGrpSpPr>
      <xdr:grpSpPr>
        <a:xfrm>
          <a:off x="493013" y="3780000"/>
          <a:ext cx="9705975" cy="0"/>
          <a:chOff x="493013" y="3780000"/>
          <a:chExt cx="9705975" cy="0"/>
        </a:xfrm>
      </xdr:grpSpPr>
      <xdr:cxnSp macro="">
        <xdr:nvCxnSpPr>
          <xdr:cNvPr id="9" name="Shape 6"/>
          <xdr:cNvCxnSpPr/>
        </xdr:nvCxnSpPr>
        <xdr:spPr>
          <a:xfrm>
            <a:off x="493013" y="3780000"/>
            <a:ext cx="9705975" cy="0"/>
          </a:xfrm>
          <a:prstGeom prst="straightConnector1">
            <a:avLst/>
          </a:prstGeom>
          <a:noFill/>
          <a:ln w="9525" cap="flat" cmpd="sng">
            <a:solidFill>
              <a:srgbClr val="599BD5"/>
            </a:solidFill>
            <a:prstDash val="lgDashDot"/>
            <a:miter lim="8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51</xdr:row>
      <xdr:rowOff>0</xdr:rowOff>
    </xdr:from>
    <xdr:ext cx="9686925" cy="38100"/>
    <xdr:grpSp>
      <xdr:nvGrpSpPr>
        <xdr:cNvPr id="10" name="Shape 2"/>
        <xdr:cNvGrpSpPr/>
      </xdr:nvGrpSpPr>
      <xdr:grpSpPr>
        <a:xfrm>
          <a:off x="507300" y="3760950"/>
          <a:ext cx="9677400" cy="38100"/>
          <a:chOff x="507300" y="3760950"/>
          <a:chExt cx="9677400" cy="38100"/>
        </a:xfrm>
      </xdr:grpSpPr>
      <xdr:cxnSp macro="">
        <xdr:nvCxnSpPr>
          <xdr:cNvPr id="11" name="Shape 7"/>
          <xdr:cNvCxnSpPr/>
        </xdr:nvCxnSpPr>
        <xdr:spPr>
          <a:xfrm rot="10800000" flipH="1">
            <a:off x="507300" y="3760950"/>
            <a:ext cx="9677400" cy="38100"/>
          </a:xfrm>
          <a:prstGeom prst="straightConnector1">
            <a:avLst/>
          </a:prstGeom>
          <a:noFill/>
          <a:ln w="9525" cap="flat" cmpd="sng">
            <a:solidFill>
              <a:srgbClr val="599BD5"/>
            </a:solidFill>
            <a:prstDash val="lgDashDot"/>
            <a:miter lim="8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0</xdr:row>
      <xdr:rowOff>0</xdr:rowOff>
    </xdr:from>
    <xdr:ext cx="838200" cy="304800"/>
    <xdr:pic>
      <xdr:nvPicPr>
        <xdr:cNvPr id="1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0</xdr:row>
      <xdr:rowOff>0</xdr:rowOff>
    </xdr:from>
    <xdr:ext cx="838200" cy="304800"/>
    <xdr:pic>
      <xdr:nvPicPr>
        <xdr:cNvPr id="13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838200" cy="304800"/>
    <xdr:pic>
      <xdr:nvPicPr>
        <xdr:cNvPr id="14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838200" cy="304800"/>
    <xdr:pic>
      <xdr:nvPicPr>
        <xdr:cNvPr id="15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838200" cy="304800"/>
    <xdr:pic>
      <xdr:nvPicPr>
        <xdr:cNvPr id="16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838200" cy="304800"/>
    <xdr:pic>
      <xdr:nvPicPr>
        <xdr:cNvPr id="17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838200" cy="304800"/>
    <xdr:pic>
      <xdr:nvPicPr>
        <xdr:cNvPr id="18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838200" cy="304800"/>
    <xdr:pic>
      <xdr:nvPicPr>
        <xdr:cNvPr id="19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838200" cy="304800"/>
    <xdr:pic>
      <xdr:nvPicPr>
        <xdr:cNvPr id="20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838200" cy="304800"/>
    <xdr:pic>
      <xdr:nvPicPr>
        <xdr:cNvPr id="21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00"/>
  <sheetViews>
    <sheetView workbookViewId="0"/>
  </sheetViews>
  <sheetFormatPr defaultColWidth="14.42578125" defaultRowHeight="15" customHeight="1"/>
  <cols>
    <col min="1" max="1" width="9.42578125" customWidth="1"/>
    <col min="2" max="2" width="1.28515625" customWidth="1"/>
    <col min="3" max="3" width="32.7109375" customWidth="1"/>
    <col min="4" max="4" width="2.7109375" customWidth="1"/>
    <col min="5" max="5" width="9.42578125" customWidth="1"/>
    <col min="6" max="6" width="1.28515625" customWidth="1"/>
    <col min="7" max="7" width="32.7109375" customWidth="1"/>
    <col min="8" max="8" width="2.7109375" customWidth="1"/>
    <col min="9" max="9" width="9.42578125" customWidth="1"/>
    <col min="10" max="10" width="1.28515625" customWidth="1"/>
    <col min="11" max="11" width="32.7109375" customWidth="1"/>
    <col min="12" max="12" width="2.7109375" customWidth="1"/>
    <col min="13" max="13" width="9.42578125" customWidth="1"/>
    <col min="14" max="14" width="1.28515625" customWidth="1"/>
    <col min="15" max="15" width="32.7109375" customWidth="1"/>
    <col min="16" max="26" width="9" customWidth="1"/>
  </cols>
  <sheetData>
    <row r="1" spans="1:26" ht="16.5" customHeight="1">
      <c r="A1" s="1" t="str">
        <f t="array" ref="A1">'Label FG'!F3</f>
        <v>226</v>
      </c>
      <c r="B1" s="115" t="s">
        <v>0</v>
      </c>
      <c r="C1" s="116"/>
      <c r="D1" s="2"/>
      <c r="E1" s="1" t="str">
        <f>$A$1</f>
        <v>226</v>
      </c>
      <c r="F1" s="115" t="s">
        <v>0</v>
      </c>
      <c r="G1" s="116"/>
      <c r="H1" s="2"/>
      <c r="I1" s="1" t="str">
        <f>$A$1</f>
        <v>226</v>
      </c>
      <c r="J1" s="115" t="s">
        <v>0</v>
      </c>
      <c r="K1" s="116"/>
      <c r="L1" s="2"/>
      <c r="M1" s="1" t="str">
        <f>$A$1</f>
        <v>226</v>
      </c>
      <c r="N1" s="115" t="s">
        <v>0</v>
      </c>
      <c r="O1" s="116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3" t="s">
        <v>1</v>
      </c>
      <c r="B2" s="4" t="s">
        <v>2</v>
      </c>
      <c r="C2" s="5">
        <f>VLOOKUP(A1,'List Part'!$A$5:$C$374,2,0)</f>
        <v>955985</v>
      </c>
      <c r="D2" s="4"/>
      <c r="E2" s="3" t="s">
        <v>1</v>
      </c>
      <c r="F2" s="4" t="s">
        <v>2</v>
      </c>
      <c r="G2" s="5">
        <f>$C$2</f>
        <v>955985</v>
      </c>
      <c r="H2" s="4"/>
      <c r="I2" s="3" t="s">
        <v>1</v>
      </c>
      <c r="J2" s="4" t="s">
        <v>2</v>
      </c>
      <c r="K2" s="5">
        <f>$C$2</f>
        <v>955985</v>
      </c>
      <c r="L2" s="4"/>
      <c r="M2" s="3" t="s">
        <v>1</v>
      </c>
      <c r="N2" s="4" t="s">
        <v>2</v>
      </c>
      <c r="O2" s="5">
        <f>$C$2</f>
        <v>955985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</v>
      </c>
      <c r="B3" s="4" t="s">
        <v>2</v>
      </c>
      <c r="C3" s="5" t="str">
        <f>VLOOKUP(A1,'List Part'!$A$5:$C$374,3,0)</f>
        <v>DIN CONNECTOR FITTING</v>
      </c>
      <c r="D3" s="4"/>
      <c r="E3" s="6" t="s">
        <v>3</v>
      </c>
      <c r="F3" s="4" t="s">
        <v>2</v>
      </c>
      <c r="G3" s="7" t="str">
        <f>$C$3</f>
        <v>DIN CONNECTOR FITTING</v>
      </c>
      <c r="H3" s="4"/>
      <c r="I3" s="6" t="s">
        <v>3</v>
      </c>
      <c r="J3" s="4" t="s">
        <v>2</v>
      </c>
      <c r="K3" s="7" t="str">
        <f>$C$3</f>
        <v>DIN CONNECTOR FITTING</v>
      </c>
      <c r="L3" s="4"/>
      <c r="M3" s="6" t="s">
        <v>3</v>
      </c>
      <c r="N3" s="4" t="s">
        <v>2</v>
      </c>
      <c r="O3" s="7" t="str">
        <f>$C$3</f>
        <v>DIN CONNECTOR FITTING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4</v>
      </c>
      <c r="B4" s="4" t="s">
        <v>2</v>
      </c>
      <c r="C4" s="8">
        <f>VLOOKUP(A1,'List Part'!$A$5:$P$374,15,0)</f>
        <v>200</v>
      </c>
      <c r="D4" s="4"/>
      <c r="E4" s="6" t="s">
        <v>4</v>
      </c>
      <c r="F4" s="4" t="s">
        <v>2</v>
      </c>
      <c r="G4" s="8">
        <f>$C$4</f>
        <v>200</v>
      </c>
      <c r="H4" s="4"/>
      <c r="I4" s="6" t="s">
        <v>4</v>
      </c>
      <c r="J4" s="4" t="s">
        <v>2</v>
      </c>
      <c r="K4" s="8">
        <f>$C$4</f>
        <v>200</v>
      </c>
      <c r="L4" s="4"/>
      <c r="M4" s="6" t="s">
        <v>4</v>
      </c>
      <c r="N4" s="4" t="s">
        <v>2</v>
      </c>
      <c r="O4" s="8">
        <f>$C$4</f>
        <v>200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3" t="s">
        <v>5</v>
      </c>
      <c r="B5" s="4" t="s">
        <v>2</v>
      </c>
      <c r="C5" s="9" t="s">
        <v>6</v>
      </c>
      <c r="D5" s="4"/>
      <c r="E5" s="6" t="s">
        <v>5</v>
      </c>
      <c r="F5" s="4" t="s">
        <v>2</v>
      </c>
      <c r="G5" s="9" t="s">
        <v>6</v>
      </c>
      <c r="H5" s="4"/>
      <c r="I5" s="6" t="s">
        <v>5</v>
      </c>
      <c r="J5" s="4" t="s">
        <v>2</v>
      </c>
      <c r="K5" s="9" t="s">
        <v>6</v>
      </c>
      <c r="L5" s="4"/>
      <c r="M5" s="6" t="s">
        <v>5</v>
      </c>
      <c r="N5" s="4" t="s">
        <v>2</v>
      </c>
      <c r="O5" s="9" t="s">
        <v>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3" t="s">
        <v>7</v>
      </c>
      <c r="B6" s="4" t="s">
        <v>2</v>
      </c>
      <c r="C6" s="10">
        <f>VLOOKUP(A1,'List Part'!$A$5:$P$374,6,0)</f>
        <v>0</v>
      </c>
      <c r="D6" s="4"/>
      <c r="E6" s="3" t="s">
        <v>7</v>
      </c>
      <c r="F6" s="4" t="s">
        <v>2</v>
      </c>
      <c r="G6" s="10">
        <f>$C$6</f>
        <v>0</v>
      </c>
      <c r="H6" s="4"/>
      <c r="I6" s="3" t="s">
        <v>7</v>
      </c>
      <c r="J6" s="4" t="s">
        <v>2</v>
      </c>
      <c r="K6" s="10">
        <f>$C$6</f>
        <v>0</v>
      </c>
      <c r="L6" s="4"/>
      <c r="M6" s="3" t="s">
        <v>7</v>
      </c>
      <c r="N6" s="4" t="s">
        <v>2</v>
      </c>
      <c r="O6" s="10">
        <f>$C$6</f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11" t="s">
        <v>8</v>
      </c>
      <c r="B7" s="12" t="s">
        <v>2</v>
      </c>
      <c r="C7" s="13" t="s">
        <v>9</v>
      </c>
      <c r="D7" s="4"/>
      <c r="E7" s="14" t="s">
        <v>8</v>
      </c>
      <c r="F7" s="12" t="s">
        <v>2</v>
      </c>
      <c r="G7" s="13" t="str">
        <f>C7</f>
        <v>IN 06 04</v>
      </c>
      <c r="H7" s="4"/>
      <c r="I7" s="14" t="s">
        <v>8</v>
      </c>
      <c r="J7" s="12" t="s">
        <v>2</v>
      </c>
      <c r="K7" s="13" t="str">
        <f>G7</f>
        <v>IN 06 04</v>
      </c>
      <c r="L7" s="4"/>
      <c r="M7" s="14" t="s">
        <v>8</v>
      </c>
      <c r="N7" s="12" t="s">
        <v>2</v>
      </c>
      <c r="O7" s="13" t="str">
        <f>K7</f>
        <v>IN 06 04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>
      <c r="A8" s="15"/>
      <c r="B8" s="4"/>
      <c r="C8" s="1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1" t="str">
        <f>$A$1</f>
        <v>226</v>
      </c>
      <c r="B9" s="115" t="s">
        <v>0</v>
      </c>
      <c r="C9" s="116"/>
      <c r="D9" s="2"/>
      <c r="E9" s="1" t="str">
        <f>$A$1</f>
        <v>226</v>
      </c>
      <c r="F9" s="115" t="s">
        <v>0</v>
      </c>
      <c r="G9" s="116"/>
      <c r="H9" s="2"/>
      <c r="I9" s="1" t="str">
        <f>$A$1</f>
        <v>226</v>
      </c>
      <c r="J9" s="115" t="s">
        <v>0</v>
      </c>
      <c r="K9" s="116"/>
      <c r="L9" s="2"/>
      <c r="M9" s="1" t="str">
        <f>$A$1</f>
        <v>226</v>
      </c>
      <c r="N9" s="115" t="s">
        <v>0</v>
      </c>
      <c r="O9" s="11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 t="s">
        <v>1</v>
      </c>
      <c r="B10" s="4" t="s">
        <v>2</v>
      </c>
      <c r="C10" s="5">
        <f>$C$2</f>
        <v>955985</v>
      </c>
      <c r="D10" s="4"/>
      <c r="E10" s="3" t="s">
        <v>1</v>
      </c>
      <c r="F10" s="4" t="s">
        <v>2</v>
      </c>
      <c r="G10" s="5">
        <f>$C$2</f>
        <v>955985</v>
      </c>
      <c r="H10" s="4"/>
      <c r="I10" s="3" t="s">
        <v>1</v>
      </c>
      <c r="J10" s="4" t="s">
        <v>2</v>
      </c>
      <c r="K10" s="5">
        <f>$C$2</f>
        <v>955985</v>
      </c>
      <c r="L10" s="4"/>
      <c r="M10" s="3" t="s">
        <v>1</v>
      </c>
      <c r="N10" s="4" t="s">
        <v>2</v>
      </c>
      <c r="O10" s="5">
        <f>$C$2</f>
        <v>955985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6" t="s">
        <v>3</v>
      </c>
      <c r="B11" s="4" t="s">
        <v>2</v>
      </c>
      <c r="C11" s="7" t="str">
        <f>$C$3</f>
        <v>DIN CONNECTOR FITTING</v>
      </c>
      <c r="D11" s="4"/>
      <c r="E11" s="6" t="s">
        <v>3</v>
      </c>
      <c r="F11" s="4" t="s">
        <v>2</v>
      </c>
      <c r="G11" s="7" t="str">
        <f>$C$3</f>
        <v>DIN CONNECTOR FITTING</v>
      </c>
      <c r="H11" s="4"/>
      <c r="I11" s="6" t="s">
        <v>3</v>
      </c>
      <c r="J11" s="4" t="s">
        <v>2</v>
      </c>
      <c r="K11" s="7" t="str">
        <f>$C$3</f>
        <v>DIN CONNECTOR FITTING</v>
      </c>
      <c r="L11" s="4"/>
      <c r="M11" s="6" t="s">
        <v>3</v>
      </c>
      <c r="N11" s="4" t="s">
        <v>2</v>
      </c>
      <c r="O11" s="7" t="str">
        <f>$C$3</f>
        <v>DIN CONNECTOR FITTING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6" t="s">
        <v>4</v>
      </c>
      <c r="B12" s="4" t="s">
        <v>2</v>
      </c>
      <c r="C12" s="8">
        <f>$C$4</f>
        <v>200</v>
      </c>
      <c r="D12" s="4"/>
      <c r="E12" s="6" t="s">
        <v>4</v>
      </c>
      <c r="F12" s="4" t="s">
        <v>2</v>
      </c>
      <c r="G12" s="8">
        <f>$C$4</f>
        <v>200</v>
      </c>
      <c r="H12" s="4"/>
      <c r="I12" s="6" t="s">
        <v>4</v>
      </c>
      <c r="J12" s="4" t="s">
        <v>2</v>
      </c>
      <c r="K12" s="8">
        <f>$C$4</f>
        <v>200</v>
      </c>
      <c r="L12" s="4"/>
      <c r="M12" s="6" t="s">
        <v>4</v>
      </c>
      <c r="N12" s="4" t="s">
        <v>2</v>
      </c>
      <c r="O12" s="8">
        <f>$C$4</f>
        <v>200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6" t="s">
        <v>5</v>
      </c>
      <c r="B13" s="4" t="s">
        <v>2</v>
      </c>
      <c r="C13" s="9" t="s">
        <v>6</v>
      </c>
      <c r="D13" s="4"/>
      <c r="E13" s="6" t="s">
        <v>5</v>
      </c>
      <c r="F13" s="4" t="s">
        <v>2</v>
      </c>
      <c r="G13" s="9" t="s">
        <v>6</v>
      </c>
      <c r="H13" s="4"/>
      <c r="I13" s="6" t="s">
        <v>5</v>
      </c>
      <c r="J13" s="4" t="s">
        <v>2</v>
      </c>
      <c r="K13" s="9" t="s">
        <v>6</v>
      </c>
      <c r="L13" s="4"/>
      <c r="M13" s="6" t="s">
        <v>5</v>
      </c>
      <c r="N13" s="4" t="s">
        <v>2</v>
      </c>
      <c r="O13" s="9" t="s">
        <v>6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3" t="s">
        <v>7</v>
      </c>
      <c r="B14" s="4" t="s">
        <v>2</v>
      </c>
      <c r="C14" s="10">
        <f>$C$6</f>
        <v>0</v>
      </c>
      <c r="D14" s="4"/>
      <c r="E14" s="3" t="s">
        <v>7</v>
      </c>
      <c r="F14" s="4" t="s">
        <v>2</v>
      </c>
      <c r="G14" s="10">
        <f>$C$6</f>
        <v>0</v>
      </c>
      <c r="H14" s="4"/>
      <c r="I14" s="3" t="s">
        <v>7</v>
      </c>
      <c r="J14" s="4" t="s">
        <v>2</v>
      </c>
      <c r="K14" s="10">
        <f>$C$6</f>
        <v>0</v>
      </c>
      <c r="L14" s="4"/>
      <c r="M14" s="3" t="s">
        <v>7</v>
      </c>
      <c r="N14" s="4" t="s">
        <v>2</v>
      </c>
      <c r="O14" s="10">
        <f>$C$6</f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14" t="s">
        <v>8</v>
      </c>
      <c r="B15" s="12" t="s">
        <v>2</v>
      </c>
      <c r="C15" s="13" t="str">
        <f>C7</f>
        <v>IN 06 04</v>
      </c>
      <c r="D15" s="4"/>
      <c r="E15" s="14" t="s">
        <v>8</v>
      </c>
      <c r="F15" s="12" t="s">
        <v>2</v>
      </c>
      <c r="G15" s="13" t="str">
        <f>C15</f>
        <v>IN 06 04</v>
      </c>
      <c r="H15" s="4"/>
      <c r="I15" s="14" t="s">
        <v>8</v>
      </c>
      <c r="J15" s="12" t="s">
        <v>2</v>
      </c>
      <c r="K15" s="13" t="str">
        <f>G15</f>
        <v>IN 06 04</v>
      </c>
      <c r="L15" s="4"/>
      <c r="M15" s="14" t="s">
        <v>8</v>
      </c>
      <c r="N15" s="12" t="s">
        <v>2</v>
      </c>
      <c r="O15" s="13" t="str">
        <f>K15</f>
        <v>IN 06 04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>
      <c r="A16" s="1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1" t="str">
        <f>$A$1</f>
        <v>226</v>
      </c>
      <c r="B17" s="115" t="s">
        <v>0</v>
      </c>
      <c r="C17" s="116"/>
      <c r="D17" s="2"/>
      <c r="E17" s="1" t="str">
        <f>$A$1</f>
        <v>226</v>
      </c>
      <c r="F17" s="115" t="s">
        <v>0</v>
      </c>
      <c r="G17" s="116"/>
      <c r="H17" s="2"/>
      <c r="I17" s="1" t="str">
        <f>$A$1</f>
        <v>226</v>
      </c>
      <c r="J17" s="115" t="s">
        <v>0</v>
      </c>
      <c r="K17" s="116"/>
      <c r="L17" s="2"/>
      <c r="M17" s="1" t="str">
        <f>$A$1</f>
        <v>226</v>
      </c>
      <c r="N17" s="115" t="s">
        <v>0</v>
      </c>
      <c r="O17" s="116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 t="s">
        <v>1</v>
      </c>
      <c r="B18" s="4" t="s">
        <v>2</v>
      </c>
      <c r="C18" s="5">
        <f>$C$2</f>
        <v>955985</v>
      </c>
      <c r="D18" s="4"/>
      <c r="E18" s="3" t="s">
        <v>1</v>
      </c>
      <c r="F18" s="4" t="s">
        <v>2</v>
      </c>
      <c r="G18" s="5">
        <f>$C$2</f>
        <v>955985</v>
      </c>
      <c r="H18" s="4"/>
      <c r="I18" s="3" t="s">
        <v>1</v>
      </c>
      <c r="J18" s="4" t="s">
        <v>2</v>
      </c>
      <c r="K18" s="5">
        <f>$C$2</f>
        <v>955985</v>
      </c>
      <c r="L18" s="4"/>
      <c r="M18" s="3" t="s">
        <v>1</v>
      </c>
      <c r="N18" s="4" t="s">
        <v>2</v>
      </c>
      <c r="O18" s="5">
        <f>$C$2</f>
        <v>955985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6" t="s">
        <v>3</v>
      </c>
      <c r="B19" s="4" t="s">
        <v>2</v>
      </c>
      <c r="C19" s="7" t="str">
        <f>$C$3</f>
        <v>DIN CONNECTOR FITTING</v>
      </c>
      <c r="D19" s="4"/>
      <c r="E19" s="6" t="s">
        <v>3</v>
      </c>
      <c r="F19" s="4" t="s">
        <v>2</v>
      </c>
      <c r="G19" s="7" t="str">
        <f>$C$3</f>
        <v>DIN CONNECTOR FITTING</v>
      </c>
      <c r="H19" s="4"/>
      <c r="I19" s="6" t="s">
        <v>3</v>
      </c>
      <c r="J19" s="4" t="s">
        <v>2</v>
      </c>
      <c r="K19" s="7" t="str">
        <f>$C$3</f>
        <v>DIN CONNECTOR FITTING</v>
      </c>
      <c r="L19" s="4"/>
      <c r="M19" s="6" t="s">
        <v>3</v>
      </c>
      <c r="N19" s="4" t="s">
        <v>2</v>
      </c>
      <c r="O19" s="7" t="str">
        <f>$C$3</f>
        <v>DIN CONNECTOR FITTING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6" t="s">
        <v>4</v>
      </c>
      <c r="B20" s="4" t="s">
        <v>2</v>
      </c>
      <c r="C20" s="8">
        <f>$C$4</f>
        <v>200</v>
      </c>
      <c r="D20" s="4"/>
      <c r="E20" s="6" t="s">
        <v>4</v>
      </c>
      <c r="F20" s="4" t="s">
        <v>2</v>
      </c>
      <c r="G20" s="8">
        <f>$C$4</f>
        <v>200</v>
      </c>
      <c r="H20" s="4"/>
      <c r="I20" s="6" t="s">
        <v>4</v>
      </c>
      <c r="J20" s="4" t="s">
        <v>2</v>
      </c>
      <c r="K20" s="8">
        <f>$C$4</f>
        <v>200</v>
      </c>
      <c r="L20" s="4"/>
      <c r="M20" s="6" t="s">
        <v>4</v>
      </c>
      <c r="N20" s="4" t="s">
        <v>2</v>
      </c>
      <c r="O20" s="8">
        <f>$C$4</f>
        <v>200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6" t="s">
        <v>5</v>
      </c>
      <c r="B21" s="4" t="s">
        <v>2</v>
      </c>
      <c r="C21" s="9" t="s">
        <v>6</v>
      </c>
      <c r="D21" s="4"/>
      <c r="E21" s="6" t="s">
        <v>5</v>
      </c>
      <c r="F21" s="4" t="s">
        <v>2</v>
      </c>
      <c r="G21" s="9" t="s">
        <v>6</v>
      </c>
      <c r="H21" s="4"/>
      <c r="I21" s="6" t="s">
        <v>5</v>
      </c>
      <c r="J21" s="4" t="s">
        <v>2</v>
      </c>
      <c r="K21" s="9" t="s">
        <v>6</v>
      </c>
      <c r="L21" s="4"/>
      <c r="M21" s="6" t="s">
        <v>5</v>
      </c>
      <c r="N21" s="4" t="s">
        <v>2</v>
      </c>
      <c r="O21" s="9" t="s">
        <v>6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3" t="s">
        <v>7</v>
      </c>
      <c r="B22" s="4" t="s">
        <v>2</v>
      </c>
      <c r="C22" s="10">
        <f>$C$6</f>
        <v>0</v>
      </c>
      <c r="D22" s="4"/>
      <c r="E22" s="3" t="s">
        <v>7</v>
      </c>
      <c r="F22" s="4" t="s">
        <v>2</v>
      </c>
      <c r="G22" s="10">
        <f>$C$6</f>
        <v>0</v>
      </c>
      <c r="H22" s="4"/>
      <c r="I22" s="3" t="s">
        <v>7</v>
      </c>
      <c r="J22" s="4" t="s">
        <v>2</v>
      </c>
      <c r="K22" s="10">
        <f>$C$6</f>
        <v>0</v>
      </c>
      <c r="L22" s="4"/>
      <c r="M22" s="3" t="s">
        <v>7</v>
      </c>
      <c r="N22" s="4" t="s">
        <v>2</v>
      </c>
      <c r="O22" s="10">
        <f>$C$6</f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14" t="s">
        <v>8</v>
      </c>
      <c r="B23" s="12" t="s">
        <v>2</v>
      </c>
      <c r="C23" s="13" t="str">
        <f>C15</f>
        <v>IN 06 04</v>
      </c>
      <c r="D23" s="4"/>
      <c r="E23" s="14" t="s">
        <v>8</v>
      </c>
      <c r="F23" s="12" t="s">
        <v>2</v>
      </c>
      <c r="G23" s="13" t="str">
        <f>C23</f>
        <v>IN 06 04</v>
      </c>
      <c r="H23" s="4"/>
      <c r="I23" s="14" t="s">
        <v>8</v>
      </c>
      <c r="J23" s="12" t="s">
        <v>2</v>
      </c>
      <c r="K23" s="13" t="str">
        <f>G23</f>
        <v>IN 06 04</v>
      </c>
      <c r="L23" s="4"/>
      <c r="M23" s="14" t="s">
        <v>8</v>
      </c>
      <c r="N23" s="12" t="s">
        <v>2</v>
      </c>
      <c r="O23" s="13" t="str">
        <f>K23</f>
        <v>IN 06 04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>
      <c r="A24" s="15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1" t="str">
        <f>$A$1</f>
        <v>226</v>
      </c>
      <c r="B25" s="115" t="s">
        <v>0</v>
      </c>
      <c r="C25" s="116"/>
      <c r="D25" s="2"/>
      <c r="E25" s="1" t="str">
        <f>$A$1</f>
        <v>226</v>
      </c>
      <c r="F25" s="115" t="s">
        <v>0</v>
      </c>
      <c r="G25" s="116"/>
      <c r="H25" s="2"/>
      <c r="I25" s="1" t="str">
        <f>$A$1</f>
        <v>226</v>
      </c>
      <c r="J25" s="115" t="s">
        <v>0</v>
      </c>
      <c r="K25" s="116"/>
      <c r="L25" s="2"/>
      <c r="M25" s="1" t="str">
        <f>$A$1</f>
        <v>226</v>
      </c>
      <c r="N25" s="115" t="s">
        <v>0</v>
      </c>
      <c r="O25" s="116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 t="s">
        <v>1</v>
      </c>
      <c r="B26" s="4" t="s">
        <v>2</v>
      </c>
      <c r="C26" s="5">
        <f>$C$2</f>
        <v>955985</v>
      </c>
      <c r="D26" s="4"/>
      <c r="E26" s="3" t="s">
        <v>1</v>
      </c>
      <c r="F26" s="4" t="s">
        <v>2</v>
      </c>
      <c r="G26" s="5">
        <f>$C$2</f>
        <v>955985</v>
      </c>
      <c r="H26" s="4"/>
      <c r="I26" s="3" t="s">
        <v>1</v>
      </c>
      <c r="J26" s="4" t="s">
        <v>2</v>
      </c>
      <c r="K26" s="5">
        <f>$C$2</f>
        <v>955985</v>
      </c>
      <c r="L26" s="4"/>
      <c r="M26" s="3" t="s">
        <v>1</v>
      </c>
      <c r="N26" s="4" t="s">
        <v>2</v>
      </c>
      <c r="O26" s="5">
        <f>$C$2</f>
        <v>955985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6" t="s">
        <v>3</v>
      </c>
      <c r="B27" s="4" t="s">
        <v>2</v>
      </c>
      <c r="C27" s="7" t="str">
        <f>$C$3</f>
        <v>DIN CONNECTOR FITTING</v>
      </c>
      <c r="D27" s="4"/>
      <c r="E27" s="6" t="s">
        <v>3</v>
      </c>
      <c r="F27" s="4" t="s">
        <v>2</v>
      </c>
      <c r="G27" s="7" t="str">
        <f>$C$3</f>
        <v>DIN CONNECTOR FITTING</v>
      </c>
      <c r="H27" s="4"/>
      <c r="I27" s="6" t="s">
        <v>3</v>
      </c>
      <c r="J27" s="4" t="s">
        <v>2</v>
      </c>
      <c r="K27" s="7" t="str">
        <f>$C$3</f>
        <v>DIN CONNECTOR FITTING</v>
      </c>
      <c r="L27" s="4"/>
      <c r="M27" s="6" t="s">
        <v>3</v>
      </c>
      <c r="N27" s="4" t="s">
        <v>2</v>
      </c>
      <c r="O27" s="7" t="str">
        <f>$C$3</f>
        <v>DIN CONNECTOR FITTING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6" t="s">
        <v>4</v>
      </c>
      <c r="B28" s="4" t="s">
        <v>2</v>
      </c>
      <c r="C28" s="8">
        <f>$C$4</f>
        <v>200</v>
      </c>
      <c r="D28" s="4"/>
      <c r="E28" s="6" t="s">
        <v>4</v>
      </c>
      <c r="F28" s="4" t="s">
        <v>2</v>
      </c>
      <c r="G28" s="8">
        <f>$C$4</f>
        <v>200</v>
      </c>
      <c r="H28" s="4"/>
      <c r="I28" s="6" t="s">
        <v>4</v>
      </c>
      <c r="J28" s="4" t="s">
        <v>2</v>
      </c>
      <c r="K28" s="8">
        <f>$C$4</f>
        <v>200</v>
      </c>
      <c r="L28" s="4"/>
      <c r="M28" s="6" t="s">
        <v>4</v>
      </c>
      <c r="N28" s="4" t="s">
        <v>2</v>
      </c>
      <c r="O28" s="8">
        <f>$C$4</f>
        <v>200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6" t="s">
        <v>5</v>
      </c>
      <c r="B29" s="4" t="s">
        <v>2</v>
      </c>
      <c r="C29" s="9" t="s">
        <v>6</v>
      </c>
      <c r="D29" s="4"/>
      <c r="E29" s="6" t="s">
        <v>5</v>
      </c>
      <c r="F29" s="4" t="s">
        <v>2</v>
      </c>
      <c r="G29" s="9" t="s">
        <v>6</v>
      </c>
      <c r="H29" s="4"/>
      <c r="I29" s="6" t="s">
        <v>5</v>
      </c>
      <c r="J29" s="4" t="s">
        <v>2</v>
      </c>
      <c r="K29" s="9" t="s">
        <v>6</v>
      </c>
      <c r="L29" s="4"/>
      <c r="M29" s="6" t="s">
        <v>5</v>
      </c>
      <c r="N29" s="4" t="s">
        <v>2</v>
      </c>
      <c r="O29" s="9" t="s">
        <v>6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3" t="s">
        <v>7</v>
      </c>
      <c r="B30" s="4" t="s">
        <v>2</v>
      </c>
      <c r="C30" s="10">
        <f>$C$6</f>
        <v>0</v>
      </c>
      <c r="D30" s="4"/>
      <c r="E30" s="3" t="s">
        <v>7</v>
      </c>
      <c r="F30" s="4" t="s">
        <v>2</v>
      </c>
      <c r="G30" s="10">
        <f>$C$6</f>
        <v>0</v>
      </c>
      <c r="H30" s="4"/>
      <c r="I30" s="3" t="s">
        <v>7</v>
      </c>
      <c r="J30" s="4" t="s">
        <v>2</v>
      </c>
      <c r="K30" s="10">
        <f>$C$6</f>
        <v>0</v>
      </c>
      <c r="L30" s="4"/>
      <c r="M30" s="3" t="s">
        <v>7</v>
      </c>
      <c r="N30" s="4" t="s">
        <v>2</v>
      </c>
      <c r="O30" s="10">
        <f>$C$6</f>
        <v>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14" t="s">
        <v>8</v>
      </c>
      <c r="B31" s="12" t="s">
        <v>2</v>
      </c>
      <c r="C31" s="13" t="str">
        <f>C23</f>
        <v>IN 06 04</v>
      </c>
      <c r="D31" s="4"/>
      <c r="E31" s="14" t="s">
        <v>8</v>
      </c>
      <c r="F31" s="12" t="s">
        <v>2</v>
      </c>
      <c r="G31" s="13" t="str">
        <f>C31</f>
        <v>IN 06 04</v>
      </c>
      <c r="H31" s="4"/>
      <c r="I31" s="14" t="s">
        <v>8</v>
      </c>
      <c r="J31" s="12" t="s">
        <v>2</v>
      </c>
      <c r="K31" s="13" t="str">
        <f>G31</f>
        <v>IN 06 04</v>
      </c>
      <c r="L31" s="4"/>
      <c r="M31" s="14" t="s">
        <v>8</v>
      </c>
      <c r="N31" s="12" t="s">
        <v>2</v>
      </c>
      <c r="O31" s="13" t="str">
        <f>K31</f>
        <v>IN 06 04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>
      <c r="A32" s="15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1" t="str">
        <f>$A$1</f>
        <v>226</v>
      </c>
      <c r="B33" s="115" t="s">
        <v>0</v>
      </c>
      <c r="C33" s="116"/>
      <c r="D33" s="2"/>
      <c r="E33" s="1" t="str">
        <f>$A$1</f>
        <v>226</v>
      </c>
      <c r="F33" s="115" t="s">
        <v>0</v>
      </c>
      <c r="G33" s="116"/>
      <c r="H33" s="2"/>
      <c r="I33" s="1" t="str">
        <f>$A$1</f>
        <v>226</v>
      </c>
      <c r="J33" s="115" t="s">
        <v>0</v>
      </c>
      <c r="K33" s="116"/>
      <c r="L33" s="2"/>
      <c r="M33" s="1" t="str">
        <f>$A$1</f>
        <v>226</v>
      </c>
      <c r="N33" s="115" t="s">
        <v>0</v>
      </c>
      <c r="O33" s="11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 t="s">
        <v>1</v>
      </c>
      <c r="B34" s="4" t="s">
        <v>2</v>
      </c>
      <c r="C34" s="5">
        <f>$C$2</f>
        <v>955985</v>
      </c>
      <c r="D34" s="4"/>
      <c r="E34" s="3" t="s">
        <v>1</v>
      </c>
      <c r="F34" s="4" t="s">
        <v>2</v>
      </c>
      <c r="G34" s="5">
        <f>$C$2</f>
        <v>955985</v>
      </c>
      <c r="H34" s="4"/>
      <c r="I34" s="3" t="s">
        <v>1</v>
      </c>
      <c r="J34" s="4" t="s">
        <v>2</v>
      </c>
      <c r="K34" s="5">
        <f>$C$2</f>
        <v>955985</v>
      </c>
      <c r="L34" s="4"/>
      <c r="M34" s="3" t="s">
        <v>1</v>
      </c>
      <c r="N34" s="4" t="s">
        <v>2</v>
      </c>
      <c r="O34" s="5">
        <f>$C$2</f>
        <v>955985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6" t="s">
        <v>3</v>
      </c>
      <c r="B35" s="4" t="s">
        <v>2</v>
      </c>
      <c r="C35" s="7" t="str">
        <f>$C$3</f>
        <v>DIN CONNECTOR FITTING</v>
      </c>
      <c r="D35" s="4"/>
      <c r="E35" s="6" t="s">
        <v>3</v>
      </c>
      <c r="F35" s="4" t="s">
        <v>2</v>
      </c>
      <c r="G35" s="7" t="str">
        <f>$C$3</f>
        <v>DIN CONNECTOR FITTING</v>
      </c>
      <c r="H35" s="4"/>
      <c r="I35" s="6" t="s">
        <v>3</v>
      </c>
      <c r="J35" s="4" t="s">
        <v>2</v>
      </c>
      <c r="K35" s="7" t="str">
        <f>$C$3</f>
        <v>DIN CONNECTOR FITTING</v>
      </c>
      <c r="L35" s="4"/>
      <c r="M35" s="6" t="s">
        <v>3</v>
      </c>
      <c r="N35" s="4" t="s">
        <v>2</v>
      </c>
      <c r="O35" s="7" t="str">
        <f>$C$3</f>
        <v>DIN CONNECTOR FITTING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6" t="s">
        <v>4</v>
      </c>
      <c r="B36" s="4" t="s">
        <v>2</v>
      </c>
      <c r="C36" s="8">
        <f>$C$4</f>
        <v>200</v>
      </c>
      <c r="D36" s="4"/>
      <c r="E36" s="6" t="s">
        <v>4</v>
      </c>
      <c r="F36" s="4" t="s">
        <v>2</v>
      </c>
      <c r="G36" s="8">
        <f>$C$4</f>
        <v>200</v>
      </c>
      <c r="H36" s="4"/>
      <c r="I36" s="6" t="s">
        <v>4</v>
      </c>
      <c r="J36" s="4" t="s">
        <v>2</v>
      </c>
      <c r="K36" s="8">
        <f>$C$4</f>
        <v>200</v>
      </c>
      <c r="L36" s="4"/>
      <c r="M36" s="6" t="s">
        <v>4</v>
      </c>
      <c r="N36" s="4" t="s">
        <v>2</v>
      </c>
      <c r="O36" s="8">
        <f>$C$4</f>
        <v>200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6" t="s">
        <v>5</v>
      </c>
      <c r="B37" s="4" t="s">
        <v>2</v>
      </c>
      <c r="C37" s="9" t="s">
        <v>6</v>
      </c>
      <c r="D37" s="4"/>
      <c r="E37" s="6" t="s">
        <v>5</v>
      </c>
      <c r="F37" s="4" t="s">
        <v>2</v>
      </c>
      <c r="G37" s="9" t="s">
        <v>6</v>
      </c>
      <c r="H37" s="4"/>
      <c r="I37" s="6" t="s">
        <v>5</v>
      </c>
      <c r="J37" s="4" t="s">
        <v>2</v>
      </c>
      <c r="K37" s="9" t="s">
        <v>6</v>
      </c>
      <c r="L37" s="4"/>
      <c r="M37" s="6" t="s">
        <v>5</v>
      </c>
      <c r="N37" s="4" t="s">
        <v>2</v>
      </c>
      <c r="O37" s="9" t="s">
        <v>6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3" t="s">
        <v>7</v>
      </c>
      <c r="B38" s="4" t="s">
        <v>2</v>
      </c>
      <c r="C38" s="10">
        <f>$C$6</f>
        <v>0</v>
      </c>
      <c r="D38" s="4"/>
      <c r="E38" s="3" t="s">
        <v>7</v>
      </c>
      <c r="F38" s="4" t="s">
        <v>2</v>
      </c>
      <c r="G38" s="10">
        <f>$C$6</f>
        <v>0</v>
      </c>
      <c r="H38" s="4"/>
      <c r="I38" s="3" t="s">
        <v>7</v>
      </c>
      <c r="J38" s="4" t="s">
        <v>2</v>
      </c>
      <c r="K38" s="10">
        <f>$C$6</f>
        <v>0</v>
      </c>
      <c r="L38" s="4"/>
      <c r="M38" s="3" t="s">
        <v>7</v>
      </c>
      <c r="N38" s="4" t="s">
        <v>2</v>
      </c>
      <c r="O38" s="10">
        <f>$C$6</f>
        <v>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14" t="s">
        <v>8</v>
      </c>
      <c r="B39" s="12" t="s">
        <v>2</v>
      </c>
      <c r="C39" s="13" t="str">
        <f>C31</f>
        <v>IN 06 04</v>
      </c>
      <c r="D39" s="4"/>
      <c r="E39" s="14" t="s">
        <v>8</v>
      </c>
      <c r="F39" s="12" t="s">
        <v>2</v>
      </c>
      <c r="G39" s="13" t="str">
        <f>C39</f>
        <v>IN 06 04</v>
      </c>
      <c r="H39" s="4"/>
      <c r="I39" s="14" t="s">
        <v>8</v>
      </c>
      <c r="J39" s="12" t="s">
        <v>2</v>
      </c>
      <c r="K39" s="13" t="str">
        <f>G39</f>
        <v>IN 06 04</v>
      </c>
      <c r="L39" s="4"/>
      <c r="M39" s="14" t="s">
        <v>8</v>
      </c>
      <c r="N39" s="12" t="s">
        <v>2</v>
      </c>
      <c r="O39" s="13" t="str">
        <f>K39</f>
        <v>IN 06 04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>
      <c r="A40" s="15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1" t="str">
        <f>$A$1</f>
        <v>226</v>
      </c>
      <c r="B41" s="115" t="s">
        <v>0</v>
      </c>
      <c r="C41" s="116"/>
      <c r="D41" s="2"/>
      <c r="E41" s="1" t="str">
        <f>$A$1</f>
        <v>226</v>
      </c>
      <c r="F41" s="115" t="s">
        <v>0</v>
      </c>
      <c r="G41" s="116"/>
      <c r="H41" s="2"/>
      <c r="I41" s="1" t="str">
        <f>$A$1</f>
        <v>226</v>
      </c>
      <c r="J41" s="115" t="s">
        <v>0</v>
      </c>
      <c r="K41" s="116"/>
      <c r="L41" s="2"/>
      <c r="M41" s="1" t="str">
        <f>$A$1</f>
        <v>226</v>
      </c>
      <c r="N41" s="115" t="s">
        <v>0</v>
      </c>
      <c r="O41" s="11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 t="s">
        <v>1</v>
      </c>
      <c r="B42" s="4" t="s">
        <v>2</v>
      </c>
      <c r="C42" s="5">
        <f>$C$2</f>
        <v>955985</v>
      </c>
      <c r="D42" s="4"/>
      <c r="E42" s="3" t="s">
        <v>1</v>
      </c>
      <c r="F42" s="4" t="s">
        <v>2</v>
      </c>
      <c r="G42" s="5">
        <f>$C$2</f>
        <v>955985</v>
      </c>
      <c r="H42" s="4"/>
      <c r="I42" s="3" t="s">
        <v>1</v>
      </c>
      <c r="J42" s="4" t="s">
        <v>2</v>
      </c>
      <c r="K42" s="5">
        <f>$C$2</f>
        <v>955985</v>
      </c>
      <c r="L42" s="4"/>
      <c r="M42" s="3" t="s">
        <v>1</v>
      </c>
      <c r="N42" s="4" t="s">
        <v>2</v>
      </c>
      <c r="O42" s="5">
        <f>$C$2</f>
        <v>955985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6" t="s">
        <v>3</v>
      </c>
      <c r="B43" s="4" t="s">
        <v>2</v>
      </c>
      <c r="C43" s="7" t="str">
        <f>$C$3</f>
        <v>DIN CONNECTOR FITTING</v>
      </c>
      <c r="D43" s="4"/>
      <c r="E43" s="6" t="s">
        <v>3</v>
      </c>
      <c r="F43" s="4" t="s">
        <v>2</v>
      </c>
      <c r="G43" s="7" t="str">
        <f>$C$3</f>
        <v>DIN CONNECTOR FITTING</v>
      </c>
      <c r="H43" s="4"/>
      <c r="I43" s="6" t="s">
        <v>3</v>
      </c>
      <c r="J43" s="4" t="s">
        <v>2</v>
      </c>
      <c r="K43" s="7" t="str">
        <f>$C$3</f>
        <v>DIN CONNECTOR FITTING</v>
      </c>
      <c r="L43" s="4"/>
      <c r="M43" s="6" t="s">
        <v>3</v>
      </c>
      <c r="N43" s="4" t="s">
        <v>2</v>
      </c>
      <c r="O43" s="7" t="str">
        <f>$C$3</f>
        <v>DIN CONNECTOR FITTING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6" t="s">
        <v>4</v>
      </c>
      <c r="B44" s="4" t="s">
        <v>2</v>
      </c>
      <c r="C44" s="8">
        <f>$C$4</f>
        <v>200</v>
      </c>
      <c r="D44" s="4"/>
      <c r="E44" s="6" t="s">
        <v>4</v>
      </c>
      <c r="F44" s="4" t="s">
        <v>2</v>
      </c>
      <c r="G44" s="8">
        <f>$C$4</f>
        <v>200</v>
      </c>
      <c r="H44" s="4"/>
      <c r="I44" s="6" t="s">
        <v>4</v>
      </c>
      <c r="J44" s="4" t="s">
        <v>2</v>
      </c>
      <c r="K44" s="8">
        <f>$C$4</f>
        <v>200</v>
      </c>
      <c r="L44" s="4"/>
      <c r="M44" s="6" t="s">
        <v>4</v>
      </c>
      <c r="N44" s="4" t="s">
        <v>2</v>
      </c>
      <c r="O44" s="8">
        <f>$C$4</f>
        <v>200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6" t="s">
        <v>5</v>
      </c>
      <c r="B45" s="4" t="s">
        <v>2</v>
      </c>
      <c r="C45" s="9" t="s">
        <v>6</v>
      </c>
      <c r="D45" s="4"/>
      <c r="E45" s="6" t="s">
        <v>5</v>
      </c>
      <c r="F45" s="4" t="s">
        <v>2</v>
      </c>
      <c r="G45" s="9" t="s">
        <v>6</v>
      </c>
      <c r="H45" s="4"/>
      <c r="I45" s="6" t="s">
        <v>5</v>
      </c>
      <c r="J45" s="4" t="s">
        <v>2</v>
      </c>
      <c r="K45" s="9" t="s">
        <v>6</v>
      </c>
      <c r="L45" s="4"/>
      <c r="M45" s="6" t="s">
        <v>5</v>
      </c>
      <c r="N45" s="4" t="s">
        <v>2</v>
      </c>
      <c r="O45" s="9" t="s">
        <v>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3" t="s">
        <v>7</v>
      </c>
      <c r="B46" s="4" t="s">
        <v>2</v>
      </c>
      <c r="C46" s="10">
        <f>$C$6</f>
        <v>0</v>
      </c>
      <c r="D46" s="4"/>
      <c r="E46" s="3" t="s">
        <v>7</v>
      </c>
      <c r="F46" s="4" t="s">
        <v>2</v>
      </c>
      <c r="G46" s="10">
        <f>$C$6</f>
        <v>0</v>
      </c>
      <c r="H46" s="4"/>
      <c r="I46" s="3" t="s">
        <v>7</v>
      </c>
      <c r="J46" s="4" t="s">
        <v>2</v>
      </c>
      <c r="K46" s="10">
        <f>$C$6</f>
        <v>0</v>
      </c>
      <c r="L46" s="4"/>
      <c r="M46" s="3" t="s">
        <v>7</v>
      </c>
      <c r="N46" s="4" t="s">
        <v>2</v>
      </c>
      <c r="O46" s="10">
        <f>$C$6</f>
        <v>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14" t="s">
        <v>8</v>
      </c>
      <c r="B47" s="12" t="s">
        <v>2</v>
      </c>
      <c r="C47" s="13" t="str">
        <f>C39</f>
        <v>IN 06 04</v>
      </c>
      <c r="D47" s="4"/>
      <c r="E47" s="14" t="s">
        <v>8</v>
      </c>
      <c r="F47" s="12" t="s">
        <v>2</v>
      </c>
      <c r="G47" s="13" t="str">
        <f>C47</f>
        <v>IN 06 04</v>
      </c>
      <c r="H47" s="4"/>
      <c r="I47" s="14" t="s">
        <v>8</v>
      </c>
      <c r="J47" s="12" t="s">
        <v>2</v>
      </c>
      <c r="K47" s="13" t="str">
        <f>G47</f>
        <v>IN 06 04</v>
      </c>
      <c r="L47" s="4"/>
      <c r="M47" s="14" t="s">
        <v>8</v>
      </c>
      <c r="N47" s="12" t="s">
        <v>2</v>
      </c>
      <c r="O47" s="13" t="str">
        <f>K47</f>
        <v>IN 06 04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>
      <c r="A48" s="15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1" t="str">
        <f>$A$1</f>
        <v>226</v>
      </c>
      <c r="B49" s="115" t="s">
        <v>0</v>
      </c>
      <c r="C49" s="116"/>
      <c r="D49" s="2"/>
      <c r="E49" s="1" t="str">
        <f>$A$1</f>
        <v>226</v>
      </c>
      <c r="F49" s="115" t="s">
        <v>0</v>
      </c>
      <c r="G49" s="116"/>
      <c r="H49" s="2"/>
      <c r="I49" s="1" t="str">
        <f>$A$1</f>
        <v>226</v>
      </c>
      <c r="J49" s="115" t="s">
        <v>0</v>
      </c>
      <c r="K49" s="116"/>
      <c r="L49" s="2"/>
      <c r="M49" s="1" t="str">
        <f>$A$1</f>
        <v>226</v>
      </c>
      <c r="N49" s="115" t="s">
        <v>0</v>
      </c>
      <c r="O49" s="11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 t="s">
        <v>1</v>
      </c>
      <c r="B50" s="4" t="s">
        <v>2</v>
      </c>
      <c r="C50" s="5">
        <f>$C$2</f>
        <v>955985</v>
      </c>
      <c r="D50" s="4"/>
      <c r="E50" s="3" t="s">
        <v>1</v>
      </c>
      <c r="F50" s="4" t="s">
        <v>2</v>
      </c>
      <c r="G50" s="5">
        <f>$C$2</f>
        <v>955985</v>
      </c>
      <c r="H50" s="4"/>
      <c r="I50" s="3" t="s">
        <v>1</v>
      </c>
      <c r="J50" s="4" t="s">
        <v>2</v>
      </c>
      <c r="K50" s="5">
        <f>$C$2</f>
        <v>955985</v>
      </c>
      <c r="L50" s="4"/>
      <c r="M50" s="3" t="s">
        <v>1</v>
      </c>
      <c r="N50" s="4" t="s">
        <v>2</v>
      </c>
      <c r="O50" s="5">
        <f>$C$2</f>
        <v>955985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6" t="s">
        <v>3</v>
      </c>
      <c r="B51" s="4" t="s">
        <v>2</v>
      </c>
      <c r="C51" s="7" t="str">
        <f>$C$3</f>
        <v>DIN CONNECTOR FITTING</v>
      </c>
      <c r="D51" s="4"/>
      <c r="E51" s="6" t="s">
        <v>3</v>
      </c>
      <c r="F51" s="4" t="s">
        <v>2</v>
      </c>
      <c r="G51" s="7" t="str">
        <f>$C$3</f>
        <v>DIN CONNECTOR FITTING</v>
      </c>
      <c r="H51" s="4"/>
      <c r="I51" s="6" t="s">
        <v>3</v>
      </c>
      <c r="J51" s="4" t="s">
        <v>2</v>
      </c>
      <c r="K51" s="7" t="str">
        <f>$C$3</f>
        <v>DIN CONNECTOR FITTING</v>
      </c>
      <c r="L51" s="4"/>
      <c r="M51" s="6" t="s">
        <v>3</v>
      </c>
      <c r="N51" s="4" t="s">
        <v>2</v>
      </c>
      <c r="O51" s="7" t="str">
        <f>$C$3</f>
        <v>DIN CONNECTOR FITTING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6" t="s">
        <v>4</v>
      </c>
      <c r="B52" s="4" t="s">
        <v>2</v>
      </c>
      <c r="C52" s="8">
        <f>$C$4</f>
        <v>200</v>
      </c>
      <c r="D52" s="4"/>
      <c r="E52" s="6" t="s">
        <v>4</v>
      </c>
      <c r="F52" s="4" t="s">
        <v>2</v>
      </c>
      <c r="G52" s="8">
        <f>$C$4</f>
        <v>200</v>
      </c>
      <c r="H52" s="4"/>
      <c r="I52" s="6" t="s">
        <v>4</v>
      </c>
      <c r="J52" s="4" t="s">
        <v>2</v>
      </c>
      <c r="K52" s="8">
        <f>$C$4</f>
        <v>200</v>
      </c>
      <c r="L52" s="4"/>
      <c r="M52" s="6" t="s">
        <v>4</v>
      </c>
      <c r="N52" s="4" t="s">
        <v>2</v>
      </c>
      <c r="O52" s="8">
        <f>$C$4</f>
        <v>200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6" t="s">
        <v>5</v>
      </c>
      <c r="B53" s="4" t="s">
        <v>2</v>
      </c>
      <c r="C53" s="9" t="s">
        <v>6</v>
      </c>
      <c r="D53" s="4"/>
      <c r="E53" s="6" t="s">
        <v>5</v>
      </c>
      <c r="F53" s="4" t="s">
        <v>2</v>
      </c>
      <c r="G53" s="9" t="s">
        <v>6</v>
      </c>
      <c r="H53" s="4"/>
      <c r="I53" s="6" t="s">
        <v>5</v>
      </c>
      <c r="J53" s="4" t="s">
        <v>2</v>
      </c>
      <c r="K53" s="9" t="s">
        <v>6</v>
      </c>
      <c r="L53" s="4"/>
      <c r="M53" s="6" t="s">
        <v>5</v>
      </c>
      <c r="N53" s="4" t="s">
        <v>2</v>
      </c>
      <c r="O53" s="9" t="s">
        <v>6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3" t="s">
        <v>7</v>
      </c>
      <c r="B54" s="4" t="s">
        <v>2</v>
      </c>
      <c r="C54" s="10">
        <f>$C$6</f>
        <v>0</v>
      </c>
      <c r="D54" s="4"/>
      <c r="E54" s="3" t="s">
        <v>7</v>
      </c>
      <c r="F54" s="4" t="s">
        <v>2</v>
      </c>
      <c r="G54" s="10">
        <f>$C$6</f>
        <v>0</v>
      </c>
      <c r="H54" s="4"/>
      <c r="I54" s="3" t="s">
        <v>7</v>
      </c>
      <c r="J54" s="4" t="s">
        <v>2</v>
      </c>
      <c r="K54" s="10">
        <f>$C$6</f>
        <v>0</v>
      </c>
      <c r="L54" s="4"/>
      <c r="M54" s="3" t="s">
        <v>7</v>
      </c>
      <c r="N54" s="4" t="s">
        <v>2</v>
      </c>
      <c r="O54" s="10">
        <f>$C$6</f>
        <v>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14" t="s">
        <v>8</v>
      </c>
      <c r="B55" s="12" t="s">
        <v>2</v>
      </c>
      <c r="C55" s="13" t="str">
        <f>C47</f>
        <v>IN 06 04</v>
      </c>
      <c r="D55" s="4"/>
      <c r="E55" s="14" t="s">
        <v>8</v>
      </c>
      <c r="F55" s="12" t="s">
        <v>2</v>
      </c>
      <c r="G55" s="13" t="str">
        <f>C55</f>
        <v>IN 06 04</v>
      </c>
      <c r="H55" s="4"/>
      <c r="I55" s="14" t="s">
        <v>8</v>
      </c>
      <c r="J55" s="12" t="s">
        <v>2</v>
      </c>
      <c r="K55" s="13" t="str">
        <f>G55</f>
        <v>IN 06 04</v>
      </c>
      <c r="L55" s="4"/>
      <c r="M55" s="14" t="s">
        <v>8</v>
      </c>
      <c r="N55" s="12" t="s">
        <v>2</v>
      </c>
      <c r="O55" s="13" t="str">
        <f>K55</f>
        <v>IN 06 04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>
      <c r="A56" s="15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1" t="str">
        <f>$A$1</f>
        <v>226</v>
      </c>
      <c r="B57" s="115" t="s">
        <v>0</v>
      </c>
      <c r="C57" s="116"/>
      <c r="D57" s="2"/>
      <c r="E57" s="1" t="str">
        <f>$A$1</f>
        <v>226</v>
      </c>
      <c r="F57" s="115" t="s">
        <v>0</v>
      </c>
      <c r="G57" s="116"/>
      <c r="H57" s="2"/>
      <c r="I57" s="1" t="str">
        <f>$A$1</f>
        <v>226</v>
      </c>
      <c r="J57" s="115" t="s">
        <v>0</v>
      </c>
      <c r="K57" s="116"/>
      <c r="L57" s="2"/>
      <c r="M57" s="1" t="str">
        <f>$A$1</f>
        <v>226</v>
      </c>
      <c r="N57" s="115" t="s">
        <v>0</v>
      </c>
      <c r="O57" s="11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 t="s">
        <v>1</v>
      </c>
      <c r="B58" s="4" t="s">
        <v>2</v>
      </c>
      <c r="C58" s="5">
        <f>$C$2</f>
        <v>955985</v>
      </c>
      <c r="D58" s="4"/>
      <c r="E58" s="3" t="s">
        <v>1</v>
      </c>
      <c r="F58" s="4" t="s">
        <v>2</v>
      </c>
      <c r="G58" s="5">
        <f>$C$2</f>
        <v>955985</v>
      </c>
      <c r="H58" s="4"/>
      <c r="I58" s="3" t="s">
        <v>1</v>
      </c>
      <c r="J58" s="4" t="s">
        <v>2</v>
      </c>
      <c r="K58" s="5">
        <f>$C$2</f>
        <v>955985</v>
      </c>
      <c r="L58" s="4"/>
      <c r="M58" s="3" t="s">
        <v>1</v>
      </c>
      <c r="N58" s="4" t="s">
        <v>2</v>
      </c>
      <c r="O58" s="5">
        <f>$C$2</f>
        <v>955985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6" t="s">
        <v>3</v>
      </c>
      <c r="B59" s="4" t="s">
        <v>2</v>
      </c>
      <c r="C59" s="7" t="str">
        <f>$C$3</f>
        <v>DIN CONNECTOR FITTING</v>
      </c>
      <c r="D59" s="4"/>
      <c r="E59" s="6" t="s">
        <v>3</v>
      </c>
      <c r="F59" s="4" t="s">
        <v>2</v>
      </c>
      <c r="G59" s="7" t="str">
        <f>$C$3</f>
        <v>DIN CONNECTOR FITTING</v>
      </c>
      <c r="H59" s="4"/>
      <c r="I59" s="6" t="s">
        <v>3</v>
      </c>
      <c r="J59" s="4" t="s">
        <v>2</v>
      </c>
      <c r="K59" s="7" t="str">
        <f>$C$3</f>
        <v>DIN CONNECTOR FITTING</v>
      </c>
      <c r="L59" s="4"/>
      <c r="M59" s="6" t="s">
        <v>3</v>
      </c>
      <c r="N59" s="4" t="s">
        <v>2</v>
      </c>
      <c r="O59" s="7" t="str">
        <f>$C$3</f>
        <v>DIN CONNECTOR FITTING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6" t="s">
        <v>4</v>
      </c>
      <c r="B60" s="4" t="s">
        <v>2</v>
      </c>
      <c r="C60" s="8">
        <f>$C$4</f>
        <v>200</v>
      </c>
      <c r="D60" s="4"/>
      <c r="E60" s="6" t="s">
        <v>4</v>
      </c>
      <c r="F60" s="4" t="s">
        <v>2</v>
      </c>
      <c r="G60" s="8">
        <f>$C$4</f>
        <v>200</v>
      </c>
      <c r="H60" s="4"/>
      <c r="I60" s="6" t="s">
        <v>4</v>
      </c>
      <c r="J60" s="4" t="s">
        <v>2</v>
      </c>
      <c r="K60" s="8">
        <f>$C$4</f>
        <v>200</v>
      </c>
      <c r="L60" s="4"/>
      <c r="M60" s="6" t="s">
        <v>4</v>
      </c>
      <c r="N60" s="4" t="s">
        <v>2</v>
      </c>
      <c r="O60" s="8">
        <f>$C$4</f>
        <v>200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6" t="s">
        <v>5</v>
      </c>
      <c r="B61" s="4" t="s">
        <v>2</v>
      </c>
      <c r="C61" s="9" t="s">
        <v>6</v>
      </c>
      <c r="D61" s="4"/>
      <c r="E61" s="6" t="s">
        <v>5</v>
      </c>
      <c r="F61" s="4" t="s">
        <v>2</v>
      </c>
      <c r="G61" s="9" t="s">
        <v>6</v>
      </c>
      <c r="H61" s="4"/>
      <c r="I61" s="6" t="s">
        <v>5</v>
      </c>
      <c r="J61" s="4" t="s">
        <v>2</v>
      </c>
      <c r="K61" s="9" t="s">
        <v>6</v>
      </c>
      <c r="L61" s="4"/>
      <c r="M61" s="6" t="s">
        <v>5</v>
      </c>
      <c r="N61" s="4" t="s">
        <v>2</v>
      </c>
      <c r="O61" s="9" t="s">
        <v>6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3" t="s">
        <v>7</v>
      </c>
      <c r="B62" s="4" t="s">
        <v>2</v>
      </c>
      <c r="C62" s="10">
        <f>$C$6</f>
        <v>0</v>
      </c>
      <c r="D62" s="4"/>
      <c r="E62" s="3" t="s">
        <v>7</v>
      </c>
      <c r="F62" s="4" t="s">
        <v>2</v>
      </c>
      <c r="G62" s="10">
        <f>$C$6</f>
        <v>0</v>
      </c>
      <c r="H62" s="4"/>
      <c r="I62" s="3" t="s">
        <v>7</v>
      </c>
      <c r="J62" s="4" t="s">
        <v>2</v>
      </c>
      <c r="K62" s="10">
        <f>$C$6</f>
        <v>0</v>
      </c>
      <c r="L62" s="4"/>
      <c r="M62" s="3" t="s">
        <v>7</v>
      </c>
      <c r="N62" s="4" t="s">
        <v>2</v>
      </c>
      <c r="O62" s="10">
        <f>$C$6</f>
        <v>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14" t="s">
        <v>8</v>
      </c>
      <c r="B63" s="12" t="s">
        <v>2</v>
      </c>
      <c r="C63" s="13" t="str">
        <f>C55</f>
        <v>IN 06 04</v>
      </c>
      <c r="D63" s="4"/>
      <c r="E63" s="14" t="s">
        <v>8</v>
      </c>
      <c r="F63" s="12" t="s">
        <v>2</v>
      </c>
      <c r="G63" s="13" t="str">
        <f>C63</f>
        <v>IN 06 04</v>
      </c>
      <c r="H63" s="4"/>
      <c r="I63" s="14" t="s">
        <v>8</v>
      </c>
      <c r="J63" s="12" t="s">
        <v>2</v>
      </c>
      <c r="K63" s="13" t="str">
        <f>G63</f>
        <v>IN 06 04</v>
      </c>
      <c r="L63" s="4"/>
      <c r="M63" s="14" t="s">
        <v>8</v>
      </c>
      <c r="N63" s="12" t="s">
        <v>2</v>
      </c>
      <c r="O63" s="13" t="str">
        <f>K63</f>
        <v>IN 06 04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>
      <c r="A64" s="1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1" t="str">
        <f>$A$1</f>
        <v>226</v>
      </c>
      <c r="B65" s="115" t="s">
        <v>0</v>
      </c>
      <c r="C65" s="116"/>
      <c r="D65" s="2"/>
      <c r="E65" s="1" t="str">
        <f>$A$1</f>
        <v>226</v>
      </c>
      <c r="F65" s="115" t="s">
        <v>0</v>
      </c>
      <c r="G65" s="116"/>
      <c r="H65" s="2"/>
      <c r="I65" s="1" t="str">
        <f>$A$1</f>
        <v>226</v>
      </c>
      <c r="J65" s="115" t="s">
        <v>0</v>
      </c>
      <c r="K65" s="116"/>
      <c r="L65" s="2"/>
      <c r="M65" s="1" t="str">
        <f>$A$1</f>
        <v>226</v>
      </c>
      <c r="N65" s="115" t="s">
        <v>0</v>
      </c>
      <c r="O65" s="11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 t="s">
        <v>1</v>
      </c>
      <c r="B66" s="4" t="s">
        <v>2</v>
      </c>
      <c r="C66" s="5">
        <f>$C$2</f>
        <v>955985</v>
      </c>
      <c r="D66" s="4"/>
      <c r="E66" s="3" t="s">
        <v>1</v>
      </c>
      <c r="F66" s="4" t="s">
        <v>2</v>
      </c>
      <c r="G66" s="5">
        <f>$C$2</f>
        <v>955985</v>
      </c>
      <c r="H66" s="4"/>
      <c r="I66" s="3" t="s">
        <v>1</v>
      </c>
      <c r="J66" s="4" t="s">
        <v>2</v>
      </c>
      <c r="K66" s="5">
        <f>$C$2</f>
        <v>955985</v>
      </c>
      <c r="L66" s="4"/>
      <c r="M66" s="3" t="s">
        <v>1</v>
      </c>
      <c r="N66" s="4" t="s">
        <v>2</v>
      </c>
      <c r="O66" s="5">
        <f>$C$2</f>
        <v>955985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6" t="s">
        <v>3</v>
      </c>
      <c r="B67" s="4" t="s">
        <v>2</v>
      </c>
      <c r="C67" s="7" t="str">
        <f>$C$3</f>
        <v>DIN CONNECTOR FITTING</v>
      </c>
      <c r="D67" s="4"/>
      <c r="E67" s="6" t="s">
        <v>3</v>
      </c>
      <c r="F67" s="4" t="s">
        <v>2</v>
      </c>
      <c r="G67" s="7" t="str">
        <f>$C$3</f>
        <v>DIN CONNECTOR FITTING</v>
      </c>
      <c r="H67" s="4"/>
      <c r="I67" s="6" t="s">
        <v>3</v>
      </c>
      <c r="J67" s="4" t="s">
        <v>2</v>
      </c>
      <c r="K67" s="7" t="str">
        <f>$C$3</f>
        <v>DIN CONNECTOR FITTING</v>
      </c>
      <c r="L67" s="4"/>
      <c r="M67" s="6" t="s">
        <v>3</v>
      </c>
      <c r="N67" s="4" t="s">
        <v>2</v>
      </c>
      <c r="O67" s="7" t="str">
        <f>$C$3</f>
        <v>DIN CONNECTOR FITTING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6" t="s">
        <v>4</v>
      </c>
      <c r="B68" s="4" t="s">
        <v>2</v>
      </c>
      <c r="C68" s="8">
        <f>$C$4</f>
        <v>200</v>
      </c>
      <c r="D68" s="4"/>
      <c r="E68" s="6" t="s">
        <v>4</v>
      </c>
      <c r="F68" s="4" t="s">
        <v>2</v>
      </c>
      <c r="G68" s="8">
        <f>$C$4</f>
        <v>200</v>
      </c>
      <c r="H68" s="4"/>
      <c r="I68" s="6" t="s">
        <v>4</v>
      </c>
      <c r="J68" s="4" t="s">
        <v>2</v>
      </c>
      <c r="K68" s="8">
        <f>$C$4</f>
        <v>200</v>
      </c>
      <c r="L68" s="4"/>
      <c r="M68" s="6" t="s">
        <v>4</v>
      </c>
      <c r="N68" s="4" t="s">
        <v>2</v>
      </c>
      <c r="O68" s="8">
        <f>$C$4</f>
        <v>200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6" t="s">
        <v>5</v>
      </c>
      <c r="B69" s="4" t="s">
        <v>2</v>
      </c>
      <c r="C69" s="9" t="s">
        <v>6</v>
      </c>
      <c r="D69" s="4"/>
      <c r="E69" s="6" t="s">
        <v>5</v>
      </c>
      <c r="F69" s="4" t="s">
        <v>2</v>
      </c>
      <c r="G69" s="9" t="s">
        <v>6</v>
      </c>
      <c r="H69" s="4"/>
      <c r="I69" s="6" t="s">
        <v>5</v>
      </c>
      <c r="J69" s="4" t="s">
        <v>2</v>
      </c>
      <c r="K69" s="9" t="s">
        <v>6</v>
      </c>
      <c r="L69" s="4"/>
      <c r="M69" s="6" t="s">
        <v>5</v>
      </c>
      <c r="N69" s="4" t="s">
        <v>2</v>
      </c>
      <c r="O69" s="9" t="s">
        <v>6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3" t="s">
        <v>7</v>
      </c>
      <c r="B70" s="4" t="s">
        <v>2</v>
      </c>
      <c r="C70" s="10">
        <f>$C$6</f>
        <v>0</v>
      </c>
      <c r="D70" s="4"/>
      <c r="E70" s="3" t="s">
        <v>7</v>
      </c>
      <c r="F70" s="4" t="s">
        <v>2</v>
      </c>
      <c r="G70" s="10">
        <f>$C$6</f>
        <v>0</v>
      </c>
      <c r="H70" s="4"/>
      <c r="I70" s="3" t="s">
        <v>7</v>
      </c>
      <c r="J70" s="4" t="s">
        <v>2</v>
      </c>
      <c r="K70" s="10">
        <f>$C$6</f>
        <v>0</v>
      </c>
      <c r="L70" s="4"/>
      <c r="M70" s="3" t="s">
        <v>7</v>
      </c>
      <c r="N70" s="4" t="s">
        <v>2</v>
      </c>
      <c r="O70" s="10">
        <f>$C$6</f>
        <v>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14" t="s">
        <v>8</v>
      </c>
      <c r="B71" s="12" t="s">
        <v>2</v>
      </c>
      <c r="C71" s="13" t="str">
        <f>C63</f>
        <v>IN 06 04</v>
      </c>
      <c r="D71" s="4"/>
      <c r="E71" s="14" t="s">
        <v>8</v>
      </c>
      <c r="F71" s="12" t="s">
        <v>2</v>
      </c>
      <c r="G71" s="13" t="str">
        <f>C71</f>
        <v>IN 06 04</v>
      </c>
      <c r="H71" s="4"/>
      <c r="I71" s="14" t="s">
        <v>8</v>
      </c>
      <c r="J71" s="12" t="s">
        <v>2</v>
      </c>
      <c r="K71" s="13" t="str">
        <f>G71</f>
        <v>IN 06 04</v>
      </c>
      <c r="L71" s="4"/>
      <c r="M71" s="14" t="s">
        <v>8</v>
      </c>
      <c r="N71" s="12" t="s">
        <v>2</v>
      </c>
      <c r="O71" s="13" t="str">
        <f>K71</f>
        <v>IN 06 04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>
      <c r="A72" s="15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1" t="str">
        <f>$A$1</f>
        <v>226</v>
      </c>
      <c r="B73" s="115" t="s">
        <v>0</v>
      </c>
      <c r="C73" s="116"/>
      <c r="D73" s="2"/>
      <c r="E73" s="1" t="str">
        <f>$A$1</f>
        <v>226</v>
      </c>
      <c r="F73" s="115" t="s">
        <v>0</v>
      </c>
      <c r="G73" s="116"/>
      <c r="H73" s="2"/>
      <c r="I73" s="1" t="str">
        <f>$A$1</f>
        <v>226</v>
      </c>
      <c r="J73" s="115" t="s">
        <v>0</v>
      </c>
      <c r="K73" s="116"/>
      <c r="L73" s="2"/>
      <c r="M73" s="1" t="str">
        <f>$A$1</f>
        <v>226</v>
      </c>
      <c r="N73" s="115" t="s">
        <v>0</v>
      </c>
      <c r="O73" s="11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3" t="s">
        <v>1</v>
      </c>
      <c r="B74" s="4" t="s">
        <v>2</v>
      </c>
      <c r="C74" s="5">
        <f>$C$2</f>
        <v>955985</v>
      </c>
      <c r="D74" s="4"/>
      <c r="E74" s="3" t="s">
        <v>1</v>
      </c>
      <c r="F74" s="4" t="s">
        <v>2</v>
      </c>
      <c r="G74" s="5">
        <f>$C$2</f>
        <v>955985</v>
      </c>
      <c r="H74" s="4"/>
      <c r="I74" s="3" t="s">
        <v>1</v>
      </c>
      <c r="J74" s="4" t="s">
        <v>2</v>
      </c>
      <c r="K74" s="5">
        <f>$C$2</f>
        <v>955985</v>
      </c>
      <c r="L74" s="4"/>
      <c r="M74" s="3" t="s">
        <v>1</v>
      </c>
      <c r="N74" s="4" t="s">
        <v>2</v>
      </c>
      <c r="O74" s="5">
        <f>$C$2</f>
        <v>955985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6" t="s">
        <v>3</v>
      </c>
      <c r="B75" s="4" t="s">
        <v>2</v>
      </c>
      <c r="C75" s="7" t="str">
        <f>$C$3</f>
        <v>DIN CONNECTOR FITTING</v>
      </c>
      <c r="D75" s="4"/>
      <c r="E75" s="6" t="s">
        <v>3</v>
      </c>
      <c r="F75" s="4" t="s">
        <v>2</v>
      </c>
      <c r="G75" s="7" t="str">
        <f>$C$3</f>
        <v>DIN CONNECTOR FITTING</v>
      </c>
      <c r="H75" s="4"/>
      <c r="I75" s="6" t="s">
        <v>3</v>
      </c>
      <c r="J75" s="4" t="s">
        <v>2</v>
      </c>
      <c r="K75" s="7" t="str">
        <f>$C$3</f>
        <v>DIN CONNECTOR FITTING</v>
      </c>
      <c r="L75" s="4"/>
      <c r="M75" s="6" t="s">
        <v>3</v>
      </c>
      <c r="N75" s="4" t="s">
        <v>2</v>
      </c>
      <c r="O75" s="7" t="str">
        <f>$C$3</f>
        <v>DIN CONNECTOR FITTING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6" t="s">
        <v>4</v>
      </c>
      <c r="B76" s="4" t="s">
        <v>2</v>
      </c>
      <c r="C76" s="8">
        <f>$C$4</f>
        <v>200</v>
      </c>
      <c r="D76" s="4"/>
      <c r="E76" s="6" t="s">
        <v>4</v>
      </c>
      <c r="F76" s="4" t="s">
        <v>2</v>
      </c>
      <c r="G76" s="8">
        <f>$C$4</f>
        <v>200</v>
      </c>
      <c r="H76" s="4"/>
      <c r="I76" s="6" t="s">
        <v>4</v>
      </c>
      <c r="J76" s="4" t="s">
        <v>2</v>
      </c>
      <c r="K76" s="8">
        <f>$C$4</f>
        <v>200</v>
      </c>
      <c r="L76" s="4"/>
      <c r="M76" s="6" t="s">
        <v>4</v>
      </c>
      <c r="N76" s="4" t="s">
        <v>2</v>
      </c>
      <c r="O76" s="8">
        <f>$C$4</f>
        <v>200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6" t="s">
        <v>5</v>
      </c>
      <c r="B77" s="4" t="s">
        <v>2</v>
      </c>
      <c r="C77" s="9" t="s">
        <v>6</v>
      </c>
      <c r="D77" s="4"/>
      <c r="E77" s="6" t="s">
        <v>5</v>
      </c>
      <c r="F77" s="4" t="s">
        <v>2</v>
      </c>
      <c r="G77" s="9" t="s">
        <v>6</v>
      </c>
      <c r="H77" s="4"/>
      <c r="I77" s="6" t="s">
        <v>5</v>
      </c>
      <c r="J77" s="4" t="s">
        <v>2</v>
      </c>
      <c r="K77" s="9" t="s">
        <v>6</v>
      </c>
      <c r="L77" s="4"/>
      <c r="M77" s="6" t="s">
        <v>5</v>
      </c>
      <c r="N77" s="4" t="s">
        <v>2</v>
      </c>
      <c r="O77" s="9" t="s">
        <v>6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3" t="s">
        <v>7</v>
      </c>
      <c r="B78" s="4" t="s">
        <v>2</v>
      </c>
      <c r="C78" s="10">
        <f>$C$6</f>
        <v>0</v>
      </c>
      <c r="D78" s="4"/>
      <c r="E78" s="3" t="s">
        <v>7</v>
      </c>
      <c r="F78" s="4" t="s">
        <v>2</v>
      </c>
      <c r="G78" s="10">
        <f>$C$6</f>
        <v>0</v>
      </c>
      <c r="H78" s="4"/>
      <c r="I78" s="3" t="s">
        <v>7</v>
      </c>
      <c r="J78" s="4" t="s">
        <v>2</v>
      </c>
      <c r="K78" s="10">
        <f>$C$6</f>
        <v>0</v>
      </c>
      <c r="L78" s="4"/>
      <c r="M78" s="3" t="s">
        <v>7</v>
      </c>
      <c r="N78" s="4" t="s">
        <v>2</v>
      </c>
      <c r="O78" s="10">
        <f>$C$6</f>
        <v>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14" t="s">
        <v>8</v>
      </c>
      <c r="B79" s="12" t="s">
        <v>2</v>
      </c>
      <c r="C79" s="13" t="str">
        <f>C71</f>
        <v>IN 06 04</v>
      </c>
      <c r="D79" s="4"/>
      <c r="E79" s="14" t="s">
        <v>8</v>
      </c>
      <c r="F79" s="12" t="s">
        <v>2</v>
      </c>
      <c r="G79" s="13" t="str">
        <f>C79</f>
        <v>IN 06 04</v>
      </c>
      <c r="H79" s="4"/>
      <c r="I79" s="14" t="s">
        <v>8</v>
      </c>
      <c r="J79" s="12" t="s">
        <v>2</v>
      </c>
      <c r="K79" s="13" t="str">
        <f>G79</f>
        <v>IN 06 04</v>
      </c>
      <c r="L79" s="4"/>
      <c r="M79" s="14" t="s">
        <v>8</v>
      </c>
      <c r="N79" s="12" t="s">
        <v>2</v>
      </c>
      <c r="O79" s="13" t="str">
        <f>K79</f>
        <v>IN 06 04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>
      <c r="A80" s="15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1" t="str">
        <f>$A$1</f>
        <v>226</v>
      </c>
      <c r="B81" s="115" t="s">
        <v>0</v>
      </c>
      <c r="C81" s="116"/>
      <c r="D81" s="2"/>
      <c r="E81" s="1" t="str">
        <f>$A$1</f>
        <v>226</v>
      </c>
      <c r="F81" s="115" t="s">
        <v>0</v>
      </c>
      <c r="G81" s="116"/>
      <c r="H81" s="2"/>
      <c r="I81" s="1" t="str">
        <f>$A$1</f>
        <v>226</v>
      </c>
      <c r="J81" s="115" t="s">
        <v>0</v>
      </c>
      <c r="K81" s="116"/>
      <c r="L81" s="2"/>
      <c r="M81" s="1" t="str">
        <f>$A$1</f>
        <v>226</v>
      </c>
      <c r="N81" s="115" t="s">
        <v>0</v>
      </c>
      <c r="O81" s="11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3" t="s">
        <v>1</v>
      </c>
      <c r="B82" s="4" t="s">
        <v>2</v>
      </c>
      <c r="C82" s="5">
        <f>$C$2</f>
        <v>955985</v>
      </c>
      <c r="D82" s="4"/>
      <c r="E82" s="3" t="s">
        <v>1</v>
      </c>
      <c r="F82" s="4" t="s">
        <v>2</v>
      </c>
      <c r="G82" s="5">
        <f>$C$2</f>
        <v>955985</v>
      </c>
      <c r="H82" s="4"/>
      <c r="I82" s="3" t="s">
        <v>1</v>
      </c>
      <c r="J82" s="4" t="s">
        <v>2</v>
      </c>
      <c r="K82" s="5">
        <f>$C$2</f>
        <v>955985</v>
      </c>
      <c r="L82" s="4"/>
      <c r="M82" s="3" t="s">
        <v>1</v>
      </c>
      <c r="N82" s="4" t="s">
        <v>2</v>
      </c>
      <c r="O82" s="5">
        <f>$C$2</f>
        <v>955985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6" t="s">
        <v>3</v>
      </c>
      <c r="B83" s="4" t="s">
        <v>2</v>
      </c>
      <c r="C83" s="7" t="str">
        <f>$C$3</f>
        <v>DIN CONNECTOR FITTING</v>
      </c>
      <c r="D83" s="4"/>
      <c r="E83" s="6" t="s">
        <v>3</v>
      </c>
      <c r="F83" s="4" t="s">
        <v>2</v>
      </c>
      <c r="G83" s="7" t="str">
        <f>$C$3</f>
        <v>DIN CONNECTOR FITTING</v>
      </c>
      <c r="H83" s="4"/>
      <c r="I83" s="6" t="s">
        <v>3</v>
      </c>
      <c r="J83" s="4" t="s">
        <v>2</v>
      </c>
      <c r="K83" s="7" t="str">
        <f>$C$3</f>
        <v>DIN CONNECTOR FITTING</v>
      </c>
      <c r="L83" s="4"/>
      <c r="M83" s="6" t="s">
        <v>3</v>
      </c>
      <c r="N83" s="4" t="s">
        <v>2</v>
      </c>
      <c r="O83" s="7" t="str">
        <f>$C$3</f>
        <v>DIN CONNECTOR FITTING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6" t="s">
        <v>4</v>
      </c>
      <c r="B84" s="4" t="s">
        <v>2</v>
      </c>
      <c r="C84" s="8">
        <f>$C$4</f>
        <v>200</v>
      </c>
      <c r="D84" s="4"/>
      <c r="E84" s="6" t="s">
        <v>4</v>
      </c>
      <c r="F84" s="4" t="s">
        <v>2</v>
      </c>
      <c r="G84" s="8">
        <f>$C$4</f>
        <v>200</v>
      </c>
      <c r="H84" s="4"/>
      <c r="I84" s="6" t="s">
        <v>4</v>
      </c>
      <c r="J84" s="4" t="s">
        <v>2</v>
      </c>
      <c r="K84" s="8">
        <f>$C$4</f>
        <v>200</v>
      </c>
      <c r="L84" s="4"/>
      <c r="M84" s="6" t="s">
        <v>4</v>
      </c>
      <c r="N84" s="4" t="s">
        <v>2</v>
      </c>
      <c r="O84" s="8">
        <f>$C$4</f>
        <v>200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6" t="s">
        <v>5</v>
      </c>
      <c r="B85" s="4" t="s">
        <v>2</v>
      </c>
      <c r="C85" s="9" t="s">
        <v>6</v>
      </c>
      <c r="D85" s="4"/>
      <c r="E85" s="6" t="s">
        <v>5</v>
      </c>
      <c r="F85" s="4" t="s">
        <v>2</v>
      </c>
      <c r="G85" s="9" t="s">
        <v>6</v>
      </c>
      <c r="H85" s="4"/>
      <c r="I85" s="6" t="s">
        <v>5</v>
      </c>
      <c r="J85" s="4" t="s">
        <v>2</v>
      </c>
      <c r="K85" s="9" t="s">
        <v>6</v>
      </c>
      <c r="L85" s="4"/>
      <c r="M85" s="6" t="s">
        <v>5</v>
      </c>
      <c r="N85" s="4" t="s">
        <v>2</v>
      </c>
      <c r="O85" s="9" t="s">
        <v>6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3" t="s">
        <v>7</v>
      </c>
      <c r="B86" s="4" t="s">
        <v>2</v>
      </c>
      <c r="C86" s="10">
        <f>$C$6</f>
        <v>0</v>
      </c>
      <c r="D86" s="4"/>
      <c r="E86" s="3" t="s">
        <v>7</v>
      </c>
      <c r="F86" s="4" t="s">
        <v>2</v>
      </c>
      <c r="G86" s="10">
        <f>$C$6</f>
        <v>0</v>
      </c>
      <c r="H86" s="4"/>
      <c r="I86" s="3" t="s">
        <v>7</v>
      </c>
      <c r="J86" s="4" t="s">
        <v>2</v>
      </c>
      <c r="K86" s="10">
        <f>$C$6</f>
        <v>0</v>
      </c>
      <c r="L86" s="4"/>
      <c r="M86" s="3" t="s">
        <v>7</v>
      </c>
      <c r="N86" s="4" t="s">
        <v>2</v>
      </c>
      <c r="O86" s="10">
        <f>$C$6</f>
        <v>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14" t="s">
        <v>8</v>
      </c>
      <c r="B87" s="12" t="s">
        <v>2</v>
      </c>
      <c r="C87" s="13" t="str">
        <f>C79</f>
        <v>IN 06 04</v>
      </c>
      <c r="D87" s="4"/>
      <c r="E87" s="14" t="s">
        <v>8</v>
      </c>
      <c r="F87" s="12" t="s">
        <v>2</v>
      </c>
      <c r="G87" s="13" t="str">
        <f>C87</f>
        <v>IN 06 04</v>
      </c>
      <c r="H87" s="4"/>
      <c r="I87" s="14" t="s">
        <v>8</v>
      </c>
      <c r="J87" s="12" t="s">
        <v>2</v>
      </c>
      <c r="K87" s="13" t="str">
        <f>G87</f>
        <v>IN 06 04</v>
      </c>
      <c r="L87" s="4"/>
      <c r="M87" s="14" t="s">
        <v>8</v>
      </c>
      <c r="N87" s="12" t="s">
        <v>2</v>
      </c>
      <c r="O87" s="13" t="str">
        <f>K87</f>
        <v>IN 06 04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7.5" customHeight="1">
      <c r="A88" s="1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15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15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1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15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15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1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15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15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1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15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15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1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15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15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1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15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15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1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1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1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1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15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15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1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1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15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1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15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1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1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15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15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1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15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15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1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1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15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1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15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1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1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1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1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1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15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15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1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15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15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1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15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15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1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15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1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1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15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15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1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15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15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1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1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15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1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15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15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1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15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15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1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15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15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1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15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15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1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15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15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1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15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15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1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15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15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1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15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15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1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15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15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1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15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15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1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15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15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1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15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15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1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15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15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1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15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15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1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15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15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1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15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15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15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15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15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15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15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15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15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15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15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15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15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15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15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15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15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15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15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15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15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15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15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15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15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15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15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15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15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15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15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15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15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15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15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15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15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15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15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15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15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15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15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15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15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15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15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15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15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15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15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15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15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15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15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15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15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15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15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15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15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15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15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15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15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15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15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15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15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15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15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15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15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15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15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15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15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15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15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15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15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15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15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15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15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15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15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15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15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15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15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15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15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15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15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15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15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15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15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15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15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15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15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15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15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15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15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15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15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15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15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15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15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15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15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15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15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15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15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15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15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15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15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15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15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15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15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15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15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15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15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15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15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15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15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15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15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15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15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15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15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15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15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15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15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15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15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15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15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15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15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15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15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15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15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15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15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15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15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15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15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15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15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15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15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15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15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15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15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15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15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15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15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15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15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15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15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15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15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15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15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15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15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15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15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15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15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15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15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1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1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1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15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15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15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15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15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15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15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15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15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15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15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15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15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15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15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15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15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15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1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1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1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1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1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1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1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15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15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15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15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15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15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15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15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15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15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15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15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15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15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15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15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15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15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15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15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15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15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15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15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15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15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15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15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15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15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15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15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15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15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15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15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15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15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15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15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15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15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15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15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15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15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15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15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15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15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15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15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15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15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15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15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15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15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15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15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15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15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15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15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15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15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15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15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15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15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15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15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15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15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15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15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15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15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15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15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15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15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15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15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15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15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15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15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15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15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15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15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15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15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15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15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15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15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15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15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15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15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15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15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15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15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15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15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15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15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15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15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15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15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15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15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15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15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15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15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15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15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15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15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15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15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15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15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15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15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15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15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15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15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15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15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15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15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15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15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15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15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15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15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15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15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15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15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15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15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15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15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15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15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15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15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15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15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15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15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15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15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15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15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15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15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15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15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15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15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15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15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15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15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15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15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15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15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15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15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15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15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15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15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15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15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15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15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15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15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15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15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15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15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15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15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15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15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15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15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15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15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15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15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15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15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15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15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15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15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15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15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15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15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15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15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15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15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15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15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15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15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15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15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15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15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15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15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15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15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15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15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15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15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15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15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15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15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15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15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15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15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15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15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15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15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15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15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15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15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15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15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15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15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15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15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15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15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15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15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15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15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15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15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15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15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15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15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15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15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15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15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15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15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15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15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15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15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15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15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15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15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15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15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15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15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15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15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15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15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15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15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15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15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15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15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15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15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15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15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15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15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15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15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15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15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15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15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15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15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15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15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15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15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15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15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15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15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15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15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15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15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15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15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15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15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15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15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15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15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15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15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15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15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15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15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15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15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15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15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15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1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1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1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1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1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1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1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1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1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1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1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1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1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1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1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1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1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1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1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1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1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1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1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1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1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1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1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1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1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1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1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1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1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1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1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1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1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1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1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1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1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1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1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1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1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1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1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1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1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1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1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1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1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1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1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1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1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1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1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1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1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1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1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1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1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1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1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1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1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1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1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1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1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1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1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1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1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1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1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1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1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1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1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1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1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1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1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1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1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1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1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1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1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1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1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1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1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1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1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1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1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1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1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1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1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1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1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1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1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1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1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1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1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1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1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1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1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1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1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1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1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1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1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1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1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1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1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1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1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1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1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1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1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1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1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1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1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1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1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1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1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1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1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1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1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1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1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1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1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1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1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1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1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1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1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1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1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1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1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1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1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1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1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1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1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1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1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1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1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1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1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1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1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1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1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1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1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1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1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1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1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1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1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1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1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1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1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1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1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1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1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1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1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1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1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1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1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1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1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1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1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1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1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1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1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1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1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1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1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1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1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1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1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1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1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1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1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1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1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1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1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1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1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1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1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1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1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1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1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1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1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1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1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1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1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1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1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1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1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1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1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1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1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4">
    <mergeCell ref="B65:C65"/>
    <mergeCell ref="F65:G65"/>
    <mergeCell ref="J65:K65"/>
    <mergeCell ref="N65:O65"/>
    <mergeCell ref="F73:G73"/>
    <mergeCell ref="J73:K73"/>
    <mergeCell ref="N73:O73"/>
    <mergeCell ref="B73:C73"/>
    <mergeCell ref="B81:C81"/>
    <mergeCell ref="F81:G81"/>
    <mergeCell ref="J81:K81"/>
    <mergeCell ref="N81:O8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33:C33"/>
    <mergeCell ref="F33:G33"/>
    <mergeCell ref="J33:K33"/>
    <mergeCell ref="N33:O33"/>
    <mergeCell ref="F41:G41"/>
    <mergeCell ref="J41:K41"/>
    <mergeCell ref="N41:O41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1:C1"/>
    <mergeCell ref="F1:G1"/>
    <mergeCell ref="J1:K1"/>
    <mergeCell ref="N1:O1"/>
    <mergeCell ref="F9:G9"/>
    <mergeCell ref="J9:K9"/>
    <mergeCell ref="N9:O9"/>
  </mergeCells>
  <printOptions horizontalCentered="1" verticalCentered="1"/>
  <pageMargins left="0" right="0" top="0" bottom="0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00"/>
  <sheetViews>
    <sheetView workbookViewId="0"/>
  </sheetViews>
  <sheetFormatPr defaultColWidth="14.42578125" defaultRowHeight="15" customHeight="1"/>
  <cols>
    <col min="1" max="1" width="9.42578125" customWidth="1"/>
    <col min="2" max="2" width="1.28515625" customWidth="1"/>
    <col min="3" max="3" width="32.7109375" customWidth="1"/>
    <col min="4" max="4" width="2.7109375" customWidth="1"/>
    <col min="5" max="5" width="9.42578125" customWidth="1"/>
    <col min="6" max="6" width="1.28515625" customWidth="1"/>
    <col min="7" max="7" width="32.7109375" customWidth="1"/>
    <col min="8" max="8" width="2.7109375" customWidth="1"/>
    <col min="9" max="9" width="9.42578125" customWidth="1"/>
    <col min="10" max="10" width="1.28515625" customWidth="1"/>
    <col min="11" max="11" width="32.7109375" customWidth="1"/>
    <col min="12" max="12" width="2.7109375" customWidth="1"/>
    <col min="13" max="13" width="9.42578125" customWidth="1"/>
    <col min="14" max="14" width="1.28515625" customWidth="1"/>
    <col min="15" max="15" width="32.7109375" customWidth="1"/>
    <col min="16" max="26" width="9" customWidth="1"/>
  </cols>
  <sheetData>
    <row r="1" spans="1:26" ht="16.5" customHeight="1">
      <c r="A1" s="1" t="str">
        <f t="array" ref="A1">'Label FG'!F3</f>
        <v>226</v>
      </c>
      <c r="B1" s="115" t="s">
        <v>0</v>
      </c>
      <c r="C1" s="116"/>
      <c r="D1" s="2"/>
      <c r="E1" s="1" t="str">
        <f>$A$1</f>
        <v>226</v>
      </c>
      <c r="F1" s="115" t="s">
        <v>0</v>
      </c>
      <c r="G1" s="116"/>
      <c r="H1" s="2"/>
      <c r="I1" s="1" t="str">
        <f>$A$1</f>
        <v>226</v>
      </c>
      <c r="J1" s="115" t="s">
        <v>0</v>
      </c>
      <c r="K1" s="116"/>
      <c r="L1" s="2"/>
      <c r="M1" s="1" t="str">
        <f>$A$1</f>
        <v>226</v>
      </c>
      <c r="N1" s="115" t="s">
        <v>0</v>
      </c>
      <c r="O1" s="116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3" t="s">
        <v>1</v>
      </c>
      <c r="B2" s="4" t="s">
        <v>2</v>
      </c>
      <c r="C2" s="5">
        <f>VLOOKUP(A1,'List Part'!$A$5:$C$374,2,0)</f>
        <v>955985</v>
      </c>
      <c r="D2" s="4"/>
      <c r="E2" s="3" t="s">
        <v>1</v>
      </c>
      <c r="F2" s="4" t="s">
        <v>2</v>
      </c>
      <c r="G2" s="5">
        <f>$C$2</f>
        <v>955985</v>
      </c>
      <c r="H2" s="4"/>
      <c r="I2" s="3" t="s">
        <v>1</v>
      </c>
      <c r="J2" s="4" t="s">
        <v>2</v>
      </c>
      <c r="K2" s="5">
        <f>$C$2</f>
        <v>955985</v>
      </c>
      <c r="L2" s="4"/>
      <c r="M2" s="3" t="s">
        <v>1</v>
      </c>
      <c r="N2" s="4" t="s">
        <v>2</v>
      </c>
      <c r="O2" s="5">
        <f>$C$2</f>
        <v>955985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</v>
      </c>
      <c r="B3" s="4" t="s">
        <v>2</v>
      </c>
      <c r="C3" s="5" t="str">
        <f>VLOOKUP(A1,'List Part'!$A$5:$C$374,3,0)</f>
        <v>DIN CONNECTOR FITTING</v>
      </c>
      <c r="D3" s="4"/>
      <c r="E3" s="6" t="s">
        <v>3</v>
      </c>
      <c r="F3" s="4" t="s">
        <v>2</v>
      </c>
      <c r="G3" s="7" t="str">
        <f>$C$3</f>
        <v>DIN CONNECTOR FITTING</v>
      </c>
      <c r="H3" s="4"/>
      <c r="I3" s="6" t="s">
        <v>3</v>
      </c>
      <c r="J3" s="4" t="s">
        <v>2</v>
      </c>
      <c r="K3" s="7" t="str">
        <f>$C$3</f>
        <v>DIN CONNECTOR FITTING</v>
      </c>
      <c r="L3" s="4"/>
      <c r="M3" s="6" t="s">
        <v>3</v>
      </c>
      <c r="N3" s="4" t="s">
        <v>2</v>
      </c>
      <c r="O3" s="7" t="str">
        <f>$C$3</f>
        <v>DIN CONNECTOR FITTING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4</v>
      </c>
      <c r="B4" s="4" t="s">
        <v>2</v>
      </c>
      <c r="C4" s="8">
        <f>VLOOKUP(A1,'List Part'!$A$5:$P$374,15,0)</f>
        <v>200</v>
      </c>
      <c r="D4" s="4"/>
      <c r="E4" s="6" t="s">
        <v>4</v>
      </c>
      <c r="F4" s="4" t="s">
        <v>2</v>
      </c>
      <c r="G4" s="8">
        <f>$C$4</f>
        <v>200</v>
      </c>
      <c r="H4" s="4"/>
      <c r="I4" s="6" t="s">
        <v>4</v>
      </c>
      <c r="J4" s="4" t="s">
        <v>2</v>
      </c>
      <c r="K4" s="8">
        <f>$C$4</f>
        <v>200</v>
      </c>
      <c r="L4" s="4"/>
      <c r="M4" s="6" t="s">
        <v>4</v>
      </c>
      <c r="N4" s="4" t="s">
        <v>2</v>
      </c>
      <c r="O4" s="8">
        <f>$C$4</f>
        <v>200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3" t="s">
        <v>5</v>
      </c>
      <c r="B5" s="4" t="s">
        <v>2</v>
      </c>
      <c r="C5" s="9" t="s">
        <v>6</v>
      </c>
      <c r="D5" s="4"/>
      <c r="E5" s="6" t="s">
        <v>5</v>
      </c>
      <c r="F5" s="4" t="s">
        <v>2</v>
      </c>
      <c r="G5" s="9" t="s">
        <v>6</v>
      </c>
      <c r="H5" s="4"/>
      <c r="I5" s="6" t="s">
        <v>5</v>
      </c>
      <c r="J5" s="4" t="s">
        <v>2</v>
      </c>
      <c r="K5" s="9" t="s">
        <v>6</v>
      </c>
      <c r="L5" s="4"/>
      <c r="M5" s="6" t="s">
        <v>5</v>
      </c>
      <c r="N5" s="4" t="s">
        <v>2</v>
      </c>
      <c r="O5" s="9" t="s">
        <v>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3" t="s">
        <v>7</v>
      </c>
      <c r="B6" s="4" t="s">
        <v>2</v>
      </c>
      <c r="C6" s="10">
        <f>VLOOKUP(A1,'List Part'!$A$5:$P$374,6,0)</f>
        <v>0</v>
      </c>
      <c r="D6" s="4"/>
      <c r="E6" s="3" t="s">
        <v>7</v>
      </c>
      <c r="F6" s="4" t="s">
        <v>2</v>
      </c>
      <c r="G6" s="10">
        <f>$C$6</f>
        <v>0</v>
      </c>
      <c r="H6" s="4"/>
      <c r="I6" s="3" t="s">
        <v>7</v>
      </c>
      <c r="J6" s="4" t="s">
        <v>2</v>
      </c>
      <c r="K6" s="10">
        <f>$C$6</f>
        <v>0</v>
      </c>
      <c r="L6" s="4"/>
      <c r="M6" s="3" t="s">
        <v>7</v>
      </c>
      <c r="N6" s="4" t="s">
        <v>2</v>
      </c>
      <c r="O6" s="10">
        <f>$C$6</f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11" t="s">
        <v>8</v>
      </c>
      <c r="B7" s="12" t="s">
        <v>2</v>
      </c>
      <c r="C7" s="13" t="s">
        <v>10</v>
      </c>
      <c r="D7" s="4"/>
      <c r="E7" s="14" t="s">
        <v>8</v>
      </c>
      <c r="F7" s="12" t="s">
        <v>2</v>
      </c>
      <c r="G7" s="13" t="str">
        <f>C7</f>
        <v>OK 01 03</v>
      </c>
      <c r="H7" s="4"/>
      <c r="I7" s="14" t="s">
        <v>8</v>
      </c>
      <c r="J7" s="12" t="s">
        <v>2</v>
      </c>
      <c r="K7" s="13" t="str">
        <f>G7</f>
        <v>OK 01 03</v>
      </c>
      <c r="L7" s="4"/>
      <c r="M7" s="14" t="s">
        <v>8</v>
      </c>
      <c r="N7" s="12" t="s">
        <v>2</v>
      </c>
      <c r="O7" s="13" t="str">
        <f>K7</f>
        <v>OK 01 03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>
      <c r="A8" s="15"/>
      <c r="B8" s="4"/>
      <c r="C8" s="1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1" t="str">
        <f>$A$1</f>
        <v>226</v>
      </c>
      <c r="B9" s="115" t="s">
        <v>0</v>
      </c>
      <c r="C9" s="116"/>
      <c r="D9" s="2"/>
      <c r="E9" s="1" t="str">
        <f>$A$1</f>
        <v>226</v>
      </c>
      <c r="F9" s="115" t="s">
        <v>0</v>
      </c>
      <c r="G9" s="116"/>
      <c r="H9" s="2"/>
      <c r="I9" s="1" t="str">
        <f>$A$1</f>
        <v>226</v>
      </c>
      <c r="J9" s="115" t="s">
        <v>0</v>
      </c>
      <c r="K9" s="116"/>
      <c r="L9" s="2"/>
      <c r="M9" s="1" t="str">
        <f>$A$1</f>
        <v>226</v>
      </c>
      <c r="N9" s="115" t="s">
        <v>0</v>
      </c>
      <c r="O9" s="11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 t="s">
        <v>1</v>
      </c>
      <c r="B10" s="4" t="s">
        <v>2</v>
      </c>
      <c r="C10" s="5">
        <f>$C$2</f>
        <v>955985</v>
      </c>
      <c r="D10" s="4"/>
      <c r="E10" s="3" t="s">
        <v>1</v>
      </c>
      <c r="F10" s="4" t="s">
        <v>2</v>
      </c>
      <c r="G10" s="5">
        <f>$C$2</f>
        <v>955985</v>
      </c>
      <c r="H10" s="4"/>
      <c r="I10" s="3" t="s">
        <v>1</v>
      </c>
      <c r="J10" s="4" t="s">
        <v>2</v>
      </c>
      <c r="K10" s="5">
        <f>$C$2</f>
        <v>955985</v>
      </c>
      <c r="L10" s="4"/>
      <c r="M10" s="3" t="s">
        <v>1</v>
      </c>
      <c r="N10" s="4" t="s">
        <v>2</v>
      </c>
      <c r="O10" s="5">
        <f>$C$2</f>
        <v>955985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6" t="s">
        <v>3</v>
      </c>
      <c r="B11" s="4" t="s">
        <v>2</v>
      </c>
      <c r="C11" s="7" t="str">
        <f>$C$3</f>
        <v>DIN CONNECTOR FITTING</v>
      </c>
      <c r="D11" s="4"/>
      <c r="E11" s="6" t="s">
        <v>3</v>
      </c>
      <c r="F11" s="4" t="s">
        <v>2</v>
      </c>
      <c r="G11" s="7" t="str">
        <f>$C$3</f>
        <v>DIN CONNECTOR FITTING</v>
      </c>
      <c r="H11" s="4"/>
      <c r="I11" s="6" t="s">
        <v>3</v>
      </c>
      <c r="J11" s="4" t="s">
        <v>2</v>
      </c>
      <c r="K11" s="7" t="str">
        <f>$C$3</f>
        <v>DIN CONNECTOR FITTING</v>
      </c>
      <c r="L11" s="4"/>
      <c r="M11" s="6" t="s">
        <v>3</v>
      </c>
      <c r="N11" s="4" t="s">
        <v>2</v>
      </c>
      <c r="O11" s="7" t="str">
        <f>$C$3</f>
        <v>DIN CONNECTOR FITTING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6" t="s">
        <v>4</v>
      </c>
      <c r="B12" s="4" t="s">
        <v>2</v>
      </c>
      <c r="C12" s="8">
        <f>$C$4</f>
        <v>200</v>
      </c>
      <c r="D12" s="4"/>
      <c r="E12" s="6" t="s">
        <v>4</v>
      </c>
      <c r="F12" s="4" t="s">
        <v>2</v>
      </c>
      <c r="G12" s="8">
        <f>$C$4</f>
        <v>200</v>
      </c>
      <c r="H12" s="4"/>
      <c r="I12" s="6" t="s">
        <v>4</v>
      </c>
      <c r="J12" s="4" t="s">
        <v>2</v>
      </c>
      <c r="K12" s="8">
        <f>$C$4</f>
        <v>200</v>
      </c>
      <c r="L12" s="4"/>
      <c r="M12" s="6" t="s">
        <v>4</v>
      </c>
      <c r="N12" s="4" t="s">
        <v>2</v>
      </c>
      <c r="O12" s="8">
        <f>$C$4</f>
        <v>200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6" t="s">
        <v>5</v>
      </c>
      <c r="B13" s="4" t="s">
        <v>2</v>
      </c>
      <c r="C13" s="9" t="s">
        <v>6</v>
      </c>
      <c r="D13" s="4"/>
      <c r="E13" s="6" t="s">
        <v>5</v>
      </c>
      <c r="F13" s="4" t="s">
        <v>2</v>
      </c>
      <c r="G13" s="9" t="s">
        <v>6</v>
      </c>
      <c r="H13" s="4"/>
      <c r="I13" s="6" t="s">
        <v>5</v>
      </c>
      <c r="J13" s="4" t="s">
        <v>2</v>
      </c>
      <c r="K13" s="9" t="s">
        <v>6</v>
      </c>
      <c r="L13" s="4"/>
      <c r="M13" s="6" t="s">
        <v>5</v>
      </c>
      <c r="N13" s="4" t="s">
        <v>2</v>
      </c>
      <c r="O13" s="9" t="s">
        <v>6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3" t="s">
        <v>7</v>
      </c>
      <c r="B14" s="4" t="s">
        <v>2</v>
      </c>
      <c r="C14" s="10">
        <f>$C$6</f>
        <v>0</v>
      </c>
      <c r="D14" s="4"/>
      <c r="E14" s="3" t="s">
        <v>7</v>
      </c>
      <c r="F14" s="4" t="s">
        <v>2</v>
      </c>
      <c r="G14" s="10">
        <f>$C$6</f>
        <v>0</v>
      </c>
      <c r="H14" s="4"/>
      <c r="I14" s="3" t="s">
        <v>7</v>
      </c>
      <c r="J14" s="4" t="s">
        <v>2</v>
      </c>
      <c r="K14" s="10">
        <f>$C$6</f>
        <v>0</v>
      </c>
      <c r="L14" s="4"/>
      <c r="M14" s="3" t="s">
        <v>7</v>
      </c>
      <c r="N14" s="4" t="s">
        <v>2</v>
      </c>
      <c r="O14" s="10">
        <f>$C$6</f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14" t="s">
        <v>8</v>
      </c>
      <c r="B15" s="12" t="s">
        <v>2</v>
      </c>
      <c r="C15" s="13" t="str">
        <f>C7</f>
        <v>OK 01 03</v>
      </c>
      <c r="D15" s="4"/>
      <c r="E15" s="14" t="s">
        <v>8</v>
      </c>
      <c r="F15" s="12" t="s">
        <v>2</v>
      </c>
      <c r="G15" s="13" t="str">
        <f>C15</f>
        <v>OK 01 03</v>
      </c>
      <c r="H15" s="4"/>
      <c r="I15" s="14" t="s">
        <v>8</v>
      </c>
      <c r="J15" s="12" t="s">
        <v>2</v>
      </c>
      <c r="K15" s="13" t="str">
        <f>G15</f>
        <v>OK 01 03</v>
      </c>
      <c r="L15" s="4"/>
      <c r="M15" s="14" t="s">
        <v>8</v>
      </c>
      <c r="N15" s="12" t="s">
        <v>2</v>
      </c>
      <c r="O15" s="13" t="str">
        <f>K15</f>
        <v>OK 01 03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>
      <c r="A16" s="1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1" t="str">
        <f>$A$1</f>
        <v>226</v>
      </c>
      <c r="B17" s="115" t="s">
        <v>0</v>
      </c>
      <c r="C17" s="116"/>
      <c r="D17" s="2"/>
      <c r="E17" s="1" t="str">
        <f>$A$1</f>
        <v>226</v>
      </c>
      <c r="F17" s="115" t="s">
        <v>0</v>
      </c>
      <c r="G17" s="116"/>
      <c r="H17" s="2"/>
      <c r="I17" s="1" t="str">
        <f>$A$1</f>
        <v>226</v>
      </c>
      <c r="J17" s="115" t="s">
        <v>0</v>
      </c>
      <c r="K17" s="116"/>
      <c r="L17" s="2"/>
      <c r="M17" s="1" t="str">
        <f>$A$1</f>
        <v>226</v>
      </c>
      <c r="N17" s="115" t="s">
        <v>0</v>
      </c>
      <c r="O17" s="116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 t="s">
        <v>1</v>
      </c>
      <c r="B18" s="4" t="s">
        <v>2</v>
      </c>
      <c r="C18" s="5">
        <f>$C$2</f>
        <v>955985</v>
      </c>
      <c r="D18" s="4"/>
      <c r="E18" s="3" t="s">
        <v>1</v>
      </c>
      <c r="F18" s="4" t="s">
        <v>2</v>
      </c>
      <c r="G18" s="5">
        <f>$C$2</f>
        <v>955985</v>
      </c>
      <c r="H18" s="4"/>
      <c r="I18" s="3" t="s">
        <v>1</v>
      </c>
      <c r="J18" s="4" t="s">
        <v>2</v>
      </c>
      <c r="K18" s="5">
        <f>$C$2</f>
        <v>955985</v>
      </c>
      <c r="L18" s="4"/>
      <c r="M18" s="3" t="s">
        <v>1</v>
      </c>
      <c r="N18" s="4" t="s">
        <v>2</v>
      </c>
      <c r="O18" s="5">
        <f>$C$2</f>
        <v>955985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6" t="s">
        <v>3</v>
      </c>
      <c r="B19" s="4" t="s">
        <v>2</v>
      </c>
      <c r="C19" s="7" t="str">
        <f>$C$3</f>
        <v>DIN CONNECTOR FITTING</v>
      </c>
      <c r="D19" s="4"/>
      <c r="E19" s="6" t="s">
        <v>3</v>
      </c>
      <c r="F19" s="4" t="s">
        <v>2</v>
      </c>
      <c r="G19" s="7" t="str">
        <f>$C$3</f>
        <v>DIN CONNECTOR FITTING</v>
      </c>
      <c r="H19" s="4"/>
      <c r="I19" s="6" t="s">
        <v>3</v>
      </c>
      <c r="J19" s="4" t="s">
        <v>2</v>
      </c>
      <c r="K19" s="7" t="str">
        <f>$C$3</f>
        <v>DIN CONNECTOR FITTING</v>
      </c>
      <c r="L19" s="4"/>
      <c r="M19" s="6" t="s">
        <v>3</v>
      </c>
      <c r="N19" s="4" t="s">
        <v>2</v>
      </c>
      <c r="O19" s="7" t="str">
        <f>$C$3</f>
        <v>DIN CONNECTOR FITTING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6" t="s">
        <v>4</v>
      </c>
      <c r="B20" s="4" t="s">
        <v>2</v>
      </c>
      <c r="C20" s="8">
        <f>$C$4</f>
        <v>200</v>
      </c>
      <c r="D20" s="4"/>
      <c r="E20" s="6" t="s">
        <v>4</v>
      </c>
      <c r="F20" s="4" t="s">
        <v>2</v>
      </c>
      <c r="G20" s="8">
        <f>$C$4</f>
        <v>200</v>
      </c>
      <c r="H20" s="4"/>
      <c r="I20" s="6" t="s">
        <v>4</v>
      </c>
      <c r="J20" s="4" t="s">
        <v>2</v>
      </c>
      <c r="K20" s="8">
        <f>$C$4</f>
        <v>200</v>
      </c>
      <c r="L20" s="4"/>
      <c r="M20" s="6" t="s">
        <v>4</v>
      </c>
      <c r="N20" s="4" t="s">
        <v>2</v>
      </c>
      <c r="O20" s="8">
        <f>$C$4</f>
        <v>200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6" t="s">
        <v>5</v>
      </c>
      <c r="B21" s="4" t="s">
        <v>2</v>
      </c>
      <c r="C21" s="9" t="s">
        <v>6</v>
      </c>
      <c r="D21" s="4"/>
      <c r="E21" s="6" t="s">
        <v>5</v>
      </c>
      <c r="F21" s="4" t="s">
        <v>2</v>
      </c>
      <c r="G21" s="9" t="s">
        <v>6</v>
      </c>
      <c r="H21" s="4"/>
      <c r="I21" s="6" t="s">
        <v>5</v>
      </c>
      <c r="J21" s="4" t="s">
        <v>2</v>
      </c>
      <c r="K21" s="9" t="s">
        <v>6</v>
      </c>
      <c r="L21" s="4"/>
      <c r="M21" s="6" t="s">
        <v>5</v>
      </c>
      <c r="N21" s="4" t="s">
        <v>2</v>
      </c>
      <c r="O21" s="9" t="s">
        <v>6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3" t="s">
        <v>7</v>
      </c>
      <c r="B22" s="4" t="s">
        <v>2</v>
      </c>
      <c r="C22" s="10">
        <f>$C$6</f>
        <v>0</v>
      </c>
      <c r="D22" s="4"/>
      <c r="E22" s="3" t="s">
        <v>7</v>
      </c>
      <c r="F22" s="4" t="s">
        <v>2</v>
      </c>
      <c r="G22" s="10">
        <f>$C$6</f>
        <v>0</v>
      </c>
      <c r="H22" s="4"/>
      <c r="I22" s="3" t="s">
        <v>7</v>
      </c>
      <c r="J22" s="4" t="s">
        <v>2</v>
      </c>
      <c r="K22" s="10">
        <f>$C$6</f>
        <v>0</v>
      </c>
      <c r="L22" s="4"/>
      <c r="M22" s="3" t="s">
        <v>7</v>
      </c>
      <c r="N22" s="4" t="s">
        <v>2</v>
      </c>
      <c r="O22" s="10">
        <f>$C$6</f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14" t="s">
        <v>8</v>
      </c>
      <c r="B23" s="12" t="s">
        <v>2</v>
      </c>
      <c r="C23" s="13" t="str">
        <f>C15</f>
        <v>OK 01 03</v>
      </c>
      <c r="D23" s="4"/>
      <c r="E23" s="14" t="s">
        <v>8</v>
      </c>
      <c r="F23" s="12" t="s">
        <v>2</v>
      </c>
      <c r="G23" s="13" t="str">
        <f>C23</f>
        <v>OK 01 03</v>
      </c>
      <c r="H23" s="4"/>
      <c r="I23" s="14" t="s">
        <v>8</v>
      </c>
      <c r="J23" s="12" t="s">
        <v>2</v>
      </c>
      <c r="K23" s="13" t="str">
        <f>G23</f>
        <v>OK 01 03</v>
      </c>
      <c r="L23" s="4"/>
      <c r="M23" s="14" t="s">
        <v>8</v>
      </c>
      <c r="N23" s="12" t="s">
        <v>2</v>
      </c>
      <c r="O23" s="13" t="str">
        <f>K23</f>
        <v>OK 01 03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>
      <c r="A24" s="15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1" t="str">
        <f>$A$1</f>
        <v>226</v>
      </c>
      <c r="B25" s="115" t="s">
        <v>0</v>
      </c>
      <c r="C25" s="116"/>
      <c r="D25" s="2"/>
      <c r="E25" s="1" t="str">
        <f>$A$1</f>
        <v>226</v>
      </c>
      <c r="F25" s="115" t="s">
        <v>0</v>
      </c>
      <c r="G25" s="116"/>
      <c r="H25" s="2"/>
      <c r="I25" s="1" t="str">
        <f>$A$1</f>
        <v>226</v>
      </c>
      <c r="J25" s="115" t="s">
        <v>0</v>
      </c>
      <c r="K25" s="116"/>
      <c r="L25" s="2"/>
      <c r="M25" s="1" t="str">
        <f>$A$1</f>
        <v>226</v>
      </c>
      <c r="N25" s="115" t="s">
        <v>0</v>
      </c>
      <c r="O25" s="116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 t="s">
        <v>1</v>
      </c>
      <c r="B26" s="4" t="s">
        <v>2</v>
      </c>
      <c r="C26" s="5">
        <f>$C$2</f>
        <v>955985</v>
      </c>
      <c r="D26" s="4"/>
      <c r="E26" s="3" t="s">
        <v>1</v>
      </c>
      <c r="F26" s="4" t="s">
        <v>2</v>
      </c>
      <c r="G26" s="5">
        <f>$C$2</f>
        <v>955985</v>
      </c>
      <c r="H26" s="4"/>
      <c r="I26" s="3" t="s">
        <v>1</v>
      </c>
      <c r="J26" s="4" t="s">
        <v>2</v>
      </c>
      <c r="K26" s="5">
        <f>$C$2</f>
        <v>955985</v>
      </c>
      <c r="L26" s="4"/>
      <c r="M26" s="3" t="s">
        <v>1</v>
      </c>
      <c r="N26" s="4" t="s">
        <v>2</v>
      </c>
      <c r="O26" s="5">
        <f>$C$2</f>
        <v>955985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6" t="s">
        <v>3</v>
      </c>
      <c r="B27" s="4" t="s">
        <v>2</v>
      </c>
      <c r="C27" s="7" t="str">
        <f>$C$3</f>
        <v>DIN CONNECTOR FITTING</v>
      </c>
      <c r="D27" s="4"/>
      <c r="E27" s="6" t="s">
        <v>3</v>
      </c>
      <c r="F27" s="4" t="s">
        <v>2</v>
      </c>
      <c r="G27" s="7" t="str">
        <f>$C$3</f>
        <v>DIN CONNECTOR FITTING</v>
      </c>
      <c r="H27" s="4"/>
      <c r="I27" s="6" t="s">
        <v>3</v>
      </c>
      <c r="J27" s="4" t="s">
        <v>2</v>
      </c>
      <c r="K27" s="7" t="str">
        <f>$C$3</f>
        <v>DIN CONNECTOR FITTING</v>
      </c>
      <c r="L27" s="4"/>
      <c r="M27" s="6" t="s">
        <v>3</v>
      </c>
      <c r="N27" s="4" t="s">
        <v>2</v>
      </c>
      <c r="O27" s="7" t="str">
        <f>$C$3</f>
        <v>DIN CONNECTOR FITTING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6" t="s">
        <v>4</v>
      </c>
      <c r="B28" s="4" t="s">
        <v>2</v>
      </c>
      <c r="C28" s="8">
        <f>$C$4</f>
        <v>200</v>
      </c>
      <c r="D28" s="4"/>
      <c r="E28" s="6" t="s">
        <v>4</v>
      </c>
      <c r="F28" s="4" t="s">
        <v>2</v>
      </c>
      <c r="G28" s="8">
        <f>$C$4</f>
        <v>200</v>
      </c>
      <c r="H28" s="4"/>
      <c r="I28" s="6" t="s">
        <v>4</v>
      </c>
      <c r="J28" s="4" t="s">
        <v>2</v>
      </c>
      <c r="K28" s="8">
        <f>$C$4</f>
        <v>200</v>
      </c>
      <c r="L28" s="4"/>
      <c r="M28" s="6" t="s">
        <v>4</v>
      </c>
      <c r="N28" s="4" t="s">
        <v>2</v>
      </c>
      <c r="O28" s="8">
        <f>$C$4</f>
        <v>200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6" t="s">
        <v>5</v>
      </c>
      <c r="B29" s="4" t="s">
        <v>2</v>
      </c>
      <c r="C29" s="9" t="s">
        <v>6</v>
      </c>
      <c r="D29" s="4"/>
      <c r="E29" s="6" t="s">
        <v>5</v>
      </c>
      <c r="F29" s="4" t="s">
        <v>2</v>
      </c>
      <c r="G29" s="9" t="s">
        <v>6</v>
      </c>
      <c r="H29" s="4"/>
      <c r="I29" s="6" t="s">
        <v>5</v>
      </c>
      <c r="J29" s="4" t="s">
        <v>2</v>
      </c>
      <c r="K29" s="9" t="s">
        <v>6</v>
      </c>
      <c r="L29" s="4"/>
      <c r="M29" s="6" t="s">
        <v>5</v>
      </c>
      <c r="N29" s="4" t="s">
        <v>2</v>
      </c>
      <c r="O29" s="9" t="s">
        <v>6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3" t="s">
        <v>7</v>
      </c>
      <c r="B30" s="4" t="s">
        <v>2</v>
      </c>
      <c r="C30" s="10">
        <f>$C$6</f>
        <v>0</v>
      </c>
      <c r="D30" s="4"/>
      <c r="E30" s="3" t="s">
        <v>7</v>
      </c>
      <c r="F30" s="4" t="s">
        <v>2</v>
      </c>
      <c r="G30" s="10">
        <f>$C$6</f>
        <v>0</v>
      </c>
      <c r="H30" s="4"/>
      <c r="I30" s="3" t="s">
        <v>7</v>
      </c>
      <c r="J30" s="4" t="s">
        <v>2</v>
      </c>
      <c r="K30" s="10">
        <f>$C$6</f>
        <v>0</v>
      </c>
      <c r="L30" s="4"/>
      <c r="M30" s="3" t="s">
        <v>7</v>
      </c>
      <c r="N30" s="4" t="s">
        <v>2</v>
      </c>
      <c r="O30" s="10">
        <f>$C$6</f>
        <v>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14" t="s">
        <v>8</v>
      </c>
      <c r="B31" s="12" t="s">
        <v>2</v>
      </c>
      <c r="C31" s="13" t="str">
        <f>C23</f>
        <v>OK 01 03</v>
      </c>
      <c r="D31" s="4"/>
      <c r="E31" s="14" t="s">
        <v>8</v>
      </c>
      <c r="F31" s="12" t="s">
        <v>2</v>
      </c>
      <c r="G31" s="13" t="str">
        <f>C31</f>
        <v>OK 01 03</v>
      </c>
      <c r="H31" s="4"/>
      <c r="I31" s="14" t="s">
        <v>8</v>
      </c>
      <c r="J31" s="12" t="s">
        <v>2</v>
      </c>
      <c r="K31" s="13" t="str">
        <f>G31</f>
        <v>OK 01 03</v>
      </c>
      <c r="L31" s="4"/>
      <c r="M31" s="14" t="s">
        <v>8</v>
      </c>
      <c r="N31" s="12" t="s">
        <v>2</v>
      </c>
      <c r="O31" s="13" t="str">
        <f>K31</f>
        <v>OK 01 03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>
      <c r="A32" s="15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1" t="str">
        <f>$A$1</f>
        <v>226</v>
      </c>
      <c r="B33" s="115" t="s">
        <v>0</v>
      </c>
      <c r="C33" s="116"/>
      <c r="D33" s="2"/>
      <c r="E33" s="1" t="str">
        <f>$A$1</f>
        <v>226</v>
      </c>
      <c r="F33" s="115" t="s">
        <v>0</v>
      </c>
      <c r="G33" s="116"/>
      <c r="H33" s="2"/>
      <c r="I33" s="1" t="str">
        <f>$A$1</f>
        <v>226</v>
      </c>
      <c r="J33" s="115" t="s">
        <v>0</v>
      </c>
      <c r="K33" s="116"/>
      <c r="L33" s="2"/>
      <c r="M33" s="1" t="str">
        <f>$A$1</f>
        <v>226</v>
      </c>
      <c r="N33" s="115" t="s">
        <v>0</v>
      </c>
      <c r="O33" s="11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 t="s">
        <v>1</v>
      </c>
      <c r="B34" s="4" t="s">
        <v>2</v>
      </c>
      <c r="C34" s="5">
        <f>$C$2</f>
        <v>955985</v>
      </c>
      <c r="D34" s="4"/>
      <c r="E34" s="3" t="s">
        <v>1</v>
      </c>
      <c r="F34" s="4" t="s">
        <v>2</v>
      </c>
      <c r="G34" s="5">
        <f>$C$2</f>
        <v>955985</v>
      </c>
      <c r="H34" s="4"/>
      <c r="I34" s="3" t="s">
        <v>1</v>
      </c>
      <c r="J34" s="4" t="s">
        <v>2</v>
      </c>
      <c r="K34" s="5">
        <f>$C$2</f>
        <v>955985</v>
      </c>
      <c r="L34" s="4"/>
      <c r="M34" s="3" t="s">
        <v>1</v>
      </c>
      <c r="N34" s="4" t="s">
        <v>2</v>
      </c>
      <c r="O34" s="5">
        <f>$C$2</f>
        <v>955985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6" t="s">
        <v>3</v>
      </c>
      <c r="B35" s="4" t="s">
        <v>2</v>
      </c>
      <c r="C35" s="7" t="str">
        <f>$C$3</f>
        <v>DIN CONNECTOR FITTING</v>
      </c>
      <c r="D35" s="4"/>
      <c r="E35" s="6" t="s">
        <v>3</v>
      </c>
      <c r="F35" s="4" t="s">
        <v>2</v>
      </c>
      <c r="G35" s="7" t="str">
        <f>$C$3</f>
        <v>DIN CONNECTOR FITTING</v>
      </c>
      <c r="H35" s="4"/>
      <c r="I35" s="6" t="s">
        <v>3</v>
      </c>
      <c r="J35" s="4" t="s">
        <v>2</v>
      </c>
      <c r="K35" s="7" t="str">
        <f>$C$3</f>
        <v>DIN CONNECTOR FITTING</v>
      </c>
      <c r="L35" s="4"/>
      <c r="M35" s="6" t="s">
        <v>3</v>
      </c>
      <c r="N35" s="4" t="s">
        <v>2</v>
      </c>
      <c r="O35" s="7" t="str">
        <f>$C$3</f>
        <v>DIN CONNECTOR FITTING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6" t="s">
        <v>4</v>
      </c>
      <c r="B36" s="4" t="s">
        <v>2</v>
      </c>
      <c r="C36" s="8">
        <f>$C$4</f>
        <v>200</v>
      </c>
      <c r="D36" s="4"/>
      <c r="E36" s="6" t="s">
        <v>4</v>
      </c>
      <c r="F36" s="4" t="s">
        <v>2</v>
      </c>
      <c r="G36" s="8">
        <f>$C$4</f>
        <v>200</v>
      </c>
      <c r="H36" s="4"/>
      <c r="I36" s="6" t="s">
        <v>4</v>
      </c>
      <c r="J36" s="4" t="s">
        <v>2</v>
      </c>
      <c r="K36" s="8">
        <f>$C$4</f>
        <v>200</v>
      </c>
      <c r="L36" s="4"/>
      <c r="M36" s="6" t="s">
        <v>4</v>
      </c>
      <c r="N36" s="4" t="s">
        <v>2</v>
      </c>
      <c r="O36" s="8">
        <f>$C$4</f>
        <v>200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6" t="s">
        <v>5</v>
      </c>
      <c r="B37" s="4" t="s">
        <v>2</v>
      </c>
      <c r="C37" s="9" t="s">
        <v>6</v>
      </c>
      <c r="D37" s="4"/>
      <c r="E37" s="6" t="s">
        <v>5</v>
      </c>
      <c r="F37" s="4" t="s">
        <v>2</v>
      </c>
      <c r="G37" s="9" t="s">
        <v>6</v>
      </c>
      <c r="H37" s="4"/>
      <c r="I37" s="6" t="s">
        <v>5</v>
      </c>
      <c r="J37" s="4" t="s">
        <v>2</v>
      </c>
      <c r="K37" s="9" t="s">
        <v>6</v>
      </c>
      <c r="L37" s="4"/>
      <c r="M37" s="6" t="s">
        <v>5</v>
      </c>
      <c r="N37" s="4" t="s">
        <v>2</v>
      </c>
      <c r="O37" s="9" t="s">
        <v>6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3" t="s">
        <v>7</v>
      </c>
      <c r="B38" s="4" t="s">
        <v>2</v>
      </c>
      <c r="C38" s="10">
        <f>$C$6</f>
        <v>0</v>
      </c>
      <c r="D38" s="4"/>
      <c r="E38" s="3" t="s">
        <v>7</v>
      </c>
      <c r="F38" s="4" t="s">
        <v>2</v>
      </c>
      <c r="G38" s="10">
        <f>$C$6</f>
        <v>0</v>
      </c>
      <c r="H38" s="4"/>
      <c r="I38" s="3" t="s">
        <v>7</v>
      </c>
      <c r="J38" s="4" t="s">
        <v>2</v>
      </c>
      <c r="K38" s="10">
        <f>$C$6</f>
        <v>0</v>
      </c>
      <c r="L38" s="4"/>
      <c r="M38" s="3" t="s">
        <v>7</v>
      </c>
      <c r="N38" s="4" t="s">
        <v>2</v>
      </c>
      <c r="O38" s="10">
        <f>$C$6</f>
        <v>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14" t="s">
        <v>8</v>
      </c>
      <c r="B39" s="12" t="s">
        <v>2</v>
      </c>
      <c r="C39" s="13" t="str">
        <f>C31</f>
        <v>OK 01 03</v>
      </c>
      <c r="D39" s="4"/>
      <c r="E39" s="14" t="s">
        <v>8</v>
      </c>
      <c r="F39" s="12" t="s">
        <v>2</v>
      </c>
      <c r="G39" s="13" t="str">
        <f>C39</f>
        <v>OK 01 03</v>
      </c>
      <c r="H39" s="4"/>
      <c r="I39" s="14" t="s">
        <v>8</v>
      </c>
      <c r="J39" s="12" t="s">
        <v>2</v>
      </c>
      <c r="K39" s="13" t="str">
        <f>G39</f>
        <v>OK 01 03</v>
      </c>
      <c r="L39" s="4"/>
      <c r="M39" s="14" t="s">
        <v>8</v>
      </c>
      <c r="N39" s="12" t="s">
        <v>2</v>
      </c>
      <c r="O39" s="13" t="str">
        <f>K39</f>
        <v>OK 01 03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>
      <c r="A40" s="15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1" t="str">
        <f>$A$1</f>
        <v>226</v>
      </c>
      <c r="B41" s="115" t="s">
        <v>0</v>
      </c>
      <c r="C41" s="116"/>
      <c r="D41" s="2"/>
      <c r="E41" s="1" t="str">
        <f>$A$1</f>
        <v>226</v>
      </c>
      <c r="F41" s="115" t="s">
        <v>0</v>
      </c>
      <c r="G41" s="116"/>
      <c r="H41" s="2"/>
      <c r="I41" s="1" t="str">
        <f>$A$1</f>
        <v>226</v>
      </c>
      <c r="J41" s="115" t="s">
        <v>0</v>
      </c>
      <c r="K41" s="116"/>
      <c r="L41" s="2"/>
      <c r="M41" s="1" t="str">
        <f>$A$1</f>
        <v>226</v>
      </c>
      <c r="N41" s="115" t="s">
        <v>0</v>
      </c>
      <c r="O41" s="11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 t="s">
        <v>1</v>
      </c>
      <c r="B42" s="4" t="s">
        <v>2</v>
      </c>
      <c r="C42" s="5">
        <f>$C$2</f>
        <v>955985</v>
      </c>
      <c r="D42" s="4"/>
      <c r="E42" s="3" t="s">
        <v>1</v>
      </c>
      <c r="F42" s="4" t="s">
        <v>2</v>
      </c>
      <c r="G42" s="5">
        <f>$C$2</f>
        <v>955985</v>
      </c>
      <c r="H42" s="4"/>
      <c r="I42" s="3" t="s">
        <v>1</v>
      </c>
      <c r="J42" s="4" t="s">
        <v>2</v>
      </c>
      <c r="K42" s="5">
        <f>$C$2</f>
        <v>955985</v>
      </c>
      <c r="L42" s="4"/>
      <c r="M42" s="3" t="s">
        <v>1</v>
      </c>
      <c r="N42" s="4" t="s">
        <v>2</v>
      </c>
      <c r="O42" s="5">
        <f>$C$2</f>
        <v>955985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6" t="s">
        <v>3</v>
      </c>
      <c r="B43" s="4" t="s">
        <v>2</v>
      </c>
      <c r="C43" s="7" t="str">
        <f>$C$3</f>
        <v>DIN CONNECTOR FITTING</v>
      </c>
      <c r="D43" s="4"/>
      <c r="E43" s="6" t="s">
        <v>3</v>
      </c>
      <c r="F43" s="4" t="s">
        <v>2</v>
      </c>
      <c r="G43" s="7" t="str">
        <f>$C$3</f>
        <v>DIN CONNECTOR FITTING</v>
      </c>
      <c r="H43" s="4"/>
      <c r="I43" s="6" t="s">
        <v>3</v>
      </c>
      <c r="J43" s="4" t="s">
        <v>2</v>
      </c>
      <c r="K43" s="7" t="str">
        <f>$C$3</f>
        <v>DIN CONNECTOR FITTING</v>
      </c>
      <c r="L43" s="4"/>
      <c r="M43" s="6" t="s">
        <v>3</v>
      </c>
      <c r="N43" s="4" t="s">
        <v>2</v>
      </c>
      <c r="O43" s="7" t="str">
        <f>$C$3</f>
        <v>DIN CONNECTOR FITTING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6" t="s">
        <v>4</v>
      </c>
      <c r="B44" s="4" t="s">
        <v>2</v>
      </c>
      <c r="C44" s="8">
        <f>$C$4</f>
        <v>200</v>
      </c>
      <c r="D44" s="4"/>
      <c r="E44" s="6" t="s">
        <v>4</v>
      </c>
      <c r="F44" s="4" t="s">
        <v>2</v>
      </c>
      <c r="G44" s="8">
        <f>$C$4</f>
        <v>200</v>
      </c>
      <c r="H44" s="4"/>
      <c r="I44" s="6" t="s">
        <v>4</v>
      </c>
      <c r="J44" s="4" t="s">
        <v>2</v>
      </c>
      <c r="K44" s="8">
        <f>$C$4</f>
        <v>200</v>
      </c>
      <c r="L44" s="4"/>
      <c r="M44" s="6" t="s">
        <v>4</v>
      </c>
      <c r="N44" s="4" t="s">
        <v>2</v>
      </c>
      <c r="O44" s="8">
        <f>$C$4</f>
        <v>200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6" t="s">
        <v>5</v>
      </c>
      <c r="B45" s="4" t="s">
        <v>2</v>
      </c>
      <c r="C45" s="9" t="s">
        <v>6</v>
      </c>
      <c r="D45" s="4"/>
      <c r="E45" s="6" t="s">
        <v>5</v>
      </c>
      <c r="F45" s="4" t="s">
        <v>2</v>
      </c>
      <c r="G45" s="9" t="s">
        <v>6</v>
      </c>
      <c r="H45" s="4"/>
      <c r="I45" s="6" t="s">
        <v>5</v>
      </c>
      <c r="J45" s="4" t="s">
        <v>2</v>
      </c>
      <c r="K45" s="9" t="s">
        <v>6</v>
      </c>
      <c r="L45" s="4"/>
      <c r="M45" s="6" t="s">
        <v>5</v>
      </c>
      <c r="N45" s="4" t="s">
        <v>2</v>
      </c>
      <c r="O45" s="9" t="s">
        <v>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3" t="s">
        <v>7</v>
      </c>
      <c r="B46" s="4" t="s">
        <v>2</v>
      </c>
      <c r="C46" s="10">
        <f>$C$6</f>
        <v>0</v>
      </c>
      <c r="D46" s="4"/>
      <c r="E46" s="3" t="s">
        <v>7</v>
      </c>
      <c r="F46" s="4" t="s">
        <v>2</v>
      </c>
      <c r="G46" s="10">
        <f>$C$6</f>
        <v>0</v>
      </c>
      <c r="H46" s="4"/>
      <c r="I46" s="3" t="s">
        <v>7</v>
      </c>
      <c r="J46" s="4" t="s">
        <v>2</v>
      </c>
      <c r="K46" s="10">
        <f>$C$6</f>
        <v>0</v>
      </c>
      <c r="L46" s="4"/>
      <c r="M46" s="3" t="s">
        <v>7</v>
      </c>
      <c r="N46" s="4" t="s">
        <v>2</v>
      </c>
      <c r="O46" s="10">
        <f>$C$6</f>
        <v>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14" t="s">
        <v>8</v>
      </c>
      <c r="B47" s="12" t="s">
        <v>2</v>
      </c>
      <c r="C47" s="13" t="str">
        <f>C39</f>
        <v>OK 01 03</v>
      </c>
      <c r="D47" s="4"/>
      <c r="E47" s="14" t="s">
        <v>8</v>
      </c>
      <c r="F47" s="12" t="s">
        <v>2</v>
      </c>
      <c r="G47" s="13" t="str">
        <f>C47</f>
        <v>OK 01 03</v>
      </c>
      <c r="H47" s="4"/>
      <c r="I47" s="14" t="s">
        <v>8</v>
      </c>
      <c r="J47" s="12" t="s">
        <v>2</v>
      </c>
      <c r="K47" s="13" t="str">
        <f>G47</f>
        <v>OK 01 03</v>
      </c>
      <c r="L47" s="4"/>
      <c r="M47" s="14" t="s">
        <v>8</v>
      </c>
      <c r="N47" s="12" t="s">
        <v>2</v>
      </c>
      <c r="O47" s="13" t="str">
        <f>K47</f>
        <v>OK 01 03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>
      <c r="A48" s="15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1" t="str">
        <f>$A$1</f>
        <v>226</v>
      </c>
      <c r="B49" s="115" t="s">
        <v>0</v>
      </c>
      <c r="C49" s="116"/>
      <c r="D49" s="2"/>
      <c r="E49" s="1" t="str">
        <f>$A$1</f>
        <v>226</v>
      </c>
      <c r="F49" s="115" t="s">
        <v>0</v>
      </c>
      <c r="G49" s="116"/>
      <c r="H49" s="2"/>
      <c r="I49" s="1" t="str">
        <f>$A$1</f>
        <v>226</v>
      </c>
      <c r="J49" s="115" t="s">
        <v>0</v>
      </c>
      <c r="K49" s="116"/>
      <c r="L49" s="2"/>
      <c r="M49" s="1" t="str">
        <f>$A$1</f>
        <v>226</v>
      </c>
      <c r="N49" s="115" t="s">
        <v>0</v>
      </c>
      <c r="O49" s="11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 t="s">
        <v>1</v>
      </c>
      <c r="B50" s="4" t="s">
        <v>2</v>
      </c>
      <c r="C50" s="5">
        <f>$C$2</f>
        <v>955985</v>
      </c>
      <c r="D50" s="4"/>
      <c r="E50" s="3" t="s">
        <v>1</v>
      </c>
      <c r="F50" s="4" t="s">
        <v>2</v>
      </c>
      <c r="G50" s="5">
        <f>$C$2</f>
        <v>955985</v>
      </c>
      <c r="H50" s="4"/>
      <c r="I50" s="3" t="s">
        <v>1</v>
      </c>
      <c r="J50" s="4" t="s">
        <v>2</v>
      </c>
      <c r="K50" s="5">
        <f>$C$2</f>
        <v>955985</v>
      </c>
      <c r="L50" s="4"/>
      <c r="M50" s="3" t="s">
        <v>1</v>
      </c>
      <c r="N50" s="4" t="s">
        <v>2</v>
      </c>
      <c r="O50" s="5">
        <f>$C$2</f>
        <v>955985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6" t="s">
        <v>3</v>
      </c>
      <c r="B51" s="4" t="s">
        <v>2</v>
      </c>
      <c r="C51" s="7" t="str">
        <f>$C$3</f>
        <v>DIN CONNECTOR FITTING</v>
      </c>
      <c r="D51" s="4"/>
      <c r="E51" s="6" t="s">
        <v>3</v>
      </c>
      <c r="F51" s="4" t="s">
        <v>2</v>
      </c>
      <c r="G51" s="7" t="str">
        <f>$C$3</f>
        <v>DIN CONNECTOR FITTING</v>
      </c>
      <c r="H51" s="4"/>
      <c r="I51" s="6" t="s">
        <v>3</v>
      </c>
      <c r="J51" s="4" t="s">
        <v>2</v>
      </c>
      <c r="K51" s="7" t="str">
        <f>$C$3</f>
        <v>DIN CONNECTOR FITTING</v>
      </c>
      <c r="L51" s="4"/>
      <c r="M51" s="6" t="s">
        <v>3</v>
      </c>
      <c r="N51" s="4" t="s">
        <v>2</v>
      </c>
      <c r="O51" s="7" t="str">
        <f>$C$3</f>
        <v>DIN CONNECTOR FITTING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6" t="s">
        <v>4</v>
      </c>
      <c r="B52" s="4" t="s">
        <v>2</v>
      </c>
      <c r="C52" s="8">
        <f>$C$4</f>
        <v>200</v>
      </c>
      <c r="D52" s="4"/>
      <c r="E52" s="6" t="s">
        <v>4</v>
      </c>
      <c r="F52" s="4" t="s">
        <v>2</v>
      </c>
      <c r="G52" s="8">
        <f>$C$4</f>
        <v>200</v>
      </c>
      <c r="H52" s="4"/>
      <c r="I52" s="6" t="s">
        <v>4</v>
      </c>
      <c r="J52" s="4" t="s">
        <v>2</v>
      </c>
      <c r="K52" s="8">
        <f>$C$4</f>
        <v>200</v>
      </c>
      <c r="L52" s="4"/>
      <c r="M52" s="6" t="s">
        <v>4</v>
      </c>
      <c r="N52" s="4" t="s">
        <v>2</v>
      </c>
      <c r="O52" s="8">
        <f>$C$4</f>
        <v>200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6" t="s">
        <v>5</v>
      </c>
      <c r="B53" s="4" t="s">
        <v>2</v>
      </c>
      <c r="C53" s="9" t="s">
        <v>6</v>
      </c>
      <c r="D53" s="4"/>
      <c r="E53" s="6" t="s">
        <v>5</v>
      </c>
      <c r="F53" s="4" t="s">
        <v>2</v>
      </c>
      <c r="G53" s="9" t="s">
        <v>6</v>
      </c>
      <c r="H53" s="4"/>
      <c r="I53" s="6" t="s">
        <v>5</v>
      </c>
      <c r="J53" s="4" t="s">
        <v>2</v>
      </c>
      <c r="K53" s="9" t="s">
        <v>6</v>
      </c>
      <c r="L53" s="4"/>
      <c r="M53" s="6" t="s">
        <v>5</v>
      </c>
      <c r="N53" s="4" t="s">
        <v>2</v>
      </c>
      <c r="O53" s="9" t="s">
        <v>6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3" t="s">
        <v>7</v>
      </c>
      <c r="B54" s="4" t="s">
        <v>2</v>
      </c>
      <c r="C54" s="10">
        <f>$C$6</f>
        <v>0</v>
      </c>
      <c r="D54" s="4"/>
      <c r="E54" s="3" t="s">
        <v>7</v>
      </c>
      <c r="F54" s="4" t="s">
        <v>2</v>
      </c>
      <c r="G54" s="10">
        <f>$C$6</f>
        <v>0</v>
      </c>
      <c r="H54" s="4"/>
      <c r="I54" s="3" t="s">
        <v>7</v>
      </c>
      <c r="J54" s="4" t="s">
        <v>2</v>
      </c>
      <c r="K54" s="10">
        <f>$C$6</f>
        <v>0</v>
      </c>
      <c r="L54" s="4"/>
      <c r="M54" s="3" t="s">
        <v>7</v>
      </c>
      <c r="N54" s="4" t="s">
        <v>2</v>
      </c>
      <c r="O54" s="10">
        <f>$C$6</f>
        <v>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14" t="s">
        <v>8</v>
      </c>
      <c r="B55" s="12" t="s">
        <v>2</v>
      </c>
      <c r="C55" s="13" t="str">
        <f>C47</f>
        <v>OK 01 03</v>
      </c>
      <c r="D55" s="4"/>
      <c r="E55" s="14" t="s">
        <v>8</v>
      </c>
      <c r="F55" s="12" t="s">
        <v>2</v>
      </c>
      <c r="G55" s="13" t="str">
        <f>C55</f>
        <v>OK 01 03</v>
      </c>
      <c r="H55" s="4"/>
      <c r="I55" s="14" t="s">
        <v>8</v>
      </c>
      <c r="J55" s="12" t="s">
        <v>2</v>
      </c>
      <c r="K55" s="13" t="str">
        <f>G55</f>
        <v>OK 01 03</v>
      </c>
      <c r="L55" s="4"/>
      <c r="M55" s="14" t="s">
        <v>8</v>
      </c>
      <c r="N55" s="12" t="s">
        <v>2</v>
      </c>
      <c r="O55" s="13" t="str">
        <f>K55</f>
        <v>OK 01 03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>
      <c r="A56" s="15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1" t="str">
        <f>$A$1</f>
        <v>226</v>
      </c>
      <c r="B57" s="115" t="s">
        <v>0</v>
      </c>
      <c r="C57" s="116"/>
      <c r="D57" s="2"/>
      <c r="E57" s="1" t="str">
        <f>$A$1</f>
        <v>226</v>
      </c>
      <c r="F57" s="115" t="s">
        <v>0</v>
      </c>
      <c r="G57" s="116"/>
      <c r="H57" s="2"/>
      <c r="I57" s="1" t="str">
        <f>$A$1</f>
        <v>226</v>
      </c>
      <c r="J57" s="115" t="s">
        <v>0</v>
      </c>
      <c r="K57" s="116"/>
      <c r="L57" s="2"/>
      <c r="M57" s="1" t="str">
        <f>$A$1</f>
        <v>226</v>
      </c>
      <c r="N57" s="115" t="s">
        <v>0</v>
      </c>
      <c r="O57" s="11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 t="s">
        <v>1</v>
      </c>
      <c r="B58" s="4" t="s">
        <v>2</v>
      </c>
      <c r="C58" s="5">
        <f>$C$2</f>
        <v>955985</v>
      </c>
      <c r="D58" s="4"/>
      <c r="E58" s="3" t="s">
        <v>1</v>
      </c>
      <c r="F58" s="4" t="s">
        <v>2</v>
      </c>
      <c r="G58" s="5">
        <f>$C$2</f>
        <v>955985</v>
      </c>
      <c r="H58" s="4"/>
      <c r="I58" s="3" t="s">
        <v>1</v>
      </c>
      <c r="J58" s="4" t="s">
        <v>2</v>
      </c>
      <c r="K58" s="5">
        <f>$C$2</f>
        <v>955985</v>
      </c>
      <c r="L58" s="4"/>
      <c r="M58" s="3" t="s">
        <v>1</v>
      </c>
      <c r="N58" s="4" t="s">
        <v>2</v>
      </c>
      <c r="O58" s="5">
        <f>$C$2</f>
        <v>955985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6" t="s">
        <v>3</v>
      </c>
      <c r="B59" s="4" t="s">
        <v>2</v>
      </c>
      <c r="C59" s="7" t="str">
        <f>$C$3</f>
        <v>DIN CONNECTOR FITTING</v>
      </c>
      <c r="D59" s="4"/>
      <c r="E59" s="6" t="s">
        <v>3</v>
      </c>
      <c r="F59" s="4" t="s">
        <v>2</v>
      </c>
      <c r="G59" s="7" t="str">
        <f>$C$3</f>
        <v>DIN CONNECTOR FITTING</v>
      </c>
      <c r="H59" s="4"/>
      <c r="I59" s="6" t="s">
        <v>3</v>
      </c>
      <c r="J59" s="4" t="s">
        <v>2</v>
      </c>
      <c r="K59" s="7" t="str">
        <f>$C$3</f>
        <v>DIN CONNECTOR FITTING</v>
      </c>
      <c r="L59" s="4"/>
      <c r="M59" s="6" t="s">
        <v>3</v>
      </c>
      <c r="N59" s="4" t="s">
        <v>2</v>
      </c>
      <c r="O59" s="7" t="str">
        <f>$C$3</f>
        <v>DIN CONNECTOR FITTING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6" t="s">
        <v>4</v>
      </c>
      <c r="B60" s="4" t="s">
        <v>2</v>
      </c>
      <c r="C60" s="8">
        <f>$C$4</f>
        <v>200</v>
      </c>
      <c r="D60" s="4"/>
      <c r="E60" s="6" t="s">
        <v>4</v>
      </c>
      <c r="F60" s="4" t="s">
        <v>2</v>
      </c>
      <c r="G60" s="8">
        <f>$C$4</f>
        <v>200</v>
      </c>
      <c r="H60" s="4"/>
      <c r="I60" s="6" t="s">
        <v>4</v>
      </c>
      <c r="J60" s="4" t="s">
        <v>2</v>
      </c>
      <c r="K60" s="8">
        <f>$C$4</f>
        <v>200</v>
      </c>
      <c r="L60" s="4"/>
      <c r="M60" s="6" t="s">
        <v>4</v>
      </c>
      <c r="N60" s="4" t="s">
        <v>2</v>
      </c>
      <c r="O60" s="8">
        <f>$C$4</f>
        <v>200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6" t="s">
        <v>5</v>
      </c>
      <c r="B61" s="4" t="s">
        <v>2</v>
      </c>
      <c r="C61" s="9" t="s">
        <v>6</v>
      </c>
      <c r="D61" s="4"/>
      <c r="E61" s="6" t="s">
        <v>5</v>
      </c>
      <c r="F61" s="4" t="s">
        <v>2</v>
      </c>
      <c r="G61" s="9" t="s">
        <v>6</v>
      </c>
      <c r="H61" s="4"/>
      <c r="I61" s="6" t="s">
        <v>5</v>
      </c>
      <c r="J61" s="4" t="s">
        <v>2</v>
      </c>
      <c r="K61" s="9" t="s">
        <v>6</v>
      </c>
      <c r="L61" s="4"/>
      <c r="M61" s="6" t="s">
        <v>5</v>
      </c>
      <c r="N61" s="4" t="s">
        <v>2</v>
      </c>
      <c r="O61" s="9" t="s">
        <v>6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3" t="s">
        <v>7</v>
      </c>
      <c r="B62" s="4" t="s">
        <v>2</v>
      </c>
      <c r="C62" s="10">
        <f>$C$6</f>
        <v>0</v>
      </c>
      <c r="D62" s="4"/>
      <c r="E62" s="3" t="s">
        <v>7</v>
      </c>
      <c r="F62" s="4" t="s">
        <v>2</v>
      </c>
      <c r="G62" s="10">
        <f>$C$6</f>
        <v>0</v>
      </c>
      <c r="H62" s="4"/>
      <c r="I62" s="3" t="s">
        <v>7</v>
      </c>
      <c r="J62" s="4" t="s">
        <v>2</v>
      </c>
      <c r="K62" s="10">
        <f>$C$6</f>
        <v>0</v>
      </c>
      <c r="L62" s="4"/>
      <c r="M62" s="3" t="s">
        <v>7</v>
      </c>
      <c r="N62" s="4" t="s">
        <v>2</v>
      </c>
      <c r="O62" s="10">
        <f>$C$6</f>
        <v>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14" t="s">
        <v>8</v>
      </c>
      <c r="B63" s="12" t="s">
        <v>2</v>
      </c>
      <c r="C63" s="13" t="str">
        <f>C55</f>
        <v>OK 01 03</v>
      </c>
      <c r="D63" s="4"/>
      <c r="E63" s="14" t="s">
        <v>8</v>
      </c>
      <c r="F63" s="12" t="s">
        <v>2</v>
      </c>
      <c r="G63" s="13" t="str">
        <f>C63</f>
        <v>OK 01 03</v>
      </c>
      <c r="H63" s="4"/>
      <c r="I63" s="14" t="s">
        <v>8</v>
      </c>
      <c r="J63" s="12" t="s">
        <v>2</v>
      </c>
      <c r="K63" s="13" t="str">
        <f>G63</f>
        <v>OK 01 03</v>
      </c>
      <c r="L63" s="4"/>
      <c r="M63" s="14" t="s">
        <v>8</v>
      </c>
      <c r="N63" s="12" t="s">
        <v>2</v>
      </c>
      <c r="O63" s="13" t="str">
        <f>K63</f>
        <v>OK 01 03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>
      <c r="A64" s="1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1" t="str">
        <f>$A$1</f>
        <v>226</v>
      </c>
      <c r="B65" s="115" t="s">
        <v>0</v>
      </c>
      <c r="C65" s="116"/>
      <c r="D65" s="2"/>
      <c r="E65" s="1" t="str">
        <f>$A$1</f>
        <v>226</v>
      </c>
      <c r="F65" s="115" t="s">
        <v>0</v>
      </c>
      <c r="G65" s="116"/>
      <c r="H65" s="2"/>
      <c r="I65" s="1" t="str">
        <f>$A$1</f>
        <v>226</v>
      </c>
      <c r="J65" s="115" t="s">
        <v>0</v>
      </c>
      <c r="K65" s="116"/>
      <c r="L65" s="2"/>
      <c r="M65" s="1" t="str">
        <f>$A$1</f>
        <v>226</v>
      </c>
      <c r="N65" s="115" t="s">
        <v>0</v>
      </c>
      <c r="O65" s="11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 t="s">
        <v>1</v>
      </c>
      <c r="B66" s="4" t="s">
        <v>2</v>
      </c>
      <c r="C66" s="5">
        <f>$C$2</f>
        <v>955985</v>
      </c>
      <c r="D66" s="4"/>
      <c r="E66" s="3" t="s">
        <v>1</v>
      </c>
      <c r="F66" s="4" t="s">
        <v>2</v>
      </c>
      <c r="G66" s="5">
        <f>$C$2</f>
        <v>955985</v>
      </c>
      <c r="H66" s="4"/>
      <c r="I66" s="3" t="s">
        <v>1</v>
      </c>
      <c r="J66" s="4" t="s">
        <v>2</v>
      </c>
      <c r="K66" s="5">
        <f>$C$2</f>
        <v>955985</v>
      </c>
      <c r="L66" s="4"/>
      <c r="M66" s="3" t="s">
        <v>1</v>
      </c>
      <c r="N66" s="4" t="s">
        <v>2</v>
      </c>
      <c r="O66" s="5">
        <f>$C$2</f>
        <v>955985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6" t="s">
        <v>3</v>
      </c>
      <c r="B67" s="4" t="s">
        <v>2</v>
      </c>
      <c r="C67" s="7" t="str">
        <f>$C$3</f>
        <v>DIN CONNECTOR FITTING</v>
      </c>
      <c r="D67" s="4"/>
      <c r="E67" s="6" t="s">
        <v>3</v>
      </c>
      <c r="F67" s="4" t="s">
        <v>2</v>
      </c>
      <c r="G67" s="7" t="str">
        <f>$C$3</f>
        <v>DIN CONNECTOR FITTING</v>
      </c>
      <c r="H67" s="4"/>
      <c r="I67" s="6" t="s">
        <v>3</v>
      </c>
      <c r="J67" s="4" t="s">
        <v>2</v>
      </c>
      <c r="K67" s="7" t="str">
        <f>$C$3</f>
        <v>DIN CONNECTOR FITTING</v>
      </c>
      <c r="L67" s="4"/>
      <c r="M67" s="6" t="s">
        <v>3</v>
      </c>
      <c r="N67" s="4" t="s">
        <v>2</v>
      </c>
      <c r="O67" s="7" t="str">
        <f>$C$3</f>
        <v>DIN CONNECTOR FITTING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6" t="s">
        <v>4</v>
      </c>
      <c r="B68" s="4" t="s">
        <v>2</v>
      </c>
      <c r="C68" s="8">
        <f>$C$4</f>
        <v>200</v>
      </c>
      <c r="D68" s="4"/>
      <c r="E68" s="6" t="s">
        <v>4</v>
      </c>
      <c r="F68" s="4" t="s">
        <v>2</v>
      </c>
      <c r="G68" s="8">
        <f>$C$4</f>
        <v>200</v>
      </c>
      <c r="H68" s="4"/>
      <c r="I68" s="6" t="s">
        <v>4</v>
      </c>
      <c r="J68" s="4" t="s">
        <v>2</v>
      </c>
      <c r="K68" s="8">
        <f>$C$4</f>
        <v>200</v>
      </c>
      <c r="L68" s="4"/>
      <c r="M68" s="6" t="s">
        <v>4</v>
      </c>
      <c r="N68" s="4" t="s">
        <v>2</v>
      </c>
      <c r="O68" s="8">
        <f>$C$4</f>
        <v>200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6" t="s">
        <v>5</v>
      </c>
      <c r="B69" s="4" t="s">
        <v>2</v>
      </c>
      <c r="C69" s="9" t="s">
        <v>6</v>
      </c>
      <c r="D69" s="4"/>
      <c r="E69" s="6" t="s">
        <v>5</v>
      </c>
      <c r="F69" s="4" t="s">
        <v>2</v>
      </c>
      <c r="G69" s="9" t="s">
        <v>6</v>
      </c>
      <c r="H69" s="4"/>
      <c r="I69" s="6" t="s">
        <v>5</v>
      </c>
      <c r="J69" s="4" t="s">
        <v>2</v>
      </c>
      <c r="K69" s="9" t="s">
        <v>6</v>
      </c>
      <c r="L69" s="4"/>
      <c r="M69" s="6" t="s">
        <v>5</v>
      </c>
      <c r="N69" s="4" t="s">
        <v>2</v>
      </c>
      <c r="O69" s="9" t="s">
        <v>6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3" t="s">
        <v>7</v>
      </c>
      <c r="B70" s="4" t="s">
        <v>2</v>
      </c>
      <c r="C70" s="10">
        <f>$C$6</f>
        <v>0</v>
      </c>
      <c r="D70" s="4"/>
      <c r="E70" s="3" t="s">
        <v>7</v>
      </c>
      <c r="F70" s="4" t="s">
        <v>2</v>
      </c>
      <c r="G70" s="10">
        <f>$C$6</f>
        <v>0</v>
      </c>
      <c r="H70" s="4"/>
      <c r="I70" s="3" t="s">
        <v>7</v>
      </c>
      <c r="J70" s="4" t="s">
        <v>2</v>
      </c>
      <c r="K70" s="10">
        <f>$C$6</f>
        <v>0</v>
      </c>
      <c r="L70" s="4"/>
      <c r="M70" s="3" t="s">
        <v>7</v>
      </c>
      <c r="N70" s="4" t="s">
        <v>2</v>
      </c>
      <c r="O70" s="10">
        <f>$C$6</f>
        <v>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14" t="s">
        <v>8</v>
      </c>
      <c r="B71" s="12" t="s">
        <v>2</v>
      </c>
      <c r="C71" s="13" t="str">
        <f>C63</f>
        <v>OK 01 03</v>
      </c>
      <c r="D71" s="4"/>
      <c r="E71" s="14" t="s">
        <v>8</v>
      </c>
      <c r="F71" s="12" t="s">
        <v>2</v>
      </c>
      <c r="G71" s="13" t="str">
        <f>C71</f>
        <v>OK 01 03</v>
      </c>
      <c r="H71" s="4"/>
      <c r="I71" s="14" t="s">
        <v>8</v>
      </c>
      <c r="J71" s="12" t="s">
        <v>2</v>
      </c>
      <c r="K71" s="13" t="str">
        <f>G71</f>
        <v>OK 01 03</v>
      </c>
      <c r="L71" s="4"/>
      <c r="M71" s="14" t="s">
        <v>8</v>
      </c>
      <c r="N71" s="12" t="s">
        <v>2</v>
      </c>
      <c r="O71" s="13" t="str">
        <f>K71</f>
        <v>OK 01 03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>
      <c r="A72" s="15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1" t="str">
        <f>$A$1</f>
        <v>226</v>
      </c>
      <c r="B73" s="115" t="s">
        <v>0</v>
      </c>
      <c r="C73" s="116"/>
      <c r="D73" s="2"/>
      <c r="E73" s="1" t="str">
        <f>$A$1</f>
        <v>226</v>
      </c>
      <c r="F73" s="115" t="s">
        <v>0</v>
      </c>
      <c r="G73" s="116"/>
      <c r="H73" s="2"/>
      <c r="I73" s="1" t="str">
        <f>$A$1</f>
        <v>226</v>
      </c>
      <c r="J73" s="115" t="s">
        <v>0</v>
      </c>
      <c r="K73" s="116"/>
      <c r="L73" s="2"/>
      <c r="M73" s="1" t="str">
        <f>$A$1</f>
        <v>226</v>
      </c>
      <c r="N73" s="115" t="s">
        <v>0</v>
      </c>
      <c r="O73" s="11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3" t="s">
        <v>1</v>
      </c>
      <c r="B74" s="4" t="s">
        <v>2</v>
      </c>
      <c r="C74" s="5">
        <f>$C$2</f>
        <v>955985</v>
      </c>
      <c r="D74" s="4"/>
      <c r="E74" s="3" t="s">
        <v>1</v>
      </c>
      <c r="F74" s="4" t="s">
        <v>2</v>
      </c>
      <c r="G74" s="5">
        <f>$C$2</f>
        <v>955985</v>
      </c>
      <c r="H74" s="4"/>
      <c r="I74" s="3" t="s">
        <v>1</v>
      </c>
      <c r="J74" s="4" t="s">
        <v>2</v>
      </c>
      <c r="K74" s="5">
        <f>$C$2</f>
        <v>955985</v>
      </c>
      <c r="L74" s="4"/>
      <c r="M74" s="3" t="s">
        <v>1</v>
      </c>
      <c r="N74" s="4" t="s">
        <v>2</v>
      </c>
      <c r="O74" s="5">
        <f>$C$2</f>
        <v>955985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6" t="s">
        <v>3</v>
      </c>
      <c r="B75" s="4" t="s">
        <v>2</v>
      </c>
      <c r="C75" s="7" t="str">
        <f>$C$3</f>
        <v>DIN CONNECTOR FITTING</v>
      </c>
      <c r="D75" s="4"/>
      <c r="E75" s="6" t="s">
        <v>3</v>
      </c>
      <c r="F75" s="4" t="s">
        <v>2</v>
      </c>
      <c r="G75" s="7" t="str">
        <f>$C$3</f>
        <v>DIN CONNECTOR FITTING</v>
      </c>
      <c r="H75" s="4"/>
      <c r="I75" s="6" t="s">
        <v>3</v>
      </c>
      <c r="J75" s="4" t="s">
        <v>2</v>
      </c>
      <c r="K75" s="7" t="str">
        <f>$C$3</f>
        <v>DIN CONNECTOR FITTING</v>
      </c>
      <c r="L75" s="4"/>
      <c r="M75" s="6" t="s">
        <v>3</v>
      </c>
      <c r="N75" s="4" t="s">
        <v>2</v>
      </c>
      <c r="O75" s="7" t="str">
        <f>$C$3</f>
        <v>DIN CONNECTOR FITTING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6" t="s">
        <v>4</v>
      </c>
      <c r="B76" s="4" t="s">
        <v>2</v>
      </c>
      <c r="C76" s="8">
        <f>$C$4</f>
        <v>200</v>
      </c>
      <c r="D76" s="4"/>
      <c r="E76" s="6" t="s">
        <v>4</v>
      </c>
      <c r="F76" s="4" t="s">
        <v>2</v>
      </c>
      <c r="G76" s="8">
        <f>$C$4</f>
        <v>200</v>
      </c>
      <c r="H76" s="4"/>
      <c r="I76" s="6" t="s">
        <v>4</v>
      </c>
      <c r="J76" s="4" t="s">
        <v>2</v>
      </c>
      <c r="K76" s="8">
        <f>$C$4</f>
        <v>200</v>
      </c>
      <c r="L76" s="4"/>
      <c r="M76" s="6" t="s">
        <v>4</v>
      </c>
      <c r="N76" s="4" t="s">
        <v>2</v>
      </c>
      <c r="O76" s="8">
        <f>$C$4</f>
        <v>200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6" t="s">
        <v>5</v>
      </c>
      <c r="B77" s="4" t="s">
        <v>2</v>
      </c>
      <c r="C77" s="9" t="s">
        <v>6</v>
      </c>
      <c r="D77" s="4"/>
      <c r="E77" s="6" t="s">
        <v>5</v>
      </c>
      <c r="F77" s="4" t="s">
        <v>2</v>
      </c>
      <c r="G77" s="9" t="s">
        <v>6</v>
      </c>
      <c r="H77" s="4"/>
      <c r="I77" s="6" t="s">
        <v>5</v>
      </c>
      <c r="J77" s="4" t="s">
        <v>2</v>
      </c>
      <c r="K77" s="9" t="s">
        <v>6</v>
      </c>
      <c r="L77" s="4"/>
      <c r="M77" s="6" t="s">
        <v>5</v>
      </c>
      <c r="N77" s="4" t="s">
        <v>2</v>
      </c>
      <c r="O77" s="9" t="s">
        <v>6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3" t="s">
        <v>7</v>
      </c>
      <c r="B78" s="4" t="s">
        <v>2</v>
      </c>
      <c r="C78" s="10">
        <f>$C$6</f>
        <v>0</v>
      </c>
      <c r="D78" s="4"/>
      <c r="E78" s="3" t="s">
        <v>7</v>
      </c>
      <c r="F78" s="4" t="s">
        <v>2</v>
      </c>
      <c r="G78" s="10">
        <f>$C$6</f>
        <v>0</v>
      </c>
      <c r="H78" s="4"/>
      <c r="I78" s="3" t="s">
        <v>7</v>
      </c>
      <c r="J78" s="4" t="s">
        <v>2</v>
      </c>
      <c r="K78" s="10">
        <f>$C$6</f>
        <v>0</v>
      </c>
      <c r="L78" s="4"/>
      <c r="M78" s="3" t="s">
        <v>7</v>
      </c>
      <c r="N78" s="4" t="s">
        <v>2</v>
      </c>
      <c r="O78" s="10">
        <f>$C$6</f>
        <v>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14" t="s">
        <v>8</v>
      </c>
      <c r="B79" s="12" t="s">
        <v>2</v>
      </c>
      <c r="C79" s="13" t="str">
        <f>C71</f>
        <v>OK 01 03</v>
      </c>
      <c r="D79" s="4"/>
      <c r="E79" s="14" t="s">
        <v>8</v>
      </c>
      <c r="F79" s="12" t="s">
        <v>2</v>
      </c>
      <c r="G79" s="13" t="str">
        <f>C79</f>
        <v>OK 01 03</v>
      </c>
      <c r="H79" s="4"/>
      <c r="I79" s="14" t="s">
        <v>8</v>
      </c>
      <c r="J79" s="12" t="s">
        <v>2</v>
      </c>
      <c r="K79" s="13" t="str">
        <f>G79</f>
        <v>OK 01 03</v>
      </c>
      <c r="L79" s="4"/>
      <c r="M79" s="14" t="s">
        <v>8</v>
      </c>
      <c r="N79" s="12" t="s">
        <v>2</v>
      </c>
      <c r="O79" s="13" t="str">
        <f>K79</f>
        <v>OK 01 03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>
      <c r="A80" s="15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1" t="str">
        <f>$A$1</f>
        <v>226</v>
      </c>
      <c r="B81" s="115" t="s">
        <v>0</v>
      </c>
      <c r="C81" s="116"/>
      <c r="D81" s="2"/>
      <c r="E81" s="1" t="str">
        <f>$A$1</f>
        <v>226</v>
      </c>
      <c r="F81" s="115" t="s">
        <v>0</v>
      </c>
      <c r="G81" s="116"/>
      <c r="H81" s="2"/>
      <c r="I81" s="1" t="str">
        <f>$A$1</f>
        <v>226</v>
      </c>
      <c r="J81" s="115" t="s">
        <v>0</v>
      </c>
      <c r="K81" s="116"/>
      <c r="L81" s="2"/>
      <c r="M81" s="1" t="str">
        <f>$A$1</f>
        <v>226</v>
      </c>
      <c r="N81" s="115" t="s">
        <v>0</v>
      </c>
      <c r="O81" s="11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3" t="s">
        <v>1</v>
      </c>
      <c r="B82" s="4" t="s">
        <v>2</v>
      </c>
      <c r="C82" s="5">
        <f>$C$2</f>
        <v>955985</v>
      </c>
      <c r="D82" s="4"/>
      <c r="E82" s="3" t="s">
        <v>1</v>
      </c>
      <c r="F82" s="4" t="s">
        <v>2</v>
      </c>
      <c r="G82" s="5">
        <f>$C$2</f>
        <v>955985</v>
      </c>
      <c r="H82" s="4"/>
      <c r="I82" s="3" t="s">
        <v>1</v>
      </c>
      <c r="J82" s="4" t="s">
        <v>2</v>
      </c>
      <c r="K82" s="5">
        <f>$C$2</f>
        <v>955985</v>
      </c>
      <c r="L82" s="4"/>
      <c r="M82" s="3" t="s">
        <v>1</v>
      </c>
      <c r="N82" s="4" t="s">
        <v>2</v>
      </c>
      <c r="O82" s="5">
        <f>$C$2</f>
        <v>955985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6" t="s">
        <v>3</v>
      </c>
      <c r="B83" s="4" t="s">
        <v>2</v>
      </c>
      <c r="C83" s="7" t="str">
        <f>$C$3</f>
        <v>DIN CONNECTOR FITTING</v>
      </c>
      <c r="D83" s="4"/>
      <c r="E83" s="6" t="s">
        <v>3</v>
      </c>
      <c r="F83" s="4" t="s">
        <v>2</v>
      </c>
      <c r="G83" s="7" t="str">
        <f>$C$3</f>
        <v>DIN CONNECTOR FITTING</v>
      </c>
      <c r="H83" s="4"/>
      <c r="I83" s="6" t="s">
        <v>3</v>
      </c>
      <c r="J83" s="4" t="s">
        <v>2</v>
      </c>
      <c r="K83" s="7" t="str">
        <f>$C$3</f>
        <v>DIN CONNECTOR FITTING</v>
      </c>
      <c r="L83" s="4"/>
      <c r="M83" s="6" t="s">
        <v>3</v>
      </c>
      <c r="N83" s="4" t="s">
        <v>2</v>
      </c>
      <c r="O83" s="7" t="str">
        <f>$C$3</f>
        <v>DIN CONNECTOR FITTING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6" t="s">
        <v>4</v>
      </c>
      <c r="B84" s="4" t="s">
        <v>2</v>
      </c>
      <c r="C84" s="8">
        <f>$C$4</f>
        <v>200</v>
      </c>
      <c r="D84" s="4"/>
      <c r="E84" s="6" t="s">
        <v>4</v>
      </c>
      <c r="F84" s="4" t="s">
        <v>2</v>
      </c>
      <c r="G84" s="8">
        <f>$C$4</f>
        <v>200</v>
      </c>
      <c r="H84" s="4"/>
      <c r="I84" s="6" t="s">
        <v>4</v>
      </c>
      <c r="J84" s="4" t="s">
        <v>2</v>
      </c>
      <c r="K84" s="8">
        <f>$C$4</f>
        <v>200</v>
      </c>
      <c r="L84" s="4"/>
      <c r="M84" s="6" t="s">
        <v>4</v>
      </c>
      <c r="N84" s="4" t="s">
        <v>2</v>
      </c>
      <c r="O84" s="8">
        <f>$C$4</f>
        <v>200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6" t="s">
        <v>5</v>
      </c>
      <c r="B85" s="4" t="s">
        <v>2</v>
      </c>
      <c r="C85" s="9" t="s">
        <v>6</v>
      </c>
      <c r="D85" s="4"/>
      <c r="E85" s="6" t="s">
        <v>5</v>
      </c>
      <c r="F85" s="4" t="s">
        <v>2</v>
      </c>
      <c r="G85" s="9" t="s">
        <v>6</v>
      </c>
      <c r="H85" s="4"/>
      <c r="I85" s="6" t="s">
        <v>5</v>
      </c>
      <c r="J85" s="4" t="s">
        <v>2</v>
      </c>
      <c r="K85" s="9" t="s">
        <v>6</v>
      </c>
      <c r="L85" s="4"/>
      <c r="M85" s="6" t="s">
        <v>5</v>
      </c>
      <c r="N85" s="4" t="s">
        <v>2</v>
      </c>
      <c r="O85" s="9" t="s">
        <v>6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3" t="s">
        <v>7</v>
      </c>
      <c r="B86" s="4" t="s">
        <v>2</v>
      </c>
      <c r="C86" s="10">
        <f>$C$6</f>
        <v>0</v>
      </c>
      <c r="D86" s="4"/>
      <c r="E86" s="3" t="s">
        <v>7</v>
      </c>
      <c r="F86" s="4" t="s">
        <v>2</v>
      </c>
      <c r="G86" s="10">
        <f>$C$6</f>
        <v>0</v>
      </c>
      <c r="H86" s="4"/>
      <c r="I86" s="3" t="s">
        <v>7</v>
      </c>
      <c r="J86" s="4" t="s">
        <v>2</v>
      </c>
      <c r="K86" s="10">
        <f>$C$6</f>
        <v>0</v>
      </c>
      <c r="L86" s="4"/>
      <c r="M86" s="3" t="s">
        <v>7</v>
      </c>
      <c r="N86" s="4" t="s">
        <v>2</v>
      </c>
      <c r="O86" s="10">
        <f>$C$6</f>
        <v>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14" t="s">
        <v>8</v>
      </c>
      <c r="B87" s="12" t="s">
        <v>2</v>
      </c>
      <c r="C87" s="13" t="str">
        <f>C79</f>
        <v>OK 01 03</v>
      </c>
      <c r="D87" s="4"/>
      <c r="E87" s="14" t="s">
        <v>8</v>
      </c>
      <c r="F87" s="12" t="s">
        <v>2</v>
      </c>
      <c r="G87" s="13" t="str">
        <f>C87</f>
        <v>OK 01 03</v>
      </c>
      <c r="H87" s="4"/>
      <c r="I87" s="14" t="s">
        <v>8</v>
      </c>
      <c r="J87" s="12" t="s">
        <v>2</v>
      </c>
      <c r="K87" s="13" t="str">
        <f>G87</f>
        <v>OK 01 03</v>
      </c>
      <c r="L87" s="4"/>
      <c r="M87" s="14" t="s">
        <v>8</v>
      </c>
      <c r="N87" s="12" t="s">
        <v>2</v>
      </c>
      <c r="O87" s="13" t="str">
        <f>K87</f>
        <v>OK 01 03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7.5" customHeight="1">
      <c r="A88" s="1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15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15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1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15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15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1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15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15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1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15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15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1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15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15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1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15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15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1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1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1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1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15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15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1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1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15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1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15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1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1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15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15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1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15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15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1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1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15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1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15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1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1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1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1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1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15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15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1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15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15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1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15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15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1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15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1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1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15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15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1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15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15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1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1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15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1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15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15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1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15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15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1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15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15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1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15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15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1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15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15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1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15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15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1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15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15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1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15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15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1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15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15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1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15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15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1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15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15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1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15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15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1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15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15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1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15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15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1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15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15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1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15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15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15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15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15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15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15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15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15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15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15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15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15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15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15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15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15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15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15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15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15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15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15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15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15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15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15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15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15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15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15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15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15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15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15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15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15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15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15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15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15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15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15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15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15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15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15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15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15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15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15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15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15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15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15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15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15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15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15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15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15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15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15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15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15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15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15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15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15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15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15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15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15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15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15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15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15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15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15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15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15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15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15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15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15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15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15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15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15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15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15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15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15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15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15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15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15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15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15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15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15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15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15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15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15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15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15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15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15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15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15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15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15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15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15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15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15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15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15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15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15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15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15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15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15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15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15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15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15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15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15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15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15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15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15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15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15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15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15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15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15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15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15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15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15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15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15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15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15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15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15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15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15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15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15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15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15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15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15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15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15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15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15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15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15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15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15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15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15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15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15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15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15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15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15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15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15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15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15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15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15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15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15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15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15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15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15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15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15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1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1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1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15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15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15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15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15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15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15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15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15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15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15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15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15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15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15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15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15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15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1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1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1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1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1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1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1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15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15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15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15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15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15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15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15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15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15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15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15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15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15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15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15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15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15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15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15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15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15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15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15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15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15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15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15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15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15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15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15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15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15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15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15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15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15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15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15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15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15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15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15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15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15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15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15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15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15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15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15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15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15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15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15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15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15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15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15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15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15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15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15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15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15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15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15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15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15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15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15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15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15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15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15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15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15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15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15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15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15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15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15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15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15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15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15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15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15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15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15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15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15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15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15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15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15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15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15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15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15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15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15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15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15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15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15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15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15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15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15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15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15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15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15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15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15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15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15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15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15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15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15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15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15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15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15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15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15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15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15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15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15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15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15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15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15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15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15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15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15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15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15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15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15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15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15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15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15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15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15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15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15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15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15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15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15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15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15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15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15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15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15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15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15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15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15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15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15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15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15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15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15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15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15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15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15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15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15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15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15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15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15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15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15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15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15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15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15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15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15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15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15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15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15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15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15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15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15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15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15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15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15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15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15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15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15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15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15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15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15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15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15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15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15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15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15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15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15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15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15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15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15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15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15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15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15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15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15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15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15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15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15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15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15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15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15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15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15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15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15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15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15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15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15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15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15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15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15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15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15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15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15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15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15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15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15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15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15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15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15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15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15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15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15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15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15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15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15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15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15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15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15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15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15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15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15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15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15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15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15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15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15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15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15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15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15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15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15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15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15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15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15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15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15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15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15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15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15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15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15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15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15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15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15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15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15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15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15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15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15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15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15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15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15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15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15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15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15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15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15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15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15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15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15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15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15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15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15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15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15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15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15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15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15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15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15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15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15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15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1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1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1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1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1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1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1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1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1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1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1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1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1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1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1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1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1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1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1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1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1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1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1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1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1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1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1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1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1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1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1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1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1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1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1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1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1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1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1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1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1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1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1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1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1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1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1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1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1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1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1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1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1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1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1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1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1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1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1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1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1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1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1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1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1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1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1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1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1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1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1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1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1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1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1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1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1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1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1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1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1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1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1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1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1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1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1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1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1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1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1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1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1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1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1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1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1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1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1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1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1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1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1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1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1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1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1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1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1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1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1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1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1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1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1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1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1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1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1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1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1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1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1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1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1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1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1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1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1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1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1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1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1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1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1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1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1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1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1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1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1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1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1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1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1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1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1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1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1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1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1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1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1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1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1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1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1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1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1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1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1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1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1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1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1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1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1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1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1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1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1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1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1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1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1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1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1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1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1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1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1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1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1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1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1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1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1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1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1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1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1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1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1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1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1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1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1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1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1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1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1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1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1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1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1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1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1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1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1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1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1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1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1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1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1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1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1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1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1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1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1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1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1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1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1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1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1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1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1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1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1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1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1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1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1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1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1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1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1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1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1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1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1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4">
    <mergeCell ref="B65:C65"/>
    <mergeCell ref="F65:G65"/>
    <mergeCell ref="J65:K65"/>
    <mergeCell ref="N65:O65"/>
    <mergeCell ref="F73:G73"/>
    <mergeCell ref="J73:K73"/>
    <mergeCell ref="N73:O73"/>
    <mergeCell ref="B73:C73"/>
    <mergeCell ref="B81:C81"/>
    <mergeCell ref="F81:G81"/>
    <mergeCell ref="J81:K81"/>
    <mergeCell ref="N81:O8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33:C33"/>
    <mergeCell ref="F33:G33"/>
    <mergeCell ref="J33:K33"/>
    <mergeCell ref="N33:O33"/>
    <mergeCell ref="F41:G41"/>
    <mergeCell ref="J41:K41"/>
    <mergeCell ref="N41:O41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1:C1"/>
    <mergeCell ref="F1:G1"/>
    <mergeCell ref="J1:K1"/>
    <mergeCell ref="N1:O1"/>
    <mergeCell ref="F9:G9"/>
    <mergeCell ref="J9:K9"/>
    <mergeCell ref="N9:O9"/>
  </mergeCells>
  <printOptions horizontalCentered="1" verticalCentered="1"/>
  <pageMargins left="0" right="0" top="0" bottom="0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00"/>
  <sheetViews>
    <sheetView workbookViewId="0"/>
  </sheetViews>
  <sheetFormatPr defaultColWidth="14.42578125" defaultRowHeight="15" customHeight="1"/>
  <cols>
    <col min="1" max="1" width="9.42578125" customWidth="1"/>
    <col min="2" max="2" width="1.28515625" customWidth="1"/>
    <col min="3" max="3" width="32.7109375" customWidth="1"/>
    <col min="4" max="4" width="2.7109375" customWidth="1"/>
    <col min="5" max="5" width="9.42578125" customWidth="1"/>
    <col min="6" max="6" width="1.28515625" customWidth="1"/>
    <col min="7" max="7" width="32.7109375" customWidth="1"/>
    <col min="8" max="8" width="2.7109375" customWidth="1"/>
    <col min="9" max="9" width="9.42578125" customWidth="1"/>
    <col min="10" max="10" width="1.28515625" customWidth="1"/>
    <col min="11" max="11" width="32.7109375" customWidth="1"/>
    <col min="12" max="12" width="2.7109375" customWidth="1"/>
    <col min="13" max="13" width="9.42578125" customWidth="1"/>
    <col min="14" max="14" width="1.28515625" customWidth="1"/>
    <col min="15" max="15" width="32.7109375" customWidth="1"/>
    <col min="16" max="26" width="9" customWidth="1"/>
  </cols>
  <sheetData>
    <row r="1" spans="1:26" ht="16.5" customHeight="1">
      <c r="A1" s="1" t="str">
        <f t="array" ref="A1">'Label FG'!F3</f>
        <v>226</v>
      </c>
      <c r="B1" s="115" t="s">
        <v>0</v>
      </c>
      <c r="C1" s="116"/>
      <c r="D1" s="2"/>
      <c r="E1" s="1" t="str">
        <f>$A$1</f>
        <v>226</v>
      </c>
      <c r="F1" s="115" t="s">
        <v>0</v>
      </c>
      <c r="G1" s="116"/>
      <c r="H1" s="2"/>
      <c r="I1" s="1" t="str">
        <f>$A$1</f>
        <v>226</v>
      </c>
      <c r="J1" s="115" t="s">
        <v>0</v>
      </c>
      <c r="K1" s="116"/>
      <c r="L1" s="2"/>
      <c r="M1" s="1" t="str">
        <f>$A$1</f>
        <v>226</v>
      </c>
      <c r="N1" s="115" t="s">
        <v>0</v>
      </c>
      <c r="O1" s="116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3" t="s">
        <v>1</v>
      </c>
      <c r="B2" s="4" t="s">
        <v>2</v>
      </c>
      <c r="C2" s="5">
        <f>VLOOKUP(A1,'List Part'!$A$5:$C$374,2,0)</f>
        <v>955985</v>
      </c>
      <c r="D2" s="4"/>
      <c r="E2" s="3" t="s">
        <v>1</v>
      </c>
      <c r="F2" s="4" t="s">
        <v>2</v>
      </c>
      <c r="G2" s="5">
        <f>$C$2</f>
        <v>955985</v>
      </c>
      <c r="H2" s="4"/>
      <c r="I2" s="3" t="s">
        <v>1</v>
      </c>
      <c r="J2" s="4" t="s">
        <v>2</v>
      </c>
      <c r="K2" s="5">
        <f>$C$2</f>
        <v>955985</v>
      </c>
      <c r="L2" s="4"/>
      <c r="M2" s="3" t="s">
        <v>1</v>
      </c>
      <c r="N2" s="4" t="s">
        <v>2</v>
      </c>
      <c r="O2" s="5">
        <f>$C$2</f>
        <v>955985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</v>
      </c>
      <c r="B3" s="4" t="s">
        <v>2</v>
      </c>
      <c r="C3" s="5" t="str">
        <f>VLOOKUP(A1,'List Part'!$A$5:$C$374,3,0)</f>
        <v>DIN CONNECTOR FITTING</v>
      </c>
      <c r="D3" s="4"/>
      <c r="E3" s="6" t="s">
        <v>3</v>
      </c>
      <c r="F3" s="4" t="s">
        <v>2</v>
      </c>
      <c r="G3" s="7" t="str">
        <f>$C$3</f>
        <v>DIN CONNECTOR FITTING</v>
      </c>
      <c r="H3" s="4"/>
      <c r="I3" s="6" t="s">
        <v>3</v>
      </c>
      <c r="J3" s="4" t="s">
        <v>2</v>
      </c>
      <c r="K3" s="7" t="str">
        <f>$C$3</f>
        <v>DIN CONNECTOR FITTING</v>
      </c>
      <c r="L3" s="4"/>
      <c r="M3" s="6" t="s">
        <v>3</v>
      </c>
      <c r="N3" s="4" t="s">
        <v>2</v>
      </c>
      <c r="O3" s="7" t="str">
        <f>$C$3</f>
        <v>DIN CONNECTOR FITTING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4</v>
      </c>
      <c r="B4" s="4" t="s">
        <v>2</v>
      </c>
      <c r="C4" s="8">
        <f>VLOOKUP(A1,'List Part'!$A$5:$P$374,15,0)</f>
        <v>200</v>
      </c>
      <c r="D4" s="4"/>
      <c r="E4" s="6" t="s">
        <v>4</v>
      </c>
      <c r="F4" s="4" t="s">
        <v>2</v>
      </c>
      <c r="G4" s="8">
        <f>$C$4</f>
        <v>200</v>
      </c>
      <c r="H4" s="4"/>
      <c r="I4" s="6" t="s">
        <v>4</v>
      </c>
      <c r="J4" s="4" t="s">
        <v>2</v>
      </c>
      <c r="K4" s="8">
        <f>$C$4</f>
        <v>200</v>
      </c>
      <c r="L4" s="4"/>
      <c r="M4" s="6" t="s">
        <v>4</v>
      </c>
      <c r="N4" s="4" t="s">
        <v>2</v>
      </c>
      <c r="O4" s="8">
        <f>$C$4</f>
        <v>200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3" t="s">
        <v>5</v>
      </c>
      <c r="B5" s="4" t="s">
        <v>2</v>
      </c>
      <c r="C5" s="9" t="s">
        <v>6</v>
      </c>
      <c r="D5" s="4"/>
      <c r="E5" s="6" t="s">
        <v>5</v>
      </c>
      <c r="F5" s="4" t="s">
        <v>2</v>
      </c>
      <c r="G5" s="9" t="s">
        <v>6</v>
      </c>
      <c r="H5" s="4"/>
      <c r="I5" s="6" t="s">
        <v>5</v>
      </c>
      <c r="J5" s="4" t="s">
        <v>2</v>
      </c>
      <c r="K5" s="9" t="s">
        <v>6</v>
      </c>
      <c r="L5" s="4"/>
      <c r="M5" s="6" t="s">
        <v>5</v>
      </c>
      <c r="N5" s="4" t="s">
        <v>2</v>
      </c>
      <c r="O5" s="9" t="s">
        <v>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3" t="s">
        <v>7</v>
      </c>
      <c r="B6" s="4" t="s">
        <v>2</v>
      </c>
      <c r="C6" s="10">
        <f>VLOOKUP(A1,'List Part'!$A$5:$P$374,6,0)</f>
        <v>0</v>
      </c>
      <c r="D6" s="4"/>
      <c r="E6" s="3" t="s">
        <v>7</v>
      </c>
      <c r="F6" s="4" t="s">
        <v>2</v>
      </c>
      <c r="G6" s="10">
        <f>$C$6</f>
        <v>0</v>
      </c>
      <c r="H6" s="4"/>
      <c r="I6" s="3" t="s">
        <v>7</v>
      </c>
      <c r="J6" s="4" t="s">
        <v>2</v>
      </c>
      <c r="K6" s="10">
        <f>$C$6</f>
        <v>0</v>
      </c>
      <c r="L6" s="4"/>
      <c r="M6" s="3" t="s">
        <v>7</v>
      </c>
      <c r="N6" s="4" t="s">
        <v>2</v>
      </c>
      <c r="O6" s="10">
        <f>$C$6</f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11" t="s">
        <v>8</v>
      </c>
      <c r="B7" s="12" t="s">
        <v>2</v>
      </c>
      <c r="C7" s="13" t="s">
        <v>11</v>
      </c>
      <c r="D7" s="4"/>
      <c r="E7" s="14" t="s">
        <v>8</v>
      </c>
      <c r="F7" s="12" t="s">
        <v>2</v>
      </c>
      <c r="G7" s="13" t="str">
        <f>C7</f>
        <v>BY 02 05</v>
      </c>
      <c r="H7" s="4"/>
      <c r="I7" s="14" t="s">
        <v>8</v>
      </c>
      <c r="J7" s="12" t="s">
        <v>2</v>
      </c>
      <c r="K7" s="13" t="str">
        <f>G7</f>
        <v>BY 02 05</v>
      </c>
      <c r="L7" s="4"/>
      <c r="M7" s="14" t="s">
        <v>8</v>
      </c>
      <c r="N7" s="12" t="s">
        <v>2</v>
      </c>
      <c r="O7" s="13" t="str">
        <f>K7</f>
        <v>BY 02 05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>
      <c r="A8" s="15"/>
      <c r="B8" s="4"/>
      <c r="C8" s="1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1" t="str">
        <f>$A$1</f>
        <v>226</v>
      </c>
      <c r="B9" s="115" t="s">
        <v>0</v>
      </c>
      <c r="C9" s="116"/>
      <c r="D9" s="2"/>
      <c r="E9" s="1" t="str">
        <f>$A$1</f>
        <v>226</v>
      </c>
      <c r="F9" s="115" t="s">
        <v>0</v>
      </c>
      <c r="G9" s="116"/>
      <c r="H9" s="2"/>
      <c r="I9" s="1" t="str">
        <f>$A$1</f>
        <v>226</v>
      </c>
      <c r="J9" s="115" t="s">
        <v>0</v>
      </c>
      <c r="K9" s="116"/>
      <c r="L9" s="2"/>
      <c r="M9" s="1" t="str">
        <f>$A$1</f>
        <v>226</v>
      </c>
      <c r="N9" s="115" t="s">
        <v>0</v>
      </c>
      <c r="O9" s="11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 t="s">
        <v>1</v>
      </c>
      <c r="B10" s="4" t="s">
        <v>2</v>
      </c>
      <c r="C10" s="5">
        <f>$C$2</f>
        <v>955985</v>
      </c>
      <c r="D10" s="4"/>
      <c r="E10" s="3" t="s">
        <v>1</v>
      </c>
      <c r="F10" s="4" t="s">
        <v>2</v>
      </c>
      <c r="G10" s="5">
        <f>$C$2</f>
        <v>955985</v>
      </c>
      <c r="H10" s="4"/>
      <c r="I10" s="3" t="s">
        <v>1</v>
      </c>
      <c r="J10" s="4" t="s">
        <v>2</v>
      </c>
      <c r="K10" s="5">
        <f>$C$2</f>
        <v>955985</v>
      </c>
      <c r="L10" s="4"/>
      <c r="M10" s="3" t="s">
        <v>1</v>
      </c>
      <c r="N10" s="4" t="s">
        <v>2</v>
      </c>
      <c r="O10" s="5">
        <f>$C$2</f>
        <v>955985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6" t="s">
        <v>3</v>
      </c>
      <c r="B11" s="4" t="s">
        <v>2</v>
      </c>
      <c r="C11" s="7" t="str">
        <f>$C$3</f>
        <v>DIN CONNECTOR FITTING</v>
      </c>
      <c r="D11" s="4"/>
      <c r="E11" s="6" t="s">
        <v>3</v>
      </c>
      <c r="F11" s="4" t="s">
        <v>2</v>
      </c>
      <c r="G11" s="7" t="str">
        <f>$C$3</f>
        <v>DIN CONNECTOR FITTING</v>
      </c>
      <c r="H11" s="4"/>
      <c r="I11" s="6" t="s">
        <v>3</v>
      </c>
      <c r="J11" s="4" t="s">
        <v>2</v>
      </c>
      <c r="K11" s="7" t="str">
        <f>$C$3</f>
        <v>DIN CONNECTOR FITTING</v>
      </c>
      <c r="L11" s="4"/>
      <c r="M11" s="6" t="s">
        <v>3</v>
      </c>
      <c r="N11" s="4" t="s">
        <v>2</v>
      </c>
      <c r="O11" s="7" t="str">
        <f>$C$3</f>
        <v>DIN CONNECTOR FITTING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6" t="s">
        <v>4</v>
      </c>
      <c r="B12" s="4" t="s">
        <v>2</v>
      </c>
      <c r="C12" s="8">
        <f>$C$4</f>
        <v>200</v>
      </c>
      <c r="D12" s="4"/>
      <c r="E12" s="6" t="s">
        <v>4</v>
      </c>
      <c r="F12" s="4" t="s">
        <v>2</v>
      </c>
      <c r="G12" s="8">
        <f>$C$4</f>
        <v>200</v>
      </c>
      <c r="H12" s="4"/>
      <c r="I12" s="6" t="s">
        <v>4</v>
      </c>
      <c r="J12" s="4" t="s">
        <v>2</v>
      </c>
      <c r="K12" s="8">
        <f>$C$4</f>
        <v>200</v>
      </c>
      <c r="L12" s="4"/>
      <c r="M12" s="6" t="s">
        <v>4</v>
      </c>
      <c r="N12" s="4" t="s">
        <v>2</v>
      </c>
      <c r="O12" s="8">
        <f>$C$4</f>
        <v>200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6" t="s">
        <v>5</v>
      </c>
      <c r="B13" s="4" t="s">
        <v>2</v>
      </c>
      <c r="C13" s="9" t="s">
        <v>6</v>
      </c>
      <c r="D13" s="4"/>
      <c r="E13" s="6" t="s">
        <v>5</v>
      </c>
      <c r="F13" s="4" t="s">
        <v>2</v>
      </c>
      <c r="G13" s="9" t="s">
        <v>6</v>
      </c>
      <c r="H13" s="4"/>
      <c r="I13" s="6" t="s">
        <v>5</v>
      </c>
      <c r="J13" s="4" t="s">
        <v>2</v>
      </c>
      <c r="K13" s="9" t="s">
        <v>6</v>
      </c>
      <c r="L13" s="4"/>
      <c r="M13" s="6" t="s">
        <v>5</v>
      </c>
      <c r="N13" s="4" t="s">
        <v>2</v>
      </c>
      <c r="O13" s="9" t="s">
        <v>6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3" t="s">
        <v>7</v>
      </c>
      <c r="B14" s="4" t="s">
        <v>2</v>
      </c>
      <c r="C14" s="10">
        <f>$C$6</f>
        <v>0</v>
      </c>
      <c r="D14" s="4"/>
      <c r="E14" s="3" t="s">
        <v>7</v>
      </c>
      <c r="F14" s="4" t="s">
        <v>2</v>
      </c>
      <c r="G14" s="10">
        <f>$C$6</f>
        <v>0</v>
      </c>
      <c r="H14" s="4"/>
      <c r="I14" s="3" t="s">
        <v>7</v>
      </c>
      <c r="J14" s="4" t="s">
        <v>2</v>
      </c>
      <c r="K14" s="10">
        <f>$C$6</f>
        <v>0</v>
      </c>
      <c r="L14" s="4"/>
      <c r="M14" s="3" t="s">
        <v>7</v>
      </c>
      <c r="N14" s="4" t="s">
        <v>2</v>
      </c>
      <c r="O14" s="10">
        <f>$C$6</f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14" t="s">
        <v>8</v>
      </c>
      <c r="B15" s="12" t="s">
        <v>2</v>
      </c>
      <c r="C15" s="13" t="str">
        <f>C7</f>
        <v>BY 02 05</v>
      </c>
      <c r="D15" s="4"/>
      <c r="E15" s="14" t="s">
        <v>8</v>
      </c>
      <c r="F15" s="12" t="s">
        <v>2</v>
      </c>
      <c r="G15" s="13" t="str">
        <f>C15</f>
        <v>BY 02 05</v>
      </c>
      <c r="H15" s="4"/>
      <c r="I15" s="14" t="s">
        <v>8</v>
      </c>
      <c r="J15" s="12" t="s">
        <v>2</v>
      </c>
      <c r="K15" s="13" t="str">
        <f>G15</f>
        <v>BY 02 05</v>
      </c>
      <c r="L15" s="4"/>
      <c r="M15" s="14" t="s">
        <v>8</v>
      </c>
      <c r="N15" s="12" t="s">
        <v>2</v>
      </c>
      <c r="O15" s="13" t="str">
        <f>K15</f>
        <v>BY 02 05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>
      <c r="A16" s="1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1" t="str">
        <f>$A$1</f>
        <v>226</v>
      </c>
      <c r="B17" s="115" t="s">
        <v>0</v>
      </c>
      <c r="C17" s="116"/>
      <c r="D17" s="2"/>
      <c r="E17" s="1" t="str">
        <f>$A$1</f>
        <v>226</v>
      </c>
      <c r="F17" s="115" t="s">
        <v>0</v>
      </c>
      <c r="G17" s="116"/>
      <c r="H17" s="2"/>
      <c r="I17" s="1" t="str">
        <f>$A$1</f>
        <v>226</v>
      </c>
      <c r="J17" s="115" t="s">
        <v>0</v>
      </c>
      <c r="K17" s="116"/>
      <c r="L17" s="2"/>
      <c r="M17" s="1" t="str">
        <f>$A$1</f>
        <v>226</v>
      </c>
      <c r="N17" s="115" t="s">
        <v>0</v>
      </c>
      <c r="O17" s="116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 t="s">
        <v>1</v>
      </c>
      <c r="B18" s="4" t="s">
        <v>2</v>
      </c>
      <c r="C18" s="5">
        <f>$C$2</f>
        <v>955985</v>
      </c>
      <c r="D18" s="4"/>
      <c r="E18" s="3" t="s">
        <v>1</v>
      </c>
      <c r="F18" s="4" t="s">
        <v>2</v>
      </c>
      <c r="G18" s="5">
        <f>$C$2</f>
        <v>955985</v>
      </c>
      <c r="H18" s="4"/>
      <c r="I18" s="3" t="s">
        <v>1</v>
      </c>
      <c r="J18" s="4" t="s">
        <v>2</v>
      </c>
      <c r="K18" s="5">
        <f>$C$2</f>
        <v>955985</v>
      </c>
      <c r="L18" s="4"/>
      <c r="M18" s="3" t="s">
        <v>1</v>
      </c>
      <c r="N18" s="4" t="s">
        <v>2</v>
      </c>
      <c r="O18" s="5">
        <f>$C$2</f>
        <v>955985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6" t="s">
        <v>3</v>
      </c>
      <c r="B19" s="4" t="s">
        <v>2</v>
      </c>
      <c r="C19" s="7" t="str">
        <f>$C$3</f>
        <v>DIN CONNECTOR FITTING</v>
      </c>
      <c r="D19" s="4"/>
      <c r="E19" s="6" t="s">
        <v>3</v>
      </c>
      <c r="F19" s="4" t="s">
        <v>2</v>
      </c>
      <c r="G19" s="7" t="str">
        <f>$C$3</f>
        <v>DIN CONNECTOR FITTING</v>
      </c>
      <c r="H19" s="4"/>
      <c r="I19" s="6" t="s">
        <v>3</v>
      </c>
      <c r="J19" s="4" t="s">
        <v>2</v>
      </c>
      <c r="K19" s="7" t="str">
        <f>$C$3</f>
        <v>DIN CONNECTOR FITTING</v>
      </c>
      <c r="L19" s="4"/>
      <c r="M19" s="6" t="s">
        <v>3</v>
      </c>
      <c r="N19" s="4" t="s">
        <v>2</v>
      </c>
      <c r="O19" s="7" t="str">
        <f>$C$3</f>
        <v>DIN CONNECTOR FITTING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6" t="s">
        <v>4</v>
      </c>
      <c r="B20" s="4" t="s">
        <v>2</v>
      </c>
      <c r="C20" s="8">
        <f>$C$4</f>
        <v>200</v>
      </c>
      <c r="D20" s="4"/>
      <c r="E20" s="6" t="s">
        <v>4</v>
      </c>
      <c r="F20" s="4" t="s">
        <v>2</v>
      </c>
      <c r="G20" s="8">
        <f>$C$4</f>
        <v>200</v>
      </c>
      <c r="H20" s="4"/>
      <c r="I20" s="6" t="s">
        <v>4</v>
      </c>
      <c r="J20" s="4" t="s">
        <v>2</v>
      </c>
      <c r="K20" s="8">
        <f>$C$4</f>
        <v>200</v>
      </c>
      <c r="L20" s="4"/>
      <c r="M20" s="6" t="s">
        <v>4</v>
      </c>
      <c r="N20" s="4" t="s">
        <v>2</v>
      </c>
      <c r="O20" s="8">
        <f>$C$4</f>
        <v>200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6" t="s">
        <v>5</v>
      </c>
      <c r="B21" s="4" t="s">
        <v>2</v>
      </c>
      <c r="C21" s="9" t="s">
        <v>6</v>
      </c>
      <c r="D21" s="4"/>
      <c r="E21" s="6" t="s">
        <v>5</v>
      </c>
      <c r="F21" s="4" t="s">
        <v>2</v>
      </c>
      <c r="G21" s="9" t="s">
        <v>6</v>
      </c>
      <c r="H21" s="4"/>
      <c r="I21" s="6" t="s">
        <v>5</v>
      </c>
      <c r="J21" s="4" t="s">
        <v>2</v>
      </c>
      <c r="K21" s="9" t="s">
        <v>6</v>
      </c>
      <c r="L21" s="4"/>
      <c r="M21" s="6" t="s">
        <v>5</v>
      </c>
      <c r="N21" s="4" t="s">
        <v>2</v>
      </c>
      <c r="O21" s="9" t="s">
        <v>6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3" t="s">
        <v>7</v>
      </c>
      <c r="B22" s="4" t="s">
        <v>2</v>
      </c>
      <c r="C22" s="10">
        <f>$C$6</f>
        <v>0</v>
      </c>
      <c r="D22" s="4"/>
      <c r="E22" s="3" t="s">
        <v>7</v>
      </c>
      <c r="F22" s="4" t="s">
        <v>2</v>
      </c>
      <c r="G22" s="10">
        <f>$C$6</f>
        <v>0</v>
      </c>
      <c r="H22" s="4"/>
      <c r="I22" s="3" t="s">
        <v>7</v>
      </c>
      <c r="J22" s="4" t="s">
        <v>2</v>
      </c>
      <c r="K22" s="10">
        <f>$C$6</f>
        <v>0</v>
      </c>
      <c r="L22" s="4"/>
      <c r="M22" s="3" t="s">
        <v>7</v>
      </c>
      <c r="N22" s="4" t="s">
        <v>2</v>
      </c>
      <c r="O22" s="10">
        <f>$C$6</f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14" t="s">
        <v>8</v>
      </c>
      <c r="B23" s="12" t="s">
        <v>2</v>
      </c>
      <c r="C23" s="13" t="str">
        <f>C15</f>
        <v>BY 02 05</v>
      </c>
      <c r="D23" s="4"/>
      <c r="E23" s="14" t="s">
        <v>8</v>
      </c>
      <c r="F23" s="12" t="s">
        <v>2</v>
      </c>
      <c r="G23" s="13" t="str">
        <f>C23</f>
        <v>BY 02 05</v>
      </c>
      <c r="H23" s="4"/>
      <c r="I23" s="14" t="s">
        <v>8</v>
      </c>
      <c r="J23" s="12" t="s">
        <v>2</v>
      </c>
      <c r="K23" s="13" t="str">
        <f>G23</f>
        <v>BY 02 05</v>
      </c>
      <c r="L23" s="4"/>
      <c r="M23" s="14" t="s">
        <v>8</v>
      </c>
      <c r="N23" s="12" t="s">
        <v>2</v>
      </c>
      <c r="O23" s="13" t="str">
        <f>K23</f>
        <v>BY 02 05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>
      <c r="A24" s="15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1" t="str">
        <f>$A$1</f>
        <v>226</v>
      </c>
      <c r="B25" s="115" t="s">
        <v>0</v>
      </c>
      <c r="C25" s="116"/>
      <c r="D25" s="2"/>
      <c r="E25" s="1" t="str">
        <f>$A$1</f>
        <v>226</v>
      </c>
      <c r="F25" s="115" t="s">
        <v>0</v>
      </c>
      <c r="G25" s="116"/>
      <c r="H25" s="2"/>
      <c r="I25" s="1" t="str">
        <f>$A$1</f>
        <v>226</v>
      </c>
      <c r="J25" s="115" t="s">
        <v>0</v>
      </c>
      <c r="K25" s="116"/>
      <c r="L25" s="2"/>
      <c r="M25" s="1" t="str">
        <f>$A$1</f>
        <v>226</v>
      </c>
      <c r="N25" s="115" t="s">
        <v>0</v>
      </c>
      <c r="O25" s="116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 t="s">
        <v>1</v>
      </c>
      <c r="B26" s="4" t="s">
        <v>2</v>
      </c>
      <c r="C26" s="5">
        <f>$C$2</f>
        <v>955985</v>
      </c>
      <c r="D26" s="4"/>
      <c r="E26" s="3" t="s">
        <v>1</v>
      </c>
      <c r="F26" s="4" t="s">
        <v>2</v>
      </c>
      <c r="G26" s="5">
        <f>$C$2</f>
        <v>955985</v>
      </c>
      <c r="H26" s="4"/>
      <c r="I26" s="3" t="s">
        <v>1</v>
      </c>
      <c r="J26" s="4" t="s">
        <v>2</v>
      </c>
      <c r="K26" s="5">
        <f>$C$2</f>
        <v>955985</v>
      </c>
      <c r="L26" s="4"/>
      <c r="M26" s="3" t="s">
        <v>1</v>
      </c>
      <c r="N26" s="4" t="s">
        <v>2</v>
      </c>
      <c r="O26" s="5">
        <f>$C$2</f>
        <v>955985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6" t="s">
        <v>3</v>
      </c>
      <c r="B27" s="4" t="s">
        <v>2</v>
      </c>
      <c r="C27" s="7" t="str">
        <f>$C$3</f>
        <v>DIN CONNECTOR FITTING</v>
      </c>
      <c r="D27" s="4"/>
      <c r="E27" s="6" t="s">
        <v>3</v>
      </c>
      <c r="F27" s="4" t="s">
        <v>2</v>
      </c>
      <c r="G27" s="7" t="str">
        <f>$C$3</f>
        <v>DIN CONNECTOR FITTING</v>
      </c>
      <c r="H27" s="4"/>
      <c r="I27" s="6" t="s">
        <v>3</v>
      </c>
      <c r="J27" s="4" t="s">
        <v>2</v>
      </c>
      <c r="K27" s="7" t="str">
        <f>$C$3</f>
        <v>DIN CONNECTOR FITTING</v>
      </c>
      <c r="L27" s="4"/>
      <c r="M27" s="6" t="s">
        <v>3</v>
      </c>
      <c r="N27" s="4" t="s">
        <v>2</v>
      </c>
      <c r="O27" s="7" t="str">
        <f>$C$3</f>
        <v>DIN CONNECTOR FITTING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6" t="s">
        <v>4</v>
      </c>
      <c r="B28" s="4" t="s">
        <v>2</v>
      </c>
      <c r="C28" s="8">
        <f>$C$4</f>
        <v>200</v>
      </c>
      <c r="D28" s="4"/>
      <c r="E28" s="6" t="s">
        <v>4</v>
      </c>
      <c r="F28" s="4" t="s">
        <v>2</v>
      </c>
      <c r="G28" s="8">
        <f>$C$4</f>
        <v>200</v>
      </c>
      <c r="H28" s="4"/>
      <c r="I28" s="6" t="s">
        <v>4</v>
      </c>
      <c r="J28" s="4" t="s">
        <v>2</v>
      </c>
      <c r="K28" s="8">
        <f>$C$4</f>
        <v>200</v>
      </c>
      <c r="L28" s="4"/>
      <c r="M28" s="6" t="s">
        <v>4</v>
      </c>
      <c r="N28" s="4" t="s">
        <v>2</v>
      </c>
      <c r="O28" s="8">
        <f>$C$4</f>
        <v>200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6" t="s">
        <v>5</v>
      </c>
      <c r="B29" s="4" t="s">
        <v>2</v>
      </c>
      <c r="C29" s="9" t="s">
        <v>6</v>
      </c>
      <c r="D29" s="4"/>
      <c r="E29" s="6" t="s">
        <v>5</v>
      </c>
      <c r="F29" s="4" t="s">
        <v>2</v>
      </c>
      <c r="G29" s="9" t="s">
        <v>6</v>
      </c>
      <c r="H29" s="4"/>
      <c r="I29" s="6" t="s">
        <v>5</v>
      </c>
      <c r="J29" s="4" t="s">
        <v>2</v>
      </c>
      <c r="K29" s="9" t="s">
        <v>6</v>
      </c>
      <c r="L29" s="4"/>
      <c r="M29" s="6" t="s">
        <v>5</v>
      </c>
      <c r="N29" s="4" t="s">
        <v>2</v>
      </c>
      <c r="O29" s="9" t="s">
        <v>6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3" t="s">
        <v>7</v>
      </c>
      <c r="B30" s="4" t="s">
        <v>2</v>
      </c>
      <c r="C30" s="10">
        <f>$C$6</f>
        <v>0</v>
      </c>
      <c r="D30" s="4"/>
      <c r="E30" s="3" t="s">
        <v>7</v>
      </c>
      <c r="F30" s="4" t="s">
        <v>2</v>
      </c>
      <c r="G30" s="10">
        <f>$C$6</f>
        <v>0</v>
      </c>
      <c r="H30" s="4"/>
      <c r="I30" s="3" t="s">
        <v>7</v>
      </c>
      <c r="J30" s="4" t="s">
        <v>2</v>
      </c>
      <c r="K30" s="10">
        <f>$C$6</f>
        <v>0</v>
      </c>
      <c r="L30" s="4"/>
      <c r="M30" s="3" t="s">
        <v>7</v>
      </c>
      <c r="N30" s="4" t="s">
        <v>2</v>
      </c>
      <c r="O30" s="10">
        <f>$C$6</f>
        <v>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14" t="s">
        <v>8</v>
      </c>
      <c r="B31" s="12" t="s">
        <v>2</v>
      </c>
      <c r="C31" s="13" t="str">
        <f>C23</f>
        <v>BY 02 05</v>
      </c>
      <c r="D31" s="4"/>
      <c r="E31" s="14" t="s">
        <v>8</v>
      </c>
      <c r="F31" s="12" t="s">
        <v>2</v>
      </c>
      <c r="G31" s="13" t="str">
        <f>C31</f>
        <v>BY 02 05</v>
      </c>
      <c r="H31" s="4"/>
      <c r="I31" s="14" t="s">
        <v>8</v>
      </c>
      <c r="J31" s="12" t="s">
        <v>2</v>
      </c>
      <c r="K31" s="13" t="str">
        <f>G31</f>
        <v>BY 02 05</v>
      </c>
      <c r="L31" s="4"/>
      <c r="M31" s="14" t="s">
        <v>8</v>
      </c>
      <c r="N31" s="12" t="s">
        <v>2</v>
      </c>
      <c r="O31" s="13" t="str">
        <f>K31</f>
        <v>BY 02 05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>
      <c r="A32" s="15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1" t="str">
        <f>$A$1</f>
        <v>226</v>
      </c>
      <c r="B33" s="115" t="s">
        <v>0</v>
      </c>
      <c r="C33" s="116"/>
      <c r="D33" s="2"/>
      <c r="E33" s="1" t="str">
        <f>$A$1</f>
        <v>226</v>
      </c>
      <c r="F33" s="115" t="s">
        <v>0</v>
      </c>
      <c r="G33" s="116"/>
      <c r="H33" s="2"/>
      <c r="I33" s="1" t="str">
        <f>$A$1</f>
        <v>226</v>
      </c>
      <c r="J33" s="115" t="s">
        <v>0</v>
      </c>
      <c r="K33" s="116"/>
      <c r="L33" s="2"/>
      <c r="M33" s="1" t="str">
        <f>$A$1</f>
        <v>226</v>
      </c>
      <c r="N33" s="115" t="s">
        <v>0</v>
      </c>
      <c r="O33" s="11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 t="s">
        <v>1</v>
      </c>
      <c r="B34" s="4" t="s">
        <v>2</v>
      </c>
      <c r="C34" s="5">
        <f>$C$2</f>
        <v>955985</v>
      </c>
      <c r="D34" s="4"/>
      <c r="E34" s="3" t="s">
        <v>1</v>
      </c>
      <c r="F34" s="4" t="s">
        <v>2</v>
      </c>
      <c r="G34" s="5">
        <f>$C$2</f>
        <v>955985</v>
      </c>
      <c r="H34" s="4"/>
      <c r="I34" s="3" t="s">
        <v>1</v>
      </c>
      <c r="J34" s="4" t="s">
        <v>2</v>
      </c>
      <c r="K34" s="5">
        <f>$C$2</f>
        <v>955985</v>
      </c>
      <c r="L34" s="4"/>
      <c r="M34" s="3" t="s">
        <v>1</v>
      </c>
      <c r="N34" s="4" t="s">
        <v>2</v>
      </c>
      <c r="O34" s="5">
        <f>$C$2</f>
        <v>955985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6" t="s">
        <v>3</v>
      </c>
      <c r="B35" s="4" t="s">
        <v>2</v>
      </c>
      <c r="C35" s="7" t="str">
        <f>$C$3</f>
        <v>DIN CONNECTOR FITTING</v>
      </c>
      <c r="D35" s="4"/>
      <c r="E35" s="6" t="s">
        <v>3</v>
      </c>
      <c r="F35" s="4" t="s">
        <v>2</v>
      </c>
      <c r="G35" s="7" t="str">
        <f>$C$3</f>
        <v>DIN CONNECTOR FITTING</v>
      </c>
      <c r="H35" s="4"/>
      <c r="I35" s="6" t="s">
        <v>3</v>
      </c>
      <c r="J35" s="4" t="s">
        <v>2</v>
      </c>
      <c r="K35" s="7" t="str">
        <f>$C$3</f>
        <v>DIN CONNECTOR FITTING</v>
      </c>
      <c r="L35" s="4"/>
      <c r="M35" s="6" t="s">
        <v>3</v>
      </c>
      <c r="N35" s="4" t="s">
        <v>2</v>
      </c>
      <c r="O35" s="7" t="str">
        <f>$C$3</f>
        <v>DIN CONNECTOR FITTING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6" t="s">
        <v>4</v>
      </c>
      <c r="B36" s="4" t="s">
        <v>2</v>
      </c>
      <c r="C36" s="8">
        <f>$C$4</f>
        <v>200</v>
      </c>
      <c r="D36" s="4"/>
      <c r="E36" s="6" t="s">
        <v>4</v>
      </c>
      <c r="F36" s="4" t="s">
        <v>2</v>
      </c>
      <c r="G36" s="8">
        <f>$C$4</f>
        <v>200</v>
      </c>
      <c r="H36" s="4"/>
      <c r="I36" s="6" t="s">
        <v>4</v>
      </c>
      <c r="J36" s="4" t="s">
        <v>2</v>
      </c>
      <c r="K36" s="8">
        <f>$C$4</f>
        <v>200</v>
      </c>
      <c r="L36" s="4"/>
      <c r="M36" s="6" t="s">
        <v>4</v>
      </c>
      <c r="N36" s="4" t="s">
        <v>2</v>
      </c>
      <c r="O36" s="8">
        <f>$C$4</f>
        <v>200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6" t="s">
        <v>5</v>
      </c>
      <c r="B37" s="4" t="s">
        <v>2</v>
      </c>
      <c r="C37" s="9" t="s">
        <v>6</v>
      </c>
      <c r="D37" s="4"/>
      <c r="E37" s="6" t="s">
        <v>5</v>
      </c>
      <c r="F37" s="4" t="s">
        <v>2</v>
      </c>
      <c r="G37" s="9" t="s">
        <v>6</v>
      </c>
      <c r="H37" s="4"/>
      <c r="I37" s="6" t="s">
        <v>5</v>
      </c>
      <c r="J37" s="4" t="s">
        <v>2</v>
      </c>
      <c r="K37" s="9" t="s">
        <v>6</v>
      </c>
      <c r="L37" s="4"/>
      <c r="M37" s="6" t="s">
        <v>5</v>
      </c>
      <c r="N37" s="4" t="s">
        <v>2</v>
      </c>
      <c r="O37" s="9" t="s">
        <v>6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3" t="s">
        <v>7</v>
      </c>
      <c r="B38" s="4" t="s">
        <v>2</v>
      </c>
      <c r="C38" s="10">
        <f>$C$6</f>
        <v>0</v>
      </c>
      <c r="D38" s="4"/>
      <c r="E38" s="3" t="s">
        <v>7</v>
      </c>
      <c r="F38" s="4" t="s">
        <v>2</v>
      </c>
      <c r="G38" s="10">
        <f>$C$6</f>
        <v>0</v>
      </c>
      <c r="H38" s="4"/>
      <c r="I38" s="3" t="s">
        <v>7</v>
      </c>
      <c r="J38" s="4" t="s">
        <v>2</v>
      </c>
      <c r="K38" s="10">
        <f>$C$6</f>
        <v>0</v>
      </c>
      <c r="L38" s="4"/>
      <c r="M38" s="3" t="s">
        <v>7</v>
      </c>
      <c r="N38" s="4" t="s">
        <v>2</v>
      </c>
      <c r="O38" s="10">
        <f>$C$6</f>
        <v>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14" t="s">
        <v>8</v>
      </c>
      <c r="B39" s="12" t="s">
        <v>2</v>
      </c>
      <c r="C39" s="13" t="str">
        <f>C31</f>
        <v>BY 02 05</v>
      </c>
      <c r="D39" s="4"/>
      <c r="E39" s="14" t="s">
        <v>8</v>
      </c>
      <c r="F39" s="12" t="s">
        <v>2</v>
      </c>
      <c r="G39" s="13" t="str">
        <f>C39</f>
        <v>BY 02 05</v>
      </c>
      <c r="H39" s="4"/>
      <c r="I39" s="14" t="s">
        <v>8</v>
      </c>
      <c r="J39" s="12" t="s">
        <v>2</v>
      </c>
      <c r="K39" s="13" t="str">
        <f>G39</f>
        <v>BY 02 05</v>
      </c>
      <c r="L39" s="4"/>
      <c r="M39" s="14" t="s">
        <v>8</v>
      </c>
      <c r="N39" s="12" t="s">
        <v>2</v>
      </c>
      <c r="O39" s="13" t="str">
        <f>K39</f>
        <v>BY 02 05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>
      <c r="A40" s="15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1" t="str">
        <f>$A$1</f>
        <v>226</v>
      </c>
      <c r="B41" s="115" t="s">
        <v>0</v>
      </c>
      <c r="C41" s="116"/>
      <c r="D41" s="2"/>
      <c r="E41" s="1" t="str">
        <f>$A$1</f>
        <v>226</v>
      </c>
      <c r="F41" s="115" t="s">
        <v>0</v>
      </c>
      <c r="G41" s="116"/>
      <c r="H41" s="2"/>
      <c r="I41" s="1" t="str">
        <f>$A$1</f>
        <v>226</v>
      </c>
      <c r="J41" s="115" t="s">
        <v>0</v>
      </c>
      <c r="K41" s="116"/>
      <c r="L41" s="2"/>
      <c r="M41" s="1" t="str">
        <f>$A$1</f>
        <v>226</v>
      </c>
      <c r="N41" s="115" t="s">
        <v>0</v>
      </c>
      <c r="O41" s="11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 t="s">
        <v>1</v>
      </c>
      <c r="B42" s="4" t="s">
        <v>2</v>
      </c>
      <c r="C42" s="5">
        <f>$C$2</f>
        <v>955985</v>
      </c>
      <c r="D42" s="4"/>
      <c r="E42" s="3" t="s">
        <v>1</v>
      </c>
      <c r="F42" s="4" t="s">
        <v>2</v>
      </c>
      <c r="G42" s="5">
        <f>$C$2</f>
        <v>955985</v>
      </c>
      <c r="H42" s="4"/>
      <c r="I42" s="3" t="s">
        <v>1</v>
      </c>
      <c r="J42" s="4" t="s">
        <v>2</v>
      </c>
      <c r="K42" s="5">
        <f>$C$2</f>
        <v>955985</v>
      </c>
      <c r="L42" s="4"/>
      <c r="M42" s="3" t="s">
        <v>1</v>
      </c>
      <c r="N42" s="4" t="s">
        <v>2</v>
      </c>
      <c r="O42" s="5">
        <f>$C$2</f>
        <v>955985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6" t="s">
        <v>3</v>
      </c>
      <c r="B43" s="4" t="s">
        <v>2</v>
      </c>
      <c r="C43" s="7" t="str">
        <f>$C$3</f>
        <v>DIN CONNECTOR FITTING</v>
      </c>
      <c r="D43" s="4"/>
      <c r="E43" s="6" t="s">
        <v>3</v>
      </c>
      <c r="F43" s="4" t="s">
        <v>2</v>
      </c>
      <c r="G43" s="7" t="str">
        <f>$C$3</f>
        <v>DIN CONNECTOR FITTING</v>
      </c>
      <c r="H43" s="4"/>
      <c r="I43" s="6" t="s">
        <v>3</v>
      </c>
      <c r="J43" s="4" t="s">
        <v>2</v>
      </c>
      <c r="K43" s="7" t="str">
        <f>$C$3</f>
        <v>DIN CONNECTOR FITTING</v>
      </c>
      <c r="L43" s="4"/>
      <c r="M43" s="6" t="s">
        <v>3</v>
      </c>
      <c r="N43" s="4" t="s">
        <v>2</v>
      </c>
      <c r="O43" s="7" t="str">
        <f>$C$3</f>
        <v>DIN CONNECTOR FITTING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6" t="s">
        <v>4</v>
      </c>
      <c r="B44" s="4" t="s">
        <v>2</v>
      </c>
      <c r="C44" s="8">
        <f>$C$4</f>
        <v>200</v>
      </c>
      <c r="D44" s="4"/>
      <c r="E44" s="6" t="s">
        <v>4</v>
      </c>
      <c r="F44" s="4" t="s">
        <v>2</v>
      </c>
      <c r="G44" s="8">
        <f>$C$4</f>
        <v>200</v>
      </c>
      <c r="H44" s="4"/>
      <c r="I44" s="6" t="s">
        <v>4</v>
      </c>
      <c r="J44" s="4" t="s">
        <v>2</v>
      </c>
      <c r="K44" s="8">
        <f>$C$4</f>
        <v>200</v>
      </c>
      <c r="L44" s="4"/>
      <c r="M44" s="6" t="s">
        <v>4</v>
      </c>
      <c r="N44" s="4" t="s">
        <v>2</v>
      </c>
      <c r="O44" s="8">
        <f>$C$4</f>
        <v>200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6" t="s">
        <v>5</v>
      </c>
      <c r="B45" s="4" t="s">
        <v>2</v>
      </c>
      <c r="C45" s="9" t="s">
        <v>6</v>
      </c>
      <c r="D45" s="4"/>
      <c r="E45" s="6" t="s">
        <v>5</v>
      </c>
      <c r="F45" s="4" t="s">
        <v>2</v>
      </c>
      <c r="G45" s="9" t="s">
        <v>6</v>
      </c>
      <c r="H45" s="4"/>
      <c r="I45" s="6" t="s">
        <v>5</v>
      </c>
      <c r="J45" s="4" t="s">
        <v>2</v>
      </c>
      <c r="K45" s="9" t="s">
        <v>6</v>
      </c>
      <c r="L45" s="4"/>
      <c r="M45" s="6" t="s">
        <v>5</v>
      </c>
      <c r="N45" s="4" t="s">
        <v>2</v>
      </c>
      <c r="O45" s="9" t="s">
        <v>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3" t="s">
        <v>7</v>
      </c>
      <c r="B46" s="4" t="s">
        <v>2</v>
      </c>
      <c r="C46" s="10">
        <f>$C$6</f>
        <v>0</v>
      </c>
      <c r="D46" s="4"/>
      <c r="E46" s="3" t="s">
        <v>7</v>
      </c>
      <c r="F46" s="4" t="s">
        <v>2</v>
      </c>
      <c r="G46" s="10">
        <f>$C$6</f>
        <v>0</v>
      </c>
      <c r="H46" s="4"/>
      <c r="I46" s="3" t="s">
        <v>7</v>
      </c>
      <c r="J46" s="4" t="s">
        <v>2</v>
      </c>
      <c r="K46" s="10">
        <f>$C$6</f>
        <v>0</v>
      </c>
      <c r="L46" s="4"/>
      <c r="M46" s="3" t="s">
        <v>7</v>
      </c>
      <c r="N46" s="4" t="s">
        <v>2</v>
      </c>
      <c r="O46" s="10">
        <f>$C$6</f>
        <v>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14" t="s">
        <v>8</v>
      </c>
      <c r="B47" s="12" t="s">
        <v>2</v>
      </c>
      <c r="C47" s="13" t="str">
        <f>C39</f>
        <v>BY 02 05</v>
      </c>
      <c r="D47" s="4"/>
      <c r="E47" s="14" t="s">
        <v>8</v>
      </c>
      <c r="F47" s="12" t="s">
        <v>2</v>
      </c>
      <c r="G47" s="13" t="str">
        <f>C47</f>
        <v>BY 02 05</v>
      </c>
      <c r="H47" s="4"/>
      <c r="I47" s="14" t="s">
        <v>8</v>
      </c>
      <c r="J47" s="12" t="s">
        <v>2</v>
      </c>
      <c r="K47" s="13" t="str">
        <f>G47</f>
        <v>BY 02 05</v>
      </c>
      <c r="L47" s="4"/>
      <c r="M47" s="14" t="s">
        <v>8</v>
      </c>
      <c r="N47" s="12" t="s">
        <v>2</v>
      </c>
      <c r="O47" s="13" t="str">
        <f>K47</f>
        <v>BY 02 05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>
      <c r="A48" s="15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1" t="str">
        <f>$A$1</f>
        <v>226</v>
      </c>
      <c r="B49" s="115" t="s">
        <v>0</v>
      </c>
      <c r="C49" s="116"/>
      <c r="D49" s="2"/>
      <c r="E49" s="1" t="str">
        <f>$A$1</f>
        <v>226</v>
      </c>
      <c r="F49" s="115" t="s">
        <v>0</v>
      </c>
      <c r="G49" s="116"/>
      <c r="H49" s="2"/>
      <c r="I49" s="1" t="str">
        <f>$A$1</f>
        <v>226</v>
      </c>
      <c r="J49" s="115" t="s">
        <v>0</v>
      </c>
      <c r="K49" s="116"/>
      <c r="L49" s="2"/>
      <c r="M49" s="1" t="str">
        <f>$A$1</f>
        <v>226</v>
      </c>
      <c r="N49" s="115" t="s">
        <v>0</v>
      </c>
      <c r="O49" s="11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 t="s">
        <v>1</v>
      </c>
      <c r="B50" s="4" t="s">
        <v>2</v>
      </c>
      <c r="C50" s="5">
        <f>$C$2</f>
        <v>955985</v>
      </c>
      <c r="D50" s="4"/>
      <c r="E50" s="3" t="s">
        <v>1</v>
      </c>
      <c r="F50" s="4" t="s">
        <v>2</v>
      </c>
      <c r="G50" s="5">
        <f>$C$2</f>
        <v>955985</v>
      </c>
      <c r="H50" s="4"/>
      <c r="I50" s="3" t="s">
        <v>1</v>
      </c>
      <c r="J50" s="4" t="s">
        <v>2</v>
      </c>
      <c r="K50" s="5">
        <f>$C$2</f>
        <v>955985</v>
      </c>
      <c r="L50" s="4"/>
      <c r="M50" s="3" t="s">
        <v>1</v>
      </c>
      <c r="N50" s="4" t="s">
        <v>2</v>
      </c>
      <c r="O50" s="5">
        <f>$C$2</f>
        <v>955985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6" t="s">
        <v>3</v>
      </c>
      <c r="B51" s="4" t="s">
        <v>2</v>
      </c>
      <c r="C51" s="7" t="str">
        <f>$C$3</f>
        <v>DIN CONNECTOR FITTING</v>
      </c>
      <c r="D51" s="4"/>
      <c r="E51" s="6" t="s">
        <v>3</v>
      </c>
      <c r="F51" s="4" t="s">
        <v>2</v>
      </c>
      <c r="G51" s="7" t="str">
        <f>$C$3</f>
        <v>DIN CONNECTOR FITTING</v>
      </c>
      <c r="H51" s="4"/>
      <c r="I51" s="6" t="s">
        <v>3</v>
      </c>
      <c r="J51" s="4" t="s">
        <v>2</v>
      </c>
      <c r="K51" s="7" t="str">
        <f>$C$3</f>
        <v>DIN CONNECTOR FITTING</v>
      </c>
      <c r="L51" s="4"/>
      <c r="M51" s="6" t="s">
        <v>3</v>
      </c>
      <c r="N51" s="4" t="s">
        <v>2</v>
      </c>
      <c r="O51" s="7" t="str">
        <f>$C$3</f>
        <v>DIN CONNECTOR FITTING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6" t="s">
        <v>4</v>
      </c>
      <c r="B52" s="4" t="s">
        <v>2</v>
      </c>
      <c r="C52" s="8">
        <f>$C$4</f>
        <v>200</v>
      </c>
      <c r="D52" s="4"/>
      <c r="E52" s="6" t="s">
        <v>4</v>
      </c>
      <c r="F52" s="4" t="s">
        <v>2</v>
      </c>
      <c r="G52" s="8">
        <f>$C$4</f>
        <v>200</v>
      </c>
      <c r="H52" s="4"/>
      <c r="I52" s="6" t="s">
        <v>4</v>
      </c>
      <c r="J52" s="4" t="s">
        <v>2</v>
      </c>
      <c r="K52" s="8">
        <f>$C$4</f>
        <v>200</v>
      </c>
      <c r="L52" s="4"/>
      <c r="M52" s="6" t="s">
        <v>4</v>
      </c>
      <c r="N52" s="4" t="s">
        <v>2</v>
      </c>
      <c r="O52" s="8">
        <f>$C$4</f>
        <v>200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6" t="s">
        <v>5</v>
      </c>
      <c r="B53" s="4" t="s">
        <v>2</v>
      </c>
      <c r="C53" s="9" t="s">
        <v>6</v>
      </c>
      <c r="D53" s="4"/>
      <c r="E53" s="6" t="s">
        <v>5</v>
      </c>
      <c r="F53" s="4" t="s">
        <v>2</v>
      </c>
      <c r="G53" s="9" t="s">
        <v>6</v>
      </c>
      <c r="H53" s="4"/>
      <c r="I53" s="6" t="s">
        <v>5</v>
      </c>
      <c r="J53" s="4" t="s">
        <v>2</v>
      </c>
      <c r="K53" s="9" t="s">
        <v>6</v>
      </c>
      <c r="L53" s="4"/>
      <c r="M53" s="6" t="s">
        <v>5</v>
      </c>
      <c r="N53" s="4" t="s">
        <v>2</v>
      </c>
      <c r="O53" s="9" t="s">
        <v>6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3" t="s">
        <v>7</v>
      </c>
      <c r="B54" s="4" t="s">
        <v>2</v>
      </c>
      <c r="C54" s="10">
        <f>$C$6</f>
        <v>0</v>
      </c>
      <c r="D54" s="4"/>
      <c r="E54" s="3" t="s">
        <v>7</v>
      </c>
      <c r="F54" s="4" t="s">
        <v>2</v>
      </c>
      <c r="G54" s="10">
        <f>$C$6</f>
        <v>0</v>
      </c>
      <c r="H54" s="4"/>
      <c r="I54" s="3" t="s">
        <v>7</v>
      </c>
      <c r="J54" s="4" t="s">
        <v>2</v>
      </c>
      <c r="K54" s="10">
        <f>$C$6</f>
        <v>0</v>
      </c>
      <c r="L54" s="4"/>
      <c r="M54" s="3" t="s">
        <v>7</v>
      </c>
      <c r="N54" s="4" t="s">
        <v>2</v>
      </c>
      <c r="O54" s="10">
        <f>$C$6</f>
        <v>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14" t="s">
        <v>8</v>
      </c>
      <c r="B55" s="12" t="s">
        <v>2</v>
      </c>
      <c r="C55" s="13" t="str">
        <f>C47</f>
        <v>BY 02 05</v>
      </c>
      <c r="D55" s="4"/>
      <c r="E55" s="14" t="s">
        <v>8</v>
      </c>
      <c r="F55" s="12" t="s">
        <v>2</v>
      </c>
      <c r="G55" s="13" t="str">
        <f>C55</f>
        <v>BY 02 05</v>
      </c>
      <c r="H55" s="4"/>
      <c r="I55" s="14" t="s">
        <v>8</v>
      </c>
      <c r="J55" s="12" t="s">
        <v>2</v>
      </c>
      <c r="K55" s="13" t="str">
        <f>G55</f>
        <v>BY 02 05</v>
      </c>
      <c r="L55" s="4"/>
      <c r="M55" s="14" t="s">
        <v>8</v>
      </c>
      <c r="N55" s="12" t="s">
        <v>2</v>
      </c>
      <c r="O55" s="13" t="str">
        <f>K55</f>
        <v>BY 02 05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>
      <c r="A56" s="15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1" t="str">
        <f>$A$1</f>
        <v>226</v>
      </c>
      <c r="B57" s="115" t="s">
        <v>0</v>
      </c>
      <c r="C57" s="116"/>
      <c r="D57" s="2"/>
      <c r="E57" s="1" t="str">
        <f>$A$1</f>
        <v>226</v>
      </c>
      <c r="F57" s="115" t="s">
        <v>0</v>
      </c>
      <c r="G57" s="116"/>
      <c r="H57" s="2"/>
      <c r="I57" s="1" t="str">
        <f>$A$1</f>
        <v>226</v>
      </c>
      <c r="J57" s="115" t="s">
        <v>0</v>
      </c>
      <c r="K57" s="116"/>
      <c r="L57" s="2"/>
      <c r="M57" s="1" t="str">
        <f>$A$1</f>
        <v>226</v>
      </c>
      <c r="N57" s="115" t="s">
        <v>0</v>
      </c>
      <c r="O57" s="11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 t="s">
        <v>1</v>
      </c>
      <c r="B58" s="4" t="s">
        <v>2</v>
      </c>
      <c r="C58" s="5">
        <f>$C$2</f>
        <v>955985</v>
      </c>
      <c r="D58" s="4"/>
      <c r="E58" s="3" t="s">
        <v>1</v>
      </c>
      <c r="F58" s="4" t="s">
        <v>2</v>
      </c>
      <c r="G58" s="5">
        <f>$C$2</f>
        <v>955985</v>
      </c>
      <c r="H58" s="4"/>
      <c r="I58" s="3" t="s">
        <v>1</v>
      </c>
      <c r="J58" s="4" t="s">
        <v>2</v>
      </c>
      <c r="K58" s="5">
        <f>$C$2</f>
        <v>955985</v>
      </c>
      <c r="L58" s="4"/>
      <c r="M58" s="3" t="s">
        <v>1</v>
      </c>
      <c r="N58" s="4" t="s">
        <v>2</v>
      </c>
      <c r="O58" s="5">
        <f>$C$2</f>
        <v>955985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6" t="s">
        <v>3</v>
      </c>
      <c r="B59" s="4" t="s">
        <v>2</v>
      </c>
      <c r="C59" s="7" t="str">
        <f>$C$3</f>
        <v>DIN CONNECTOR FITTING</v>
      </c>
      <c r="D59" s="4"/>
      <c r="E59" s="6" t="s">
        <v>3</v>
      </c>
      <c r="F59" s="4" t="s">
        <v>2</v>
      </c>
      <c r="G59" s="7" t="str">
        <f>$C$3</f>
        <v>DIN CONNECTOR FITTING</v>
      </c>
      <c r="H59" s="4"/>
      <c r="I59" s="6" t="s">
        <v>3</v>
      </c>
      <c r="J59" s="4" t="s">
        <v>2</v>
      </c>
      <c r="K59" s="7" t="str">
        <f>$C$3</f>
        <v>DIN CONNECTOR FITTING</v>
      </c>
      <c r="L59" s="4"/>
      <c r="M59" s="6" t="s">
        <v>3</v>
      </c>
      <c r="N59" s="4" t="s">
        <v>2</v>
      </c>
      <c r="O59" s="7" t="str">
        <f>$C$3</f>
        <v>DIN CONNECTOR FITTING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6" t="s">
        <v>4</v>
      </c>
      <c r="B60" s="4" t="s">
        <v>2</v>
      </c>
      <c r="C60" s="8">
        <f>$C$4</f>
        <v>200</v>
      </c>
      <c r="D60" s="4"/>
      <c r="E60" s="6" t="s">
        <v>4</v>
      </c>
      <c r="F60" s="4" t="s">
        <v>2</v>
      </c>
      <c r="G60" s="8">
        <f>$C$4</f>
        <v>200</v>
      </c>
      <c r="H60" s="4"/>
      <c r="I60" s="6" t="s">
        <v>4</v>
      </c>
      <c r="J60" s="4" t="s">
        <v>2</v>
      </c>
      <c r="K60" s="8">
        <f>$C$4</f>
        <v>200</v>
      </c>
      <c r="L60" s="4"/>
      <c r="M60" s="6" t="s">
        <v>4</v>
      </c>
      <c r="N60" s="4" t="s">
        <v>2</v>
      </c>
      <c r="O60" s="8">
        <f>$C$4</f>
        <v>200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6" t="s">
        <v>5</v>
      </c>
      <c r="B61" s="4" t="s">
        <v>2</v>
      </c>
      <c r="C61" s="9" t="s">
        <v>6</v>
      </c>
      <c r="D61" s="4"/>
      <c r="E61" s="6" t="s">
        <v>5</v>
      </c>
      <c r="F61" s="4" t="s">
        <v>2</v>
      </c>
      <c r="G61" s="9" t="s">
        <v>6</v>
      </c>
      <c r="H61" s="4"/>
      <c r="I61" s="6" t="s">
        <v>5</v>
      </c>
      <c r="J61" s="4" t="s">
        <v>2</v>
      </c>
      <c r="K61" s="9" t="s">
        <v>6</v>
      </c>
      <c r="L61" s="4"/>
      <c r="M61" s="6" t="s">
        <v>5</v>
      </c>
      <c r="N61" s="4" t="s">
        <v>2</v>
      </c>
      <c r="O61" s="9" t="s">
        <v>6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3" t="s">
        <v>7</v>
      </c>
      <c r="B62" s="4" t="s">
        <v>2</v>
      </c>
      <c r="C62" s="10">
        <f>$C$6</f>
        <v>0</v>
      </c>
      <c r="D62" s="4"/>
      <c r="E62" s="3" t="s">
        <v>7</v>
      </c>
      <c r="F62" s="4" t="s">
        <v>2</v>
      </c>
      <c r="G62" s="10">
        <f>$C$6</f>
        <v>0</v>
      </c>
      <c r="H62" s="4"/>
      <c r="I62" s="3" t="s">
        <v>7</v>
      </c>
      <c r="J62" s="4" t="s">
        <v>2</v>
      </c>
      <c r="K62" s="10">
        <f>$C$6</f>
        <v>0</v>
      </c>
      <c r="L62" s="4"/>
      <c r="M62" s="3" t="s">
        <v>7</v>
      </c>
      <c r="N62" s="4" t="s">
        <v>2</v>
      </c>
      <c r="O62" s="10">
        <f>$C$6</f>
        <v>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14" t="s">
        <v>8</v>
      </c>
      <c r="B63" s="12" t="s">
        <v>2</v>
      </c>
      <c r="C63" s="13" t="str">
        <f>C55</f>
        <v>BY 02 05</v>
      </c>
      <c r="D63" s="4"/>
      <c r="E63" s="14" t="s">
        <v>8</v>
      </c>
      <c r="F63" s="12" t="s">
        <v>2</v>
      </c>
      <c r="G63" s="13" t="str">
        <f>C63</f>
        <v>BY 02 05</v>
      </c>
      <c r="H63" s="4"/>
      <c r="I63" s="14" t="s">
        <v>8</v>
      </c>
      <c r="J63" s="12" t="s">
        <v>2</v>
      </c>
      <c r="K63" s="13" t="str">
        <f>G63</f>
        <v>BY 02 05</v>
      </c>
      <c r="L63" s="4"/>
      <c r="M63" s="14" t="s">
        <v>8</v>
      </c>
      <c r="N63" s="12" t="s">
        <v>2</v>
      </c>
      <c r="O63" s="13" t="str">
        <f>K63</f>
        <v>BY 02 05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>
      <c r="A64" s="1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1" t="str">
        <f>$A$1</f>
        <v>226</v>
      </c>
      <c r="B65" s="115" t="s">
        <v>0</v>
      </c>
      <c r="C65" s="116"/>
      <c r="D65" s="2"/>
      <c r="E65" s="1" t="str">
        <f>$A$1</f>
        <v>226</v>
      </c>
      <c r="F65" s="115" t="s">
        <v>0</v>
      </c>
      <c r="G65" s="116"/>
      <c r="H65" s="2"/>
      <c r="I65" s="1" t="str">
        <f>$A$1</f>
        <v>226</v>
      </c>
      <c r="J65" s="115" t="s">
        <v>0</v>
      </c>
      <c r="K65" s="116"/>
      <c r="L65" s="2"/>
      <c r="M65" s="1" t="str">
        <f>$A$1</f>
        <v>226</v>
      </c>
      <c r="N65" s="115" t="s">
        <v>0</v>
      </c>
      <c r="O65" s="11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 t="s">
        <v>1</v>
      </c>
      <c r="B66" s="4" t="s">
        <v>2</v>
      </c>
      <c r="C66" s="5">
        <f>$C$2</f>
        <v>955985</v>
      </c>
      <c r="D66" s="4"/>
      <c r="E66" s="3" t="s">
        <v>1</v>
      </c>
      <c r="F66" s="4" t="s">
        <v>2</v>
      </c>
      <c r="G66" s="5">
        <f>$C$2</f>
        <v>955985</v>
      </c>
      <c r="H66" s="4"/>
      <c r="I66" s="3" t="s">
        <v>1</v>
      </c>
      <c r="J66" s="4" t="s">
        <v>2</v>
      </c>
      <c r="K66" s="5">
        <f>$C$2</f>
        <v>955985</v>
      </c>
      <c r="L66" s="4"/>
      <c r="M66" s="3" t="s">
        <v>1</v>
      </c>
      <c r="N66" s="4" t="s">
        <v>2</v>
      </c>
      <c r="O66" s="5">
        <f>$C$2</f>
        <v>955985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6" t="s">
        <v>3</v>
      </c>
      <c r="B67" s="4" t="s">
        <v>2</v>
      </c>
      <c r="C67" s="7" t="str">
        <f>$C$3</f>
        <v>DIN CONNECTOR FITTING</v>
      </c>
      <c r="D67" s="4"/>
      <c r="E67" s="6" t="s">
        <v>3</v>
      </c>
      <c r="F67" s="4" t="s">
        <v>2</v>
      </c>
      <c r="G67" s="7" t="str">
        <f>$C$3</f>
        <v>DIN CONNECTOR FITTING</v>
      </c>
      <c r="H67" s="4"/>
      <c r="I67" s="6" t="s">
        <v>3</v>
      </c>
      <c r="J67" s="4" t="s">
        <v>2</v>
      </c>
      <c r="K67" s="7" t="str">
        <f>$C$3</f>
        <v>DIN CONNECTOR FITTING</v>
      </c>
      <c r="L67" s="4"/>
      <c r="M67" s="6" t="s">
        <v>3</v>
      </c>
      <c r="N67" s="4" t="s">
        <v>2</v>
      </c>
      <c r="O67" s="7" t="str">
        <f>$C$3</f>
        <v>DIN CONNECTOR FITTING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6" t="s">
        <v>4</v>
      </c>
      <c r="B68" s="4" t="s">
        <v>2</v>
      </c>
      <c r="C68" s="8">
        <f>$C$4</f>
        <v>200</v>
      </c>
      <c r="D68" s="4"/>
      <c r="E68" s="6" t="s">
        <v>4</v>
      </c>
      <c r="F68" s="4" t="s">
        <v>2</v>
      </c>
      <c r="G68" s="8">
        <f>$C$4</f>
        <v>200</v>
      </c>
      <c r="H68" s="4"/>
      <c r="I68" s="6" t="s">
        <v>4</v>
      </c>
      <c r="J68" s="4" t="s">
        <v>2</v>
      </c>
      <c r="K68" s="8">
        <f>$C$4</f>
        <v>200</v>
      </c>
      <c r="L68" s="4"/>
      <c r="M68" s="6" t="s">
        <v>4</v>
      </c>
      <c r="N68" s="4" t="s">
        <v>2</v>
      </c>
      <c r="O68" s="8">
        <f>$C$4</f>
        <v>200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6" t="s">
        <v>5</v>
      </c>
      <c r="B69" s="4" t="s">
        <v>2</v>
      </c>
      <c r="C69" s="9" t="s">
        <v>6</v>
      </c>
      <c r="D69" s="4"/>
      <c r="E69" s="6" t="s">
        <v>5</v>
      </c>
      <c r="F69" s="4" t="s">
        <v>2</v>
      </c>
      <c r="G69" s="9" t="s">
        <v>6</v>
      </c>
      <c r="H69" s="4"/>
      <c r="I69" s="6" t="s">
        <v>5</v>
      </c>
      <c r="J69" s="4" t="s">
        <v>2</v>
      </c>
      <c r="K69" s="9" t="s">
        <v>6</v>
      </c>
      <c r="L69" s="4"/>
      <c r="M69" s="6" t="s">
        <v>5</v>
      </c>
      <c r="N69" s="4" t="s">
        <v>2</v>
      </c>
      <c r="O69" s="9" t="s">
        <v>6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3" t="s">
        <v>7</v>
      </c>
      <c r="B70" s="4" t="s">
        <v>2</v>
      </c>
      <c r="C70" s="10">
        <f>$C$6</f>
        <v>0</v>
      </c>
      <c r="D70" s="4"/>
      <c r="E70" s="3" t="s">
        <v>7</v>
      </c>
      <c r="F70" s="4" t="s">
        <v>2</v>
      </c>
      <c r="G70" s="10">
        <f>$C$6</f>
        <v>0</v>
      </c>
      <c r="H70" s="4"/>
      <c r="I70" s="3" t="s">
        <v>7</v>
      </c>
      <c r="J70" s="4" t="s">
        <v>2</v>
      </c>
      <c r="K70" s="10">
        <f>$C$6</f>
        <v>0</v>
      </c>
      <c r="L70" s="4"/>
      <c r="M70" s="3" t="s">
        <v>7</v>
      </c>
      <c r="N70" s="4" t="s">
        <v>2</v>
      </c>
      <c r="O70" s="10">
        <f>$C$6</f>
        <v>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14" t="s">
        <v>8</v>
      </c>
      <c r="B71" s="12" t="s">
        <v>2</v>
      </c>
      <c r="C71" s="13" t="str">
        <f>C63</f>
        <v>BY 02 05</v>
      </c>
      <c r="D71" s="4"/>
      <c r="E71" s="14" t="s">
        <v>8</v>
      </c>
      <c r="F71" s="12" t="s">
        <v>2</v>
      </c>
      <c r="G71" s="13" t="str">
        <f>C71</f>
        <v>BY 02 05</v>
      </c>
      <c r="H71" s="4"/>
      <c r="I71" s="14" t="s">
        <v>8</v>
      </c>
      <c r="J71" s="12" t="s">
        <v>2</v>
      </c>
      <c r="K71" s="13" t="str">
        <f>G71</f>
        <v>BY 02 05</v>
      </c>
      <c r="L71" s="4"/>
      <c r="M71" s="14" t="s">
        <v>8</v>
      </c>
      <c r="N71" s="12" t="s">
        <v>2</v>
      </c>
      <c r="O71" s="13" t="str">
        <f>K71</f>
        <v>BY 02 05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>
      <c r="A72" s="15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1" t="str">
        <f>$A$1</f>
        <v>226</v>
      </c>
      <c r="B73" s="115" t="s">
        <v>0</v>
      </c>
      <c r="C73" s="116"/>
      <c r="D73" s="2"/>
      <c r="E73" s="1" t="str">
        <f>$A$1</f>
        <v>226</v>
      </c>
      <c r="F73" s="115" t="s">
        <v>0</v>
      </c>
      <c r="G73" s="116"/>
      <c r="H73" s="2"/>
      <c r="I73" s="1" t="str">
        <f>$A$1</f>
        <v>226</v>
      </c>
      <c r="J73" s="115" t="s">
        <v>0</v>
      </c>
      <c r="K73" s="116"/>
      <c r="L73" s="2"/>
      <c r="M73" s="1" t="str">
        <f>$A$1</f>
        <v>226</v>
      </c>
      <c r="N73" s="115" t="s">
        <v>0</v>
      </c>
      <c r="O73" s="11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3" t="s">
        <v>1</v>
      </c>
      <c r="B74" s="4" t="s">
        <v>2</v>
      </c>
      <c r="C74" s="5">
        <f>$C$2</f>
        <v>955985</v>
      </c>
      <c r="D74" s="4"/>
      <c r="E74" s="3" t="s">
        <v>1</v>
      </c>
      <c r="F74" s="4" t="s">
        <v>2</v>
      </c>
      <c r="G74" s="5">
        <f>$C$2</f>
        <v>955985</v>
      </c>
      <c r="H74" s="4"/>
      <c r="I74" s="3" t="s">
        <v>1</v>
      </c>
      <c r="J74" s="4" t="s">
        <v>2</v>
      </c>
      <c r="K74" s="5">
        <f>$C$2</f>
        <v>955985</v>
      </c>
      <c r="L74" s="4"/>
      <c r="M74" s="3" t="s">
        <v>1</v>
      </c>
      <c r="N74" s="4" t="s">
        <v>2</v>
      </c>
      <c r="O74" s="5">
        <f>$C$2</f>
        <v>955985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6" t="s">
        <v>3</v>
      </c>
      <c r="B75" s="4" t="s">
        <v>2</v>
      </c>
      <c r="C75" s="7" t="str">
        <f>$C$3</f>
        <v>DIN CONNECTOR FITTING</v>
      </c>
      <c r="D75" s="4"/>
      <c r="E75" s="6" t="s">
        <v>3</v>
      </c>
      <c r="F75" s="4" t="s">
        <v>2</v>
      </c>
      <c r="G75" s="7" t="str">
        <f>$C$3</f>
        <v>DIN CONNECTOR FITTING</v>
      </c>
      <c r="H75" s="4"/>
      <c r="I75" s="6" t="s">
        <v>3</v>
      </c>
      <c r="J75" s="4" t="s">
        <v>2</v>
      </c>
      <c r="K75" s="7" t="str">
        <f>$C$3</f>
        <v>DIN CONNECTOR FITTING</v>
      </c>
      <c r="L75" s="4"/>
      <c r="M75" s="6" t="s">
        <v>3</v>
      </c>
      <c r="N75" s="4" t="s">
        <v>2</v>
      </c>
      <c r="O75" s="7" t="str">
        <f>$C$3</f>
        <v>DIN CONNECTOR FITTING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6" t="s">
        <v>4</v>
      </c>
      <c r="B76" s="4" t="s">
        <v>2</v>
      </c>
      <c r="C76" s="8">
        <f>$C$4</f>
        <v>200</v>
      </c>
      <c r="D76" s="4"/>
      <c r="E76" s="6" t="s">
        <v>4</v>
      </c>
      <c r="F76" s="4" t="s">
        <v>2</v>
      </c>
      <c r="G76" s="8">
        <f>$C$4</f>
        <v>200</v>
      </c>
      <c r="H76" s="4"/>
      <c r="I76" s="6" t="s">
        <v>4</v>
      </c>
      <c r="J76" s="4" t="s">
        <v>2</v>
      </c>
      <c r="K76" s="8">
        <f>$C$4</f>
        <v>200</v>
      </c>
      <c r="L76" s="4"/>
      <c r="M76" s="6" t="s">
        <v>4</v>
      </c>
      <c r="N76" s="4" t="s">
        <v>2</v>
      </c>
      <c r="O76" s="8">
        <f>$C$4</f>
        <v>200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6" t="s">
        <v>5</v>
      </c>
      <c r="B77" s="4" t="s">
        <v>2</v>
      </c>
      <c r="C77" s="9" t="s">
        <v>6</v>
      </c>
      <c r="D77" s="4"/>
      <c r="E77" s="6" t="s">
        <v>5</v>
      </c>
      <c r="F77" s="4" t="s">
        <v>2</v>
      </c>
      <c r="G77" s="9" t="s">
        <v>6</v>
      </c>
      <c r="H77" s="4"/>
      <c r="I77" s="6" t="s">
        <v>5</v>
      </c>
      <c r="J77" s="4" t="s">
        <v>2</v>
      </c>
      <c r="K77" s="9" t="s">
        <v>6</v>
      </c>
      <c r="L77" s="4"/>
      <c r="M77" s="6" t="s">
        <v>5</v>
      </c>
      <c r="N77" s="4" t="s">
        <v>2</v>
      </c>
      <c r="O77" s="9" t="s">
        <v>6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3" t="s">
        <v>7</v>
      </c>
      <c r="B78" s="4" t="s">
        <v>2</v>
      </c>
      <c r="C78" s="10">
        <f>$C$6</f>
        <v>0</v>
      </c>
      <c r="D78" s="4"/>
      <c r="E78" s="3" t="s">
        <v>7</v>
      </c>
      <c r="F78" s="4" t="s">
        <v>2</v>
      </c>
      <c r="G78" s="10">
        <f>$C$6</f>
        <v>0</v>
      </c>
      <c r="H78" s="4"/>
      <c r="I78" s="3" t="s">
        <v>7</v>
      </c>
      <c r="J78" s="4" t="s">
        <v>2</v>
      </c>
      <c r="K78" s="10">
        <f>$C$6</f>
        <v>0</v>
      </c>
      <c r="L78" s="4"/>
      <c r="M78" s="3" t="s">
        <v>7</v>
      </c>
      <c r="N78" s="4" t="s">
        <v>2</v>
      </c>
      <c r="O78" s="10">
        <f>$C$6</f>
        <v>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14" t="s">
        <v>8</v>
      </c>
      <c r="B79" s="12" t="s">
        <v>2</v>
      </c>
      <c r="C79" s="13" t="str">
        <f>C71</f>
        <v>BY 02 05</v>
      </c>
      <c r="D79" s="4"/>
      <c r="E79" s="14" t="s">
        <v>8</v>
      </c>
      <c r="F79" s="12" t="s">
        <v>2</v>
      </c>
      <c r="G79" s="13" t="str">
        <f>C79</f>
        <v>BY 02 05</v>
      </c>
      <c r="H79" s="4"/>
      <c r="I79" s="14" t="s">
        <v>8</v>
      </c>
      <c r="J79" s="12" t="s">
        <v>2</v>
      </c>
      <c r="K79" s="13" t="str">
        <f>G79</f>
        <v>BY 02 05</v>
      </c>
      <c r="L79" s="4"/>
      <c r="M79" s="14" t="s">
        <v>8</v>
      </c>
      <c r="N79" s="12" t="s">
        <v>2</v>
      </c>
      <c r="O79" s="13" t="str">
        <f>K79</f>
        <v>BY 02 05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>
      <c r="A80" s="15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1" t="str">
        <f>$A$1</f>
        <v>226</v>
      </c>
      <c r="B81" s="115" t="s">
        <v>0</v>
      </c>
      <c r="C81" s="116"/>
      <c r="D81" s="2"/>
      <c r="E81" s="1" t="str">
        <f>$A$1</f>
        <v>226</v>
      </c>
      <c r="F81" s="115" t="s">
        <v>0</v>
      </c>
      <c r="G81" s="116"/>
      <c r="H81" s="2"/>
      <c r="I81" s="1" t="str">
        <f>$A$1</f>
        <v>226</v>
      </c>
      <c r="J81" s="115" t="s">
        <v>0</v>
      </c>
      <c r="K81" s="116"/>
      <c r="L81" s="2"/>
      <c r="M81" s="1" t="str">
        <f>$A$1</f>
        <v>226</v>
      </c>
      <c r="N81" s="115" t="s">
        <v>0</v>
      </c>
      <c r="O81" s="11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3" t="s">
        <v>1</v>
      </c>
      <c r="B82" s="4" t="s">
        <v>2</v>
      </c>
      <c r="C82" s="5">
        <f>$C$2</f>
        <v>955985</v>
      </c>
      <c r="D82" s="4"/>
      <c r="E82" s="3" t="s">
        <v>1</v>
      </c>
      <c r="F82" s="4" t="s">
        <v>2</v>
      </c>
      <c r="G82" s="5">
        <f>$C$2</f>
        <v>955985</v>
      </c>
      <c r="H82" s="4"/>
      <c r="I82" s="3" t="s">
        <v>1</v>
      </c>
      <c r="J82" s="4" t="s">
        <v>2</v>
      </c>
      <c r="K82" s="5">
        <f>$C$2</f>
        <v>955985</v>
      </c>
      <c r="L82" s="4"/>
      <c r="M82" s="3" t="s">
        <v>1</v>
      </c>
      <c r="N82" s="4" t="s">
        <v>2</v>
      </c>
      <c r="O82" s="5">
        <f>$C$2</f>
        <v>955985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6" t="s">
        <v>3</v>
      </c>
      <c r="B83" s="4" t="s">
        <v>2</v>
      </c>
      <c r="C83" s="7" t="str">
        <f>$C$3</f>
        <v>DIN CONNECTOR FITTING</v>
      </c>
      <c r="D83" s="4"/>
      <c r="E83" s="6" t="s">
        <v>3</v>
      </c>
      <c r="F83" s="4" t="s">
        <v>2</v>
      </c>
      <c r="G83" s="7" t="str">
        <f>$C$3</f>
        <v>DIN CONNECTOR FITTING</v>
      </c>
      <c r="H83" s="4"/>
      <c r="I83" s="6" t="s">
        <v>3</v>
      </c>
      <c r="J83" s="4" t="s">
        <v>2</v>
      </c>
      <c r="K83" s="7" t="str">
        <f>$C$3</f>
        <v>DIN CONNECTOR FITTING</v>
      </c>
      <c r="L83" s="4"/>
      <c r="M83" s="6" t="s">
        <v>3</v>
      </c>
      <c r="N83" s="4" t="s">
        <v>2</v>
      </c>
      <c r="O83" s="7" t="str">
        <f>$C$3</f>
        <v>DIN CONNECTOR FITTING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6" t="s">
        <v>4</v>
      </c>
      <c r="B84" s="4" t="s">
        <v>2</v>
      </c>
      <c r="C84" s="8">
        <f>$C$4</f>
        <v>200</v>
      </c>
      <c r="D84" s="4"/>
      <c r="E84" s="6" t="s">
        <v>4</v>
      </c>
      <c r="F84" s="4" t="s">
        <v>2</v>
      </c>
      <c r="G84" s="8">
        <f>$C$4</f>
        <v>200</v>
      </c>
      <c r="H84" s="4"/>
      <c r="I84" s="6" t="s">
        <v>4</v>
      </c>
      <c r="J84" s="4" t="s">
        <v>2</v>
      </c>
      <c r="K84" s="8">
        <f>$C$4</f>
        <v>200</v>
      </c>
      <c r="L84" s="4"/>
      <c r="M84" s="6" t="s">
        <v>4</v>
      </c>
      <c r="N84" s="4" t="s">
        <v>2</v>
      </c>
      <c r="O84" s="8">
        <f>$C$4</f>
        <v>200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6" t="s">
        <v>5</v>
      </c>
      <c r="B85" s="4" t="s">
        <v>2</v>
      </c>
      <c r="C85" s="9" t="s">
        <v>6</v>
      </c>
      <c r="D85" s="4"/>
      <c r="E85" s="6" t="s">
        <v>5</v>
      </c>
      <c r="F85" s="4" t="s">
        <v>2</v>
      </c>
      <c r="G85" s="9" t="s">
        <v>6</v>
      </c>
      <c r="H85" s="4"/>
      <c r="I85" s="6" t="s">
        <v>5</v>
      </c>
      <c r="J85" s="4" t="s">
        <v>2</v>
      </c>
      <c r="K85" s="9" t="s">
        <v>6</v>
      </c>
      <c r="L85" s="4"/>
      <c r="M85" s="6" t="s">
        <v>5</v>
      </c>
      <c r="N85" s="4" t="s">
        <v>2</v>
      </c>
      <c r="O85" s="9" t="s">
        <v>6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3" t="s">
        <v>7</v>
      </c>
      <c r="B86" s="4" t="s">
        <v>2</v>
      </c>
      <c r="C86" s="10">
        <f>$C$6</f>
        <v>0</v>
      </c>
      <c r="D86" s="4"/>
      <c r="E86" s="3" t="s">
        <v>7</v>
      </c>
      <c r="F86" s="4" t="s">
        <v>2</v>
      </c>
      <c r="G86" s="10">
        <f>$C$6</f>
        <v>0</v>
      </c>
      <c r="H86" s="4"/>
      <c r="I86" s="3" t="s">
        <v>7</v>
      </c>
      <c r="J86" s="4" t="s">
        <v>2</v>
      </c>
      <c r="K86" s="10">
        <f>$C$6</f>
        <v>0</v>
      </c>
      <c r="L86" s="4"/>
      <c r="M86" s="3" t="s">
        <v>7</v>
      </c>
      <c r="N86" s="4" t="s">
        <v>2</v>
      </c>
      <c r="O86" s="10">
        <f>$C$6</f>
        <v>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14" t="s">
        <v>8</v>
      </c>
      <c r="B87" s="12" t="s">
        <v>2</v>
      </c>
      <c r="C87" s="13" t="str">
        <f>C79</f>
        <v>BY 02 05</v>
      </c>
      <c r="D87" s="4"/>
      <c r="E87" s="14" t="s">
        <v>8</v>
      </c>
      <c r="F87" s="12" t="s">
        <v>2</v>
      </c>
      <c r="G87" s="13" t="str">
        <f>C87</f>
        <v>BY 02 05</v>
      </c>
      <c r="H87" s="4"/>
      <c r="I87" s="14" t="s">
        <v>8</v>
      </c>
      <c r="J87" s="12" t="s">
        <v>2</v>
      </c>
      <c r="K87" s="13" t="str">
        <f>G87</f>
        <v>BY 02 05</v>
      </c>
      <c r="L87" s="4"/>
      <c r="M87" s="14" t="s">
        <v>8</v>
      </c>
      <c r="N87" s="12" t="s">
        <v>2</v>
      </c>
      <c r="O87" s="13" t="str">
        <f>K87</f>
        <v>BY 02 05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7.5" customHeight="1">
      <c r="A88" s="1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15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15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1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15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15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1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15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15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1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15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15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1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15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15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1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15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15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1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1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1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1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15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15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1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1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15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1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15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1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1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15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15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1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15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15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1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1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15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1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15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1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1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1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1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1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15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15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1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15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15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1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15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15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1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15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1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1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15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15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1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15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15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1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1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15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1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15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15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1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15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15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1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15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15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1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15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15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1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15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15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1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15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15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1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15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15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1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15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15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1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15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15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1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15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15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1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15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15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1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15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15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1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15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15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1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15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15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1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15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15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1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15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15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15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15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15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15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15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15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15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15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15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15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15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15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15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15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15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15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15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15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15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15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15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15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15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15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15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15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15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15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15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15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15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15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15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15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15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15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15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15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15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15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15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15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15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15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15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15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15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15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15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15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15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15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15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15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15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15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15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15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15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15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15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15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15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15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15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15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15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15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15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15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15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15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15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15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15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15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15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15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15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15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15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15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15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15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15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15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15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15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15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15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15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15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15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15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15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15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15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15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15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15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15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15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15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15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15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15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15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15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15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15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15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15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15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15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15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15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15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15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15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15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15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15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15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15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15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15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15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15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15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15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15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15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15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15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15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15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15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15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15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15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15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15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15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15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15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15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15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15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15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15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15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15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15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15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15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15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15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15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15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15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15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15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15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15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15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15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15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15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15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15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15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15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15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15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15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15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15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15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15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15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15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15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15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15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15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15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15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1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1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1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15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15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15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15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15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15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15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15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15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15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15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15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15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15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15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15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15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15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1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1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1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1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1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1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1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15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15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15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15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15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15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15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15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15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15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15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15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15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15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15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15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15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15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15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15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15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15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15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15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15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15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15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15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15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15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15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15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15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15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15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15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15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15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15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15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15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15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15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15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15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15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15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15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15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15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15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15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15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15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15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15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15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15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15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15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15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15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15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15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15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15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15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15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15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15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15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15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15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15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15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15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15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15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15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15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15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15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15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15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15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15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15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15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15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15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15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15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15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15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15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15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15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15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15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15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15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15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15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15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15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15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15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15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15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15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15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15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15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15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15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15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15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15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15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15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15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15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15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15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15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15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15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15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15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15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15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15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15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15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15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15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15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15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15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15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15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15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15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15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15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15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15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15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15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15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15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15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15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15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15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15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15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15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15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15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15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15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15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15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15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15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15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15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15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15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15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15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15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15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15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15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15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15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15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15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15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15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15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15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15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15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15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15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15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15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15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15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15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15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15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15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15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15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15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15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15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15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15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15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15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15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15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15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15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15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15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15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15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15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15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15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15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15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15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15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15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15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15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15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15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15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15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15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15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15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15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15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15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15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15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15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15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15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15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15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15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15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15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15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15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15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15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15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15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15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15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15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15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15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15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15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15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15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15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15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15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15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15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15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15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15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15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15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15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15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15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15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15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15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15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15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15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15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15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15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15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15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15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15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15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15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15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15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15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15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15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15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15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15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15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15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15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15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15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15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15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15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15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15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15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15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15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15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15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15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15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15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15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15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15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15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15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15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15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15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15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15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15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15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15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15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15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15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15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15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15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15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15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15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15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15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15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15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15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15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15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1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1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1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1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1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1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1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1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1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1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1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1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1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1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1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1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1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1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1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1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1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1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1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1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1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1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1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1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1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1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1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1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1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1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1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1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1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1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1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1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1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1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1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1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1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1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1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1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1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1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1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1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1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1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1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1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1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1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1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1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1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1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1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1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1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1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1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1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1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1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1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1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1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1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1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1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1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1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1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1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1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1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1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1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1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1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1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1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1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1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1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1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1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1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1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1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1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1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1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1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1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1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1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1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1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1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1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1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1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1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1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1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1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1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1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1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1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1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1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1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1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1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1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1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1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1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1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1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1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1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1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1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1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1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1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1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1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1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1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1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1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1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1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1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1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1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1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1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1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1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1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1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1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1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1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1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1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1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1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1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1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1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1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1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1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1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1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1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1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1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1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1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1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1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1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1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1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1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1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1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1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1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1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1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1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1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1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1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1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1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1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1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1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1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1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1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1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1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1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1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1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1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1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1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1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1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1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1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1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1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1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1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1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1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1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1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1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1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1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1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1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1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1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1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1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1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1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1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1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1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1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1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1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1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1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1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1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1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1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1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1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1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1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4">
    <mergeCell ref="B65:C65"/>
    <mergeCell ref="F65:G65"/>
    <mergeCell ref="J65:K65"/>
    <mergeCell ref="N65:O65"/>
    <mergeCell ref="F73:G73"/>
    <mergeCell ref="J73:K73"/>
    <mergeCell ref="N73:O73"/>
    <mergeCell ref="B73:C73"/>
    <mergeCell ref="B81:C81"/>
    <mergeCell ref="F81:G81"/>
    <mergeCell ref="J81:K81"/>
    <mergeCell ref="N81:O8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33:C33"/>
    <mergeCell ref="F33:G33"/>
    <mergeCell ref="J33:K33"/>
    <mergeCell ref="N33:O33"/>
    <mergeCell ref="F41:G41"/>
    <mergeCell ref="J41:K41"/>
    <mergeCell ref="N41:O41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1:C1"/>
    <mergeCell ref="F1:G1"/>
    <mergeCell ref="J1:K1"/>
    <mergeCell ref="N1:O1"/>
    <mergeCell ref="F9:G9"/>
    <mergeCell ref="J9:K9"/>
    <mergeCell ref="N9:O9"/>
  </mergeCells>
  <printOptions horizontalCentered="1" verticalCentered="1"/>
  <pageMargins left="0" right="0" top="0" bottom="0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00"/>
  <sheetViews>
    <sheetView workbookViewId="0"/>
  </sheetViews>
  <sheetFormatPr defaultColWidth="14.42578125" defaultRowHeight="15" customHeight="1"/>
  <cols>
    <col min="1" max="1" width="9.42578125" customWidth="1"/>
    <col min="2" max="2" width="1.28515625" customWidth="1"/>
    <col min="3" max="3" width="32.7109375" customWidth="1"/>
    <col min="4" max="4" width="2.7109375" customWidth="1"/>
    <col min="5" max="5" width="9.42578125" customWidth="1"/>
    <col min="6" max="6" width="1.28515625" customWidth="1"/>
    <col min="7" max="7" width="32.7109375" customWidth="1"/>
    <col min="8" max="8" width="2.7109375" customWidth="1"/>
    <col min="9" max="9" width="9.42578125" customWidth="1"/>
    <col min="10" max="10" width="1.28515625" customWidth="1"/>
    <col min="11" max="11" width="32.7109375" customWidth="1"/>
    <col min="12" max="12" width="2.7109375" customWidth="1"/>
    <col min="13" max="13" width="9.42578125" customWidth="1"/>
    <col min="14" max="14" width="1.28515625" customWidth="1"/>
    <col min="15" max="15" width="32.7109375" customWidth="1"/>
    <col min="16" max="26" width="9" customWidth="1"/>
  </cols>
  <sheetData>
    <row r="1" spans="1:26" ht="16.5" customHeight="1">
      <c r="A1" s="1" t="str">
        <f t="array" ref="A1">'Label FG'!F3</f>
        <v>226</v>
      </c>
      <c r="B1" s="115" t="s">
        <v>0</v>
      </c>
      <c r="C1" s="116"/>
      <c r="D1" s="2"/>
      <c r="E1" s="1" t="str">
        <f>$A$1</f>
        <v>226</v>
      </c>
      <c r="F1" s="115" t="s">
        <v>0</v>
      </c>
      <c r="G1" s="116"/>
      <c r="H1" s="2"/>
      <c r="I1" s="1" t="str">
        <f>$A$1</f>
        <v>226</v>
      </c>
      <c r="J1" s="115" t="s">
        <v>0</v>
      </c>
      <c r="K1" s="116"/>
      <c r="L1" s="2"/>
      <c r="M1" s="1" t="str">
        <f>$A$1</f>
        <v>226</v>
      </c>
      <c r="N1" s="115" t="s">
        <v>0</v>
      </c>
      <c r="O1" s="116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3" t="s">
        <v>1</v>
      </c>
      <c r="B2" s="4" t="s">
        <v>2</v>
      </c>
      <c r="C2" s="5">
        <f>VLOOKUP(A1,'List Part'!$A$5:$C$374,2,0)</f>
        <v>955985</v>
      </c>
      <c r="D2" s="4"/>
      <c r="E2" s="3" t="s">
        <v>1</v>
      </c>
      <c r="F2" s="4" t="s">
        <v>2</v>
      </c>
      <c r="G2" s="5">
        <f>$C$2</f>
        <v>955985</v>
      </c>
      <c r="H2" s="4"/>
      <c r="I2" s="3" t="s">
        <v>1</v>
      </c>
      <c r="J2" s="4" t="s">
        <v>2</v>
      </c>
      <c r="K2" s="5">
        <f>$C$2</f>
        <v>955985</v>
      </c>
      <c r="L2" s="4"/>
      <c r="M2" s="3" t="s">
        <v>1</v>
      </c>
      <c r="N2" s="4" t="s">
        <v>2</v>
      </c>
      <c r="O2" s="5">
        <f>$C$2</f>
        <v>955985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3</v>
      </c>
      <c r="B3" s="4" t="s">
        <v>2</v>
      </c>
      <c r="C3" s="5" t="str">
        <f>VLOOKUP(A1,'List Part'!$A$5:$C$374,3,0)</f>
        <v>DIN CONNECTOR FITTING</v>
      </c>
      <c r="D3" s="4"/>
      <c r="E3" s="6" t="s">
        <v>3</v>
      </c>
      <c r="F3" s="4" t="s">
        <v>2</v>
      </c>
      <c r="G3" s="7" t="str">
        <f>$C$3</f>
        <v>DIN CONNECTOR FITTING</v>
      </c>
      <c r="H3" s="4"/>
      <c r="I3" s="6" t="s">
        <v>3</v>
      </c>
      <c r="J3" s="4" t="s">
        <v>2</v>
      </c>
      <c r="K3" s="7" t="str">
        <f>$C$3</f>
        <v>DIN CONNECTOR FITTING</v>
      </c>
      <c r="L3" s="4"/>
      <c r="M3" s="6" t="s">
        <v>3</v>
      </c>
      <c r="N3" s="4" t="s">
        <v>2</v>
      </c>
      <c r="O3" s="7" t="str">
        <f>$C$3</f>
        <v>DIN CONNECTOR FITTING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4</v>
      </c>
      <c r="B4" s="4" t="s">
        <v>2</v>
      </c>
      <c r="C4" s="8">
        <f>VLOOKUP(A1,'List Part'!$A$5:$P$374,15,0)</f>
        <v>200</v>
      </c>
      <c r="D4" s="4"/>
      <c r="E4" s="6" t="s">
        <v>4</v>
      </c>
      <c r="F4" s="4" t="s">
        <v>2</v>
      </c>
      <c r="G4" s="8">
        <f>$C$4</f>
        <v>200</v>
      </c>
      <c r="H4" s="4"/>
      <c r="I4" s="6" t="s">
        <v>4</v>
      </c>
      <c r="J4" s="4" t="s">
        <v>2</v>
      </c>
      <c r="K4" s="8">
        <f>$C$4</f>
        <v>200</v>
      </c>
      <c r="L4" s="4"/>
      <c r="M4" s="6" t="s">
        <v>4</v>
      </c>
      <c r="N4" s="4" t="s">
        <v>2</v>
      </c>
      <c r="O4" s="8">
        <f>$C$4</f>
        <v>200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3" t="s">
        <v>5</v>
      </c>
      <c r="B5" s="4" t="s">
        <v>2</v>
      </c>
      <c r="C5" s="9" t="s">
        <v>6</v>
      </c>
      <c r="D5" s="4"/>
      <c r="E5" s="6" t="s">
        <v>5</v>
      </c>
      <c r="F5" s="4" t="s">
        <v>2</v>
      </c>
      <c r="G5" s="9" t="s">
        <v>6</v>
      </c>
      <c r="H5" s="4"/>
      <c r="I5" s="6" t="s">
        <v>5</v>
      </c>
      <c r="J5" s="4" t="s">
        <v>2</v>
      </c>
      <c r="K5" s="9" t="s">
        <v>6</v>
      </c>
      <c r="L5" s="4"/>
      <c r="M5" s="6" t="s">
        <v>5</v>
      </c>
      <c r="N5" s="4" t="s">
        <v>2</v>
      </c>
      <c r="O5" s="9" t="s">
        <v>6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3" t="s">
        <v>7</v>
      </c>
      <c r="B6" s="4" t="s">
        <v>2</v>
      </c>
      <c r="C6" s="10">
        <f>VLOOKUP(A1,'List Part'!$A$5:$P$374,6,0)</f>
        <v>0</v>
      </c>
      <c r="D6" s="4"/>
      <c r="E6" s="3" t="s">
        <v>7</v>
      </c>
      <c r="F6" s="4" t="s">
        <v>2</v>
      </c>
      <c r="G6" s="10">
        <f>$C$6</f>
        <v>0</v>
      </c>
      <c r="H6" s="4"/>
      <c r="I6" s="3" t="s">
        <v>7</v>
      </c>
      <c r="J6" s="4" t="s">
        <v>2</v>
      </c>
      <c r="K6" s="10">
        <f>$C$6</f>
        <v>0</v>
      </c>
      <c r="L6" s="4"/>
      <c r="M6" s="3" t="s">
        <v>7</v>
      </c>
      <c r="N6" s="4" t="s">
        <v>2</v>
      </c>
      <c r="O6" s="10">
        <f>$C$6</f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11" t="s">
        <v>8</v>
      </c>
      <c r="B7" s="12" t="s">
        <v>2</v>
      </c>
      <c r="C7" s="13" t="s">
        <v>12</v>
      </c>
      <c r="D7" s="4"/>
      <c r="E7" s="14" t="s">
        <v>8</v>
      </c>
      <c r="F7" s="12" t="s">
        <v>2</v>
      </c>
      <c r="G7" s="13" t="str">
        <f>C7</f>
        <v>A</v>
      </c>
      <c r="H7" s="4"/>
      <c r="I7" s="14" t="s">
        <v>8</v>
      </c>
      <c r="J7" s="12" t="s">
        <v>2</v>
      </c>
      <c r="K7" s="13" t="str">
        <f>G7</f>
        <v>A</v>
      </c>
      <c r="L7" s="4"/>
      <c r="M7" s="14" t="s">
        <v>8</v>
      </c>
      <c r="N7" s="12" t="s">
        <v>2</v>
      </c>
      <c r="O7" s="13" t="str">
        <f>K7</f>
        <v>A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>
      <c r="A8" s="15"/>
      <c r="B8" s="4"/>
      <c r="C8" s="1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1" t="str">
        <f>$A$1</f>
        <v>226</v>
      </c>
      <c r="B9" s="115" t="s">
        <v>0</v>
      </c>
      <c r="C9" s="116"/>
      <c r="D9" s="2"/>
      <c r="E9" s="1" t="str">
        <f>$A$1</f>
        <v>226</v>
      </c>
      <c r="F9" s="115" t="s">
        <v>0</v>
      </c>
      <c r="G9" s="116"/>
      <c r="H9" s="2"/>
      <c r="I9" s="1" t="str">
        <f>$A$1</f>
        <v>226</v>
      </c>
      <c r="J9" s="115" t="s">
        <v>0</v>
      </c>
      <c r="K9" s="116"/>
      <c r="L9" s="2"/>
      <c r="M9" s="1" t="str">
        <f>$A$1</f>
        <v>226</v>
      </c>
      <c r="N9" s="115" t="s">
        <v>0</v>
      </c>
      <c r="O9" s="11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 t="s">
        <v>1</v>
      </c>
      <c r="B10" s="4" t="s">
        <v>2</v>
      </c>
      <c r="C10" s="5">
        <f>$C$2</f>
        <v>955985</v>
      </c>
      <c r="D10" s="4"/>
      <c r="E10" s="3" t="s">
        <v>1</v>
      </c>
      <c r="F10" s="4" t="s">
        <v>2</v>
      </c>
      <c r="G10" s="5">
        <f>$C$2</f>
        <v>955985</v>
      </c>
      <c r="H10" s="4"/>
      <c r="I10" s="3" t="s">
        <v>1</v>
      </c>
      <c r="J10" s="4" t="s">
        <v>2</v>
      </c>
      <c r="K10" s="5">
        <f>$C$2</f>
        <v>955985</v>
      </c>
      <c r="L10" s="4"/>
      <c r="M10" s="3" t="s">
        <v>1</v>
      </c>
      <c r="N10" s="4" t="s">
        <v>2</v>
      </c>
      <c r="O10" s="5">
        <f>$C$2</f>
        <v>955985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6" t="s">
        <v>3</v>
      </c>
      <c r="B11" s="4" t="s">
        <v>2</v>
      </c>
      <c r="C11" s="7" t="str">
        <f>$C$3</f>
        <v>DIN CONNECTOR FITTING</v>
      </c>
      <c r="D11" s="4"/>
      <c r="E11" s="6" t="s">
        <v>3</v>
      </c>
      <c r="F11" s="4" t="s">
        <v>2</v>
      </c>
      <c r="G11" s="7" t="str">
        <f>$C$3</f>
        <v>DIN CONNECTOR FITTING</v>
      </c>
      <c r="H11" s="4"/>
      <c r="I11" s="6" t="s">
        <v>3</v>
      </c>
      <c r="J11" s="4" t="s">
        <v>2</v>
      </c>
      <c r="K11" s="7" t="str">
        <f>$C$3</f>
        <v>DIN CONNECTOR FITTING</v>
      </c>
      <c r="L11" s="4"/>
      <c r="M11" s="6" t="s">
        <v>3</v>
      </c>
      <c r="N11" s="4" t="s">
        <v>2</v>
      </c>
      <c r="O11" s="7" t="str">
        <f>$C$3</f>
        <v>DIN CONNECTOR FITTING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6" t="s">
        <v>4</v>
      </c>
      <c r="B12" s="4" t="s">
        <v>2</v>
      </c>
      <c r="C12" s="8">
        <f>$C$4</f>
        <v>200</v>
      </c>
      <c r="D12" s="4"/>
      <c r="E12" s="6" t="s">
        <v>4</v>
      </c>
      <c r="F12" s="4" t="s">
        <v>2</v>
      </c>
      <c r="G12" s="8">
        <f>$C$4</f>
        <v>200</v>
      </c>
      <c r="H12" s="4"/>
      <c r="I12" s="6" t="s">
        <v>4</v>
      </c>
      <c r="J12" s="4" t="s">
        <v>2</v>
      </c>
      <c r="K12" s="8">
        <f>$C$4</f>
        <v>200</v>
      </c>
      <c r="L12" s="4"/>
      <c r="M12" s="6" t="s">
        <v>4</v>
      </c>
      <c r="N12" s="4" t="s">
        <v>2</v>
      </c>
      <c r="O12" s="8">
        <f>$C$4</f>
        <v>200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6" t="s">
        <v>5</v>
      </c>
      <c r="B13" s="4" t="s">
        <v>2</v>
      </c>
      <c r="C13" s="9" t="s">
        <v>6</v>
      </c>
      <c r="D13" s="4"/>
      <c r="E13" s="6" t="s">
        <v>5</v>
      </c>
      <c r="F13" s="4" t="s">
        <v>2</v>
      </c>
      <c r="G13" s="9" t="s">
        <v>6</v>
      </c>
      <c r="H13" s="4"/>
      <c r="I13" s="6" t="s">
        <v>5</v>
      </c>
      <c r="J13" s="4" t="s">
        <v>2</v>
      </c>
      <c r="K13" s="9" t="s">
        <v>6</v>
      </c>
      <c r="L13" s="4"/>
      <c r="M13" s="6" t="s">
        <v>5</v>
      </c>
      <c r="N13" s="4" t="s">
        <v>2</v>
      </c>
      <c r="O13" s="9" t="s">
        <v>6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3" t="s">
        <v>7</v>
      </c>
      <c r="B14" s="4" t="s">
        <v>2</v>
      </c>
      <c r="C14" s="10">
        <f>$C$6</f>
        <v>0</v>
      </c>
      <c r="D14" s="4"/>
      <c r="E14" s="3" t="s">
        <v>7</v>
      </c>
      <c r="F14" s="4" t="s">
        <v>2</v>
      </c>
      <c r="G14" s="10">
        <f>$C$6</f>
        <v>0</v>
      </c>
      <c r="H14" s="4"/>
      <c r="I14" s="3" t="s">
        <v>7</v>
      </c>
      <c r="J14" s="4" t="s">
        <v>2</v>
      </c>
      <c r="K14" s="10">
        <f>$C$6</f>
        <v>0</v>
      </c>
      <c r="L14" s="4"/>
      <c r="M14" s="3" t="s">
        <v>7</v>
      </c>
      <c r="N14" s="4" t="s">
        <v>2</v>
      </c>
      <c r="O14" s="10">
        <f>$C$6</f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14" t="s">
        <v>8</v>
      </c>
      <c r="B15" s="12" t="s">
        <v>2</v>
      </c>
      <c r="C15" s="13" t="str">
        <f>C7</f>
        <v>A</v>
      </c>
      <c r="D15" s="4"/>
      <c r="E15" s="14" t="s">
        <v>8</v>
      </c>
      <c r="F15" s="12" t="s">
        <v>2</v>
      </c>
      <c r="G15" s="13" t="str">
        <f>C15</f>
        <v>A</v>
      </c>
      <c r="H15" s="4"/>
      <c r="I15" s="14" t="s">
        <v>8</v>
      </c>
      <c r="J15" s="12" t="s">
        <v>2</v>
      </c>
      <c r="K15" s="13" t="str">
        <f>G15</f>
        <v>A</v>
      </c>
      <c r="L15" s="4"/>
      <c r="M15" s="14" t="s">
        <v>8</v>
      </c>
      <c r="N15" s="12" t="s">
        <v>2</v>
      </c>
      <c r="O15" s="13" t="str">
        <f>K15</f>
        <v>A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>
      <c r="A16" s="1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1" t="str">
        <f>$A$1</f>
        <v>226</v>
      </c>
      <c r="B17" s="115" t="s">
        <v>0</v>
      </c>
      <c r="C17" s="116"/>
      <c r="D17" s="2"/>
      <c r="E17" s="1" t="str">
        <f>$A$1</f>
        <v>226</v>
      </c>
      <c r="F17" s="115" t="s">
        <v>0</v>
      </c>
      <c r="G17" s="116"/>
      <c r="H17" s="2"/>
      <c r="I17" s="1" t="str">
        <f>$A$1</f>
        <v>226</v>
      </c>
      <c r="J17" s="115" t="s">
        <v>0</v>
      </c>
      <c r="K17" s="116"/>
      <c r="L17" s="2"/>
      <c r="M17" s="1" t="str">
        <f>$A$1</f>
        <v>226</v>
      </c>
      <c r="N17" s="115" t="s">
        <v>0</v>
      </c>
      <c r="O17" s="116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 t="s">
        <v>1</v>
      </c>
      <c r="B18" s="4" t="s">
        <v>2</v>
      </c>
      <c r="C18" s="5">
        <f>$C$2</f>
        <v>955985</v>
      </c>
      <c r="D18" s="4"/>
      <c r="E18" s="3" t="s">
        <v>1</v>
      </c>
      <c r="F18" s="4" t="s">
        <v>2</v>
      </c>
      <c r="G18" s="5">
        <f>$C$2</f>
        <v>955985</v>
      </c>
      <c r="H18" s="4"/>
      <c r="I18" s="3" t="s">
        <v>1</v>
      </c>
      <c r="J18" s="4" t="s">
        <v>2</v>
      </c>
      <c r="K18" s="5">
        <f>$C$2</f>
        <v>955985</v>
      </c>
      <c r="L18" s="4"/>
      <c r="M18" s="3" t="s">
        <v>1</v>
      </c>
      <c r="N18" s="4" t="s">
        <v>2</v>
      </c>
      <c r="O18" s="5">
        <f>$C$2</f>
        <v>955985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6" t="s">
        <v>3</v>
      </c>
      <c r="B19" s="4" t="s">
        <v>2</v>
      </c>
      <c r="C19" s="7" t="str">
        <f>$C$3</f>
        <v>DIN CONNECTOR FITTING</v>
      </c>
      <c r="D19" s="4"/>
      <c r="E19" s="6" t="s">
        <v>3</v>
      </c>
      <c r="F19" s="4" t="s">
        <v>2</v>
      </c>
      <c r="G19" s="7" t="str">
        <f>$C$3</f>
        <v>DIN CONNECTOR FITTING</v>
      </c>
      <c r="H19" s="4"/>
      <c r="I19" s="6" t="s">
        <v>3</v>
      </c>
      <c r="J19" s="4" t="s">
        <v>2</v>
      </c>
      <c r="K19" s="7" t="str">
        <f>$C$3</f>
        <v>DIN CONNECTOR FITTING</v>
      </c>
      <c r="L19" s="4"/>
      <c r="M19" s="6" t="s">
        <v>3</v>
      </c>
      <c r="N19" s="4" t="s">
        <v>2</v>
      </c>
      <c r="O19" s="7" t="str">
        <f>$C$3</f>
        <v>DIN CONNECTOR FITTING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6" t="s">
        <v>4</v>
      </c>
      <c r="B20" s="4" t="s">
        <v>2</v>
      </c>
      <c r="C20" s="8">
        <f>$C$4</f>
        <v>200</v>
      </c>
      <c r="D20" s="4"/>
      <c r="E20" s="6" t="s">
        <v>4</v>
      </c>
      <c r="F20" s="4" t="s">
        <v>2</v>
      </c>
      <c r="G20" s="8">
        <f>$C$4</f>
        <v>200</v>
      </c>
      <c r="H20" s="4"/>
      <c r="I20" s="6" t="s">
        <v>4</v>
      </c>
      <c r="J20" s="4" t="s">
        <v>2</v>
      </c>
      <c r="K20" s="8">
        <f>$C$4</f>
        <v>200</v>
      </c>
      <c r="L20" s="4"/>
      <c r="M20" s="6" t="s">
        <v>4</v>
      </c>
      <c r="N20" s="4" t="s">
        <v>2</v>
      </c>
      <c r="O20" s="8">
        <f>$C$4</f>
        <v>200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6" t="s">
        <v>5</v>
      </c>
      <c r="B21" s="4" t="s">
        <v>2</v>
      </c>
      <c r="C21" s="9" t="s">
        <v>6</v>
      </c>
      <c r="D21" s="4"/>
      <c r="E21" s="6" t="s">
        <v>5</v>
      </c>
      <c r="F21" s="4" t="s">
        <v>2</v>
      </c>
      <c r="G21" s="9" t="s">
        <v>6</v>
      </c>
      <c r="H21" s="4"/>
      <c r="I21" s="6" t="s">
        <v>5</v>
      </c>
      <c r="J21" s="4" t="s">
        <v>2</v>
      </c>
      <c r="K21" s="9" t="s">
        <v>6</v>
      </c>
      <c r="L21" s="4"/>
      <c r="M21" s="6" t="s">
        <v>5</v>
      </c>
      <c r="N21" s="4" t="s">
        <v>2</v>
      </c>
      <c r="O21" s="9" t="s">
        <v>6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3" t="s">
        <v>7</v>
      </c>
      <c r="B22" s="4" t="s">
        <v>2</v>
      </c>
      <c r="C22" s="10">
        <f>$C$6</f>
        <v>0</v>
      </c>
      <c r="D22" s="4"/>
      <c r="E22" s="3" t="s">
        <v>7</v>
      </c>
      <c r="F22" s="4" t="s">
        <v>2</v>
      </c>
      <c r="G22" s="10">
        <f>$C$6</f>
        <v>0</v>
      </c>
      <c r="H22" s="4"/>
      <c r="I22" s="3" t="s">
        <v>7</v>
      </c>
      <c r="J22" s="4" t="s">
        <v>2</v>
      </c>
      <c r="K22" s="10">
        <f>$C$6</f>
        <v>0</v>
      </c>
      <c r="L22" s="4"/>
      <c r="M22" s="3" t="s">
        <v>7</v>
      </c>
      <c r="N22" s="4" t="s">
        <v>2</v>
      </c>
      <c r="O22" s="10">
        <f>$C$6</f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14" t="s">
        <v>8</v>
      </c>
      <c r="B23" s="12" t="s">
        <v>2</v>
      </c>
      <c r="C23" s="13" t="str">
        <f>C15</f>
        <v>A</v>
      </c>
      <c r="D23" s="4"/>
      <c r="E23" s="14" t="s">
        <v>8</v>
      </c>
      <c r="F23" s="12" t="s">
        <v>2</v>
      </c>
      <c r="G23" s="13" t="str">
        <f>C23</f>
        <v>A</v>
      </c>
      <c r="H23" s="4"/>
      <c r="I23" s="14" t="s">
        <v>8</v>
      </c>
      <c r="J23" s="12" t="s">
        <v>2</v>
      </c>
      <c r="K23" s="13" t="str">
        <f>G23</f>
        <v>A</v>
      </c>
      <c r="L23" s="4"/>
      <c r="M23" s="14" t="s">
        <v>8</v>
      </c>
      <c r="N23" s="12" t="s">
        <v>2</v>
      </c>
      <c r="O23" s="13" t="str">
        <f>K23</f>
        <v>A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>
      <c r="A24" s="15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1" t="str">
        <f>$A$1</f>
        <v>226</v>
      </c>
      <c r="B25" s="115" t="s">
        <v>0</v>
      </c>
      <c r="C25" s="116"/>
      <c r="D25" s="2"/>
      <c r="E25" s="1" t="str">
        <f>$A$1</f>
        <v>226</v>
      </c>
      <c r="F25" s="115" t="s">
        <v>0</v>
      </c>
      <c r="G25" s="116"/>
      <c r="H25" s="2"/>
      <c r="I25" s="1" t="str">
        <f>$A$1</f>
        <v>226</v>
      </c>
      <c r="J25" s="115" t="s">
        <v>0</v>
      </c>
      <c r="K25" s="116"/>
      <c r="L25" s="2"/>
      <c r="M25" s="1" t="str">
        <f>$A$1</f>
        <v>226</v>
      </c>
      <c r="N25" s="115" t="s">
        <v>0</v>
      </c>
      <c r="O25" s="116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 t="s">
        <v>1</v>
      </c>
      <c r="B26" s="4" t="s">
        <v>2</v>
      </c>
      <c r="C26" s="5">
        <f>$C$2</f>
        <v>955985</v>
      </c>
      <c r="D26" s="4"/>
      <c r="E26" s="3" t="s">
        <v>1</v>
      </c>
      <c r="F26" s="4" t="s">
        <v>2</v>
      </c>
      <c r="G26" s="5">
        <f>$C$2</f>
        <v>955985</v>
      </c>
      <c r="H26" s="4"/>
      <c r="I26" s="3" t="s">
        <v>1</v>
      </c>
      <c r="J26" s="4" t="s">
        <v>2</v>
      </c>
      <c r="K26" s="5">
        <f>$C$2</f>
        <v>955985</v>
      </c>
      <c r="L26" s="4"/>
      <c r="M26" s="3" t="s">
        <v>1</v>
      </c>
      <c r="N26" s="4" t="s">
        <v>2</v>
      </c>
      <c r="O26" s="5">
        <f>$C$2</f>
        <v>955985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6" t="s">
        <v>3</v>
      </c>
      <c r="B27" s="4" t="s">
        <v>2</v>
      </c>
      <c r="C27" s="7" t="str">
        <f>$C$3</f>
        <v>DIN CONNECTOR FITTING</v>
      </c>
      <c r="D27" s="4"/>
      <c r="E27" s="6" t="s">
        <v>3</v>
      </c>
      <c r="F27" s="4" t="s">
        <v>2</v>
      </c>
      <c r="G27" s="7" t="str">
        <f>$C$3</f>
        <v>DIN CONNECTOR FITTING</v>
      </c>
      <c r="H27" s="4"/>
      <c r="I27" s="6" t="s">
        <v>3</v>
      </c>
      <c r="J27" s="4" t="s">
        <v>2</v>
      </c>
      <c r="K27" s="7" t="str">
        <f>$C$3</f>
        <v>DIN CONNECTOR FITTING</v>
      </c>
      <c r="L27" s="4"/>
      <c r="M27" s="6" t="s">
        <v>3</v>
      </c>
      <c r="N27" s="4" t="s">
        <v>2</v>
      </c>
      <c r="O27" s="7" t="str">
        <f>$C$3</f>
        <v>DIN CONNECTOR FITTING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6" t="s">
        <v>4</v>
      </c>
      <c r="B28" s="4" t="s">
        <v>2</v>
      </c>
      <c r="C28" s="8">
        <f>$C$4</f>
        <v>200</v>
      </c>
      <c r="D28" s="4"/>
      <c r="E28" s="6" t="s">
        <v>4</v>
      </c>
      <c r="F28" s="4" t="s">
        <v>2</v>
      </c>
      <c r="G28" s="8">
        <f>$C$4</f>
        <v>200</v>
      </c>
      <c r="H28" s="4"/>
      <c r="I28" s="6" t="s">
        <v>4</v>
      </c>
      <c r="J28" s="4" t="s">
        <v>2</v>
      </c>
      <c r="K28" s="8">
        <f>$C$4</f>
        <v>200</v>
      </c>
      <c r="L28" s="4"/>
      <c r="M28" s="6" t="s">
        <v>4</v>
      </c>
      <c r="N28" s="4" t="s">
        <v>2</v>
      </c>
      <c r="O28" s="8">
        <f>$C$4</f>
        <v>200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6" t="s">
        <v>5</v>
      </c>
      <c r="B29" s="4" t="s">
        <v>2</v>
      </c>
      <c r="C29" s="9" t="s">
        <v>6</v>
      </c>
      <c r="D29" s="4"/>
      <c r="E29" s="6" t="s">
        <v>5</v>
      </c>
      <c r="F29" s="4" t="s">
        <v>2</v>
      </c>
      <c r="G29" s="9" t="s">
        <v>6</v>
      </c>
      <c r="H29" s="4"/>
      <c r="I29" s="6" t="s">
        <v>5</v>
      </c>
      <c r="J29" s="4" t="s">
        <v>2</v>
      </c>
      <c r="K29" s="9" t="s">
        <v>6</v>
      </c>
      <c r="L29" s="4"/>
      <c r="M29" s="6" t="s">
        <v>5</v>
      </c>
      <c r="N29" s="4" t="s">
        <v>2</v>
      </c>
      <c r="O29" s="9" t="s">
        <v>6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3" t="s">
        <v>7</v>
      </c>
      <c r="B30" s="4" t="s">
        <v>2</v>
      </c>
      <c r="C30" s="10">
        <f>$C$6</f>
        <v>0</v>
      </c>
      <c r="D30" s="4"/>
      <c r="E30" s="3" t="s">
        <v>7</v>
      </c>
      <c r="F30" s="4" t="s">
        <v>2</v>
      </c>
      <c r="G30" s="10">
        <f>$C$6</f>
        <v>0</v>
      </c>
      <c r="H30" s="4"/>
      <c r="I30" s="3" t="s">
        <v>7</v>
      </c>
      <c r="J30" s="4" t="s">
        <v>2</v>
      </c>
      <c r="K30" s="10">
        <f>$C$6</f>
        <v>0</v>
      </c>
      <c r="L30" s="4"/>
      <c r="M30" s="3" t="s">
        <v>7</v>
      </c>
      <c r="N30" s="4" t="s">
        <v>2</v>
      </c>
      <c r="O30" s="10">
        <f>$C$6</f>
        <v>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14" t="s">
        <v>8</v>
      </c>
      <c r="B31" s="12" t="s">
        <v>2</v>
      </c>
      <c r="C31" s="13" t="str">
        <f>C23</f>
        <v>A</v>
      </c>
      <c r="D31" s="4"/>
      <c r="E31" s="14" t="s">
        <v>8</v>
      </c>
      <c r="F31" s="12" t="s">
        <v>2</v>
      </c>
      <c r="G31" s="13" t="str">
        <f>C31</f>
        <v>A</v>
      </c>
      <c r="H31" s="4"/>
      <c r="I31" s="14" t="s">
        <v>8</v>
      </c>
      <c r="J31" s="12" t="s">
        <v>2</v>
      </c>
      <c r="K31" s="13" t="str">
        <f>G31</f>
        <v>A</v>
      </c>
      <c r="L31" s="4"/>
      <c r="M31" s="14" t="s">
        <v>8</v>
      </c>
      <c r="N31" s="12" t="s">
        <v>2</v>
      </c>
      <c r="O31" s="13" t="str">
        <f>K31</f>
        <v>A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>
      <c r="A32" s="15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1" t="str">
        <f>$A$1</f>
        <v>226</v>
      </c>
      <c r="B33" s="115" t="s">
        <v>0</v>
      </c>
      <c r="C33" s="116"/>
      <c r="D33" s="2"/>
      <c r="E33" s="1" t="str">
        <f>$A$1</f>
        <v>226</v>
      </c>
      <c r="F33" s="115" t="s">
        <v>0</v>
      </c>
      <c r="G33" s="116"/>
      <c r="H33" s="2"/>
      <c r="I33" s="1" t="str">
        <f>$A$1</f>
        <v>226</v>
      </c>
      <c r="J33" s="115" t="s">
        <v>0</v>
      </c>
      <c r="K33" s="116"/>
      <c r="L33" s="2"/>
      <c r="M33" s="1" t="str">
        <f>$A$1</f>
        <v>226</v>
      </c>
      <c r="N33" s="115" t="s">
        <v>0</v>
      </c>
      <c r="O33" s="11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 t="s">
        <v>1</v>
      </c>
      <c r="B34" s="4" t="s">
        <v>2</v>
      </c>
      <c r="C34" s="5">
        <f>$C$2</f>
        <v>955985</v>
      </c>
      <c r="D34" s="4"/>
      <c r="E34" s="3" t="s">
        <v>1</v>
      </c>
      <c r="F34" s="4" t="s">
        <v>2</v>
      </c>
      <c r="G34" s="5">
        <f>$C$2</f>
        <v>955985</v>
      </c>
      <c r="H34" s="4"/>
      <c r="I34" s="3" t="s">
        <v>1</v>
      </c>
      <c r="J34" s="4" t="s">
        <v>2</v>
      </c>
      <c r="K34" s="5">
        <f>$C$2</f>
        <v>955985</v>
      </c>
      <c r="L34" s="4"/>
      <c r="M34" s="3" t="s">
        <v>1</v>
      </c>
      <c r="N34" s="4" t="s">
        <v>2</v>
      </c>
      <c r="O34" s="5">
        <f>$C$2</f>
        <v>955985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6" t="s">
        <v>3</v>
      </c>
      <c r="B35" s="4" t="s">
        <v>2</v>
      </c>
      <c r="C35" s="7" t="str">
        <f>$C$3</f>
        <v>DIN CONNECTOR FITTING</v>
      </c>
      <c r="D35" s="4"/>
      <c r="E35" s="6" t="s">
        <v>3</v>
      </c>
      <c r="F35" s="4" t="s">
        <v>2</v>
      </c>
      <c r="G35" s="7" t="str">
        <f>$C$3</f>
        <v>DIN CONNECTOR FITTING</v>
      </c>
      <c r="H35" s="4"/>
      <c r="I35" s="6" t="s">
        <v>3</v>
      </c>
      <c r="J35" s="4" t="s">
        <v>2</v>
      </c>
      <c r="K35" s="7" t="str">
        <f>$C$3</f>
        <v>DIN CONNECTOR FITTING</v>
      </c>
      <c r="L35" s="4"/>
      <c r="M35" s="6" t="s">
        <v>3</v>
      </c>
      <c r="N35" s="4" t="s">
        <v>2</v>
      </c>
      <c r="O35" s="7" t="str">
        <f>$C$3</f>
        <v>DIN CONNECTOR FITTING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6" t="s">
        <v>4</v>
      </c>
      <c r="B36" s="4" t="s">
        <v>2</v>
      </c>
      <c r="C36" s="8">
        <f>$C$4</f>
        <v>200</v>
      </c>
      <c r="D36" s="4"/>
      <c r="E36" s="6" t="s">
        <v>4</v>
      </c>
      <c r="F36" s="4" t="s">
        <v>2</v>
      </c>
      <c r="G36" s="8">
        <f>$C$4</f>
        <v>200</v>
      </c>
      <c r="H36" s="4"/>
      <c r="I36" s="6" t="s">
        <v>4</v>
      </c>
      <c r="J36" s="4" t="s">
        <v>2</v>
      </c>
      <c r="K36" s="8">
        <f>$C$4</f>
        <v>200</v>
      </c>
      <c r="L36" s="4"/>
      <c r="M36" s="6" t="s">
        <v>4</v>
      </c>
      <c r="N36" s="4" t="s">
        <v>2</v>
      </c>
      <c r="O36" s="8">
        <f>$C$4</f>
        <v>200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6" t="s">
        <v>5</v>
      </c>
      <c r="B37" s="4" t="s">
        <v>2</v>
      </c>
      <c r="C37" s="9" t="s">
        <v>6</v>
      </c>
      <c r="D37" s="4"/>
      <c r="E37" s="6" t="s">
        <v>5</v>
      </c>
      <c r="F37" s="4" t="s">
        <v>2</v>
      </c>
      <c r="G37" s="9" t="s">
        <v>6</v>
      </c>
      <c r="H37" s="4"/>
      <c r="I37" s="6" t="s">
        <v>5</v>
      </c>
      <c r="J37" s="4" t="s">
        <v>2</v>
      </c>
      <c r="K37" s="9" t="s">
        <v>6</v>
      </c>
      <c r="L37" s="4"/>
      <c r="M37" s="6" t="s">
        <v>5</v>
      </c>
      <c r="N37" s="4" t="s">
        <v>2</v>
      </c>
      <c r="O37" s="9" t="s">
        <v>6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3" t="s">
        <v>7</v>
      </c>
      <c r="B38" s="4" t="s">
        <v>2</v>
      </c>
      <c r="C38" s="10">
        <f>$C$6</f>
        <v>0</v>
      </c>
      <c r="D38" s="4"/>
      <c r="E38" s="3" t="s">
        <v>7</v>
      </c>
      <c r="F38" s="4" t="s">
        <v>2</v>
      </c>
      <c r="G38" s="10">
        <f>$C$6</f>
        <v>0</v>
      </c>
      <c r="H38" s="4"/>
      <c r="I38" s="3" t="s">
        <v>7</v>
      </c>
      <c r="J38" s="4" t="s">
        <v>2</v>
      </c>
      <c r="K38" s="10">
        <f>$C$6</f>
        <v>0</v>
      </c>
      <c r="L38" s="4"/>
      <c r="M38" s="3" t="s">
        <v>7</v>
      </c>
      <c r="N38" s="4" t="s">
        <v>2</v>
      </c>
      <c r="O38" s="10">
        <f>$C$6</f>
        <v>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14" t="s">
        <v>8</v>
      </c>
      <c r="B39" s="12" t="s">
        <v>2</v>
      </c>
      <c r="C39" s="13" t="str">
        <f>C31</f>
        <v>A</v>
      </c>
      <c r="D39" s="4"/>
      <c r="E39" s="14" t="s">
        <v>8</v>
      </c>
      <c r="F39" s="12" t="s">
        <v>2</v>
      </c>
      <c r="G39" s="13" t="str">
        <f>C39</f>
        <v>A</v>
      </c>
      <c r="H39" s="4"/>
      <c r="I39" s="14" t="s">
        <v>8</v>
      </c>
      <c r="J39" s="12" t="s">
        <v>2</v>
      </c>
      <c r="K39" s="13" t="str">
        <f>G39</f>
        <v>A</v>
      </c>
      <c r="L39" s="4"/>
      <c r="M39" s="14" t="s">
        <v>8</v>
      </c>
      <c r="N39" s="12" t="s">
        <v>2</v>
      </c>
      <c r="O39" s="13" t="str">
        <f>K39</f>
        <v>A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>
      <c r="A40" s="15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1" t="str">
        <f>$A$1</f>
        <v>226</v>
      </c>
      <c r="B41" s="115" t="s">
        <v>0</v>
      </c>
      <c r="C41" s="116"/>
      <c r="D41" s="2"/>
      <c r="E41" s="1" t="str">
        <f>$A$1</f>
        <v>226</v>
      </c>
      <c r="F41" s="115" t="s">
        <v>0</v>
      </c>
      <c r="G41" s="116"/>
      <c r="H41" s="2"/>
      <c r="I41" s="1" t="str">
        <f>$A$1</f>
        <v>226</v>
      </c>
      <c r="J41" s="115" t="s">
        <v>0</v>
      </c>
      <c r="K41" s="116"/>
      <c r="L41" s="2"/>
      <c r="M41" s="1" t="str">
        <f>$A$1</f>
        <v>226</v>
      </c>
      <c r="N41" s="115" t="s">
        <v>0</v>
      </c>
      <c r="O41" s="11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 t="s">
        <v>1</v>
      </c>
      <c r="B42" s="4" t="s">
        <v>2</v>
      </c>
      <c r="C42" s="5">
        <f>$C$2</f>
        <v>955985</v>
      </c>
      <c r="D42" s="4"/>
      <c r="E42" s="3" t="s">
        <v>1</v>
      </c>
      <c r="F42" s="4" t="s">
        <v>2</v>
      </c>
      <c r="G42" s="5">
        <f>$C$2</f>
        <v>955985</v>
      </c>
      <c r="H42" s="4"/>
      <c r="I42" s="3" t="s">
        <v>1</v>
      </c>
      <c r="J42" s="4" t="s">
        <v>2</v>
      </c>
      <c r="K42" s="5">
        <f>$C$2</f>
        <v>955985</v>
      </c>
      <c r="L42" s="4"/>
      <c r="M42" s="3" t="s">
        <v>1</v>
      </c>
      <c r="N42" s="4" t="s">
        <v>2</v>
      </c>
      <c r="O42" s="5">
        <f>$C$2</f>
        <v>955985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6" t="s">
        <v>3</v>
      </c>
      <c r="B43" s="4" t="s">
        <v>2</v>
      </c>
      <c r="C43" s="7" t="str">
        <f>$C$3</f>
        <v>DIN CONNECTOR FITTING</v>
      </c>
      <c r="D43" s="4"/>
      <c r="E43" s="6" t="s">
        <v>3</v>
      </c>
      <c r="F43" s="4" t="s">
        <v>2</v>
      </c>
      <c r="G43" s="7" t="str">
        <f>$C$3</f>
        <v>DIN CONNECTOR FITTING</v>
      </c>
      <c r="H43" s="4"/>
      <c r="I43" s="6" t="s">
        <v>3</v>
      </c>
      <c r="J43" s="4" t="s">
        <v>2</v>
      </c>
      <c r="K43" s="7" t="str">
        <f>$C$3</f>
        <v>DIN CONNECTOR FITTING</v>
      </c>
      <c r="L43" s="4"/>
      <c r="M43" s="6" t="s">
        <v>3</v>
      </c>
      <c r="N43" s="4" t="s">
        <v>2</v>
      </c>
      <c r="O43" s="7" t="str">
        <f>$C$3</f>
        <v>DIN CONNECTOR FITTING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6" t="s">
        <v>4</v>
      </c>
      <c r="B44" s="4" t="s">
        <v>2</v>
      </c>
      <c r="C44" s="8">
        <f>$C$4</f>
        <v>200</v>
      </c>
      <c r="D44" s="4"/>
      <c r="E44" s="6" t="s">
        <v>4</v>
      </c>
      <c r="F44" s="4" t="s">
        <v>2</v>
      </c>
      <c r="G44" s="8">
        <f>$C$4</f>
        <v>200</v>
      </c>
      <c r="H44" s="4"/>
      <c r="I44" s="6" t="s">
        <v>4</v>
      </c>
      <c r="J44" s="4" t="s">
        <v>2</v>
      </c>
      <c r="K44" s="8">
        <f>$C$4</f>
        <v>200</v>
      </c>
      <c r="L44" s="4"/>
      <c r="M44" s="6" t="s">
        <v>4</v>
      </c>
      <c r="N44" s="4" t="s">
        <v>2</v>
      </c>
      <c r="O44" s="8">
        <f>$C$4</f>
        <v>200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6" t="s">
        <v>5</v>
      </c>
      <c r="B45" s="4" t="s">
        <v>2</v>
      </c>
      <c r="C45" s="9" t="s">
        <v>6</v>
      </c>
      <c r="D45" s="4"/>
      <c r="E45" s="6" t="s">
        <v>5</v>
      </c>
      <c r="F45" s="4" t="s">
        <v>2</v>
      </c>
      <c r="G45" s="9" t="s">
        <v>6</v>
      </c>
      <c r="H45" s="4"/>
      <c r="I45" s="6" t="s">
        <v>5</v>
      </c>
      <c r="J45" s="4" t="s">
        <v>2</v>
      </c>
      <c r="K45" s="9" t="s">
        <v>6</v>
      </c>
      <c r="L45" s="4"/>
      <c r="M45" s="6" t="s">
        <v>5</v>
      </c>
      <c r="N45" s="4" t="s">
        <v>2</v>
      </c>
      <c r="O45" s="9" t="s">
        <v>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3" t="s">
        <v>7</v>
      </c>
      <c r="B46" s="4" t="s">
        <v>2</v>
      </c>
      <c r="C46" s="10">
        <f>$C$6</f>
        <v>0</v>
      </c>
      <c r="D46" s="4"/>
      <c r="E46" s="3" t="s">
        <v>7</v>
      </c>
      <c r="F46" s="4" t="s">
        <v>2</v>
      </c>
      <c r="G46" s="10">
        <f>$C$6</f>
        <v>0</v>
      </c>
      <c r="H46" s="4"/>
      <c r="I46" s="3" t="s">
        <v>7</v>
      </c>
      <c r="J46" s="4" t="s">
        <v>2</v>
      </c>
      <c r="K46" s="10">
        <f>$C$6</f>
        <v>0</v>
      </c>
      <c r="L46" s="4"/>
      <c r="M46" s="3" t="s">
        <v>7</v>
      </c>
      <c r="N46" s="4" t="s">
        <v>2</v>
      </c>
      <c r="O46" s="10">
        <f>$C$6</f>
        <v>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14" t="s">
        <v>8</v>
      </c>
      <c r="B47" s="12" t="s">
        <v>2</v>
      </c>
      <c r="C47" s="13" t="str">
        <f>C39</f>
        <v>A</v>
      </c>
      <c r="D47" s="4"/>
      <c r="E47" s="14" t="s">
        <v>8</v>
      </c>
      <c r="F47" s="12" t="s">
        <v>2</v>
      </c>
      <c r="G47" s="13" t="str">
        <f>C47</f>
        <v>A</v>
      </c>
      <c r="H47" s="4"/>
      <c r="I47" s="14" t="s">
        <v>8</v>
      </c>
      <c r="J47" s="12" t="s">
        <v>2</v>
      </c>
      <c r="K47" s="13" t="str">
        <f>G47</f>
        <v>A</v>
      </c>
      <c r="L47" s="4"/>
      <c r="M47" s="14" t="s">
        <v>8</v>
      </c>
      <c r="N47" s="12" t="s">
        <v>2</v>
      </c>
      <c r="O47" s="13" t="str">
        <f>K47</f>
        <v>A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>
      <c r="A48" s="15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1" t="str">
        <f>$A$1</f>
        <v>226</v>
      </c>
      <c r="B49" s="115" t="s">
        <v>0</v>
      </c>
      <c r="C49" s="116"/>
      <c r="D49" s="2"/>
      <c r="E49" s="1" t="str">
        <f>$A$1</f>
        <v>226</v>
      </c>
      <c r="F49" s="115" t="s">
        <v>0</v>
      </c>
      <c r="G49" s="116"/>
      <c r="H49" s="2"/>
      <c r="I49" s="1" t="str">
        <f>$A$1</f>
        <v>226</v>
      </c>
      <c r="J49" s="115" t="s">
        <v>0</v>
      </c>
      <c r="K49" s="116"/>
      <c r="L49" s="2"/>
      <c r="M49" s="1" t="str">
        <f>$A$1</f>
        <v>226</v>
      </c>
      <c r="N49" s="115" t="s">
        <v>0</v>
      </c>
      <c r="O49" s="11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 t="s">
        <v>1</v>
      </c>
      <c r="B50" s="4" t="s">
        <v>2</v>
      </c>
      <c r="C50" s="5">
        <f>$C$2</f>
        <v>955985</v>
      </c>
      <c r="D50" s="4"/>
      <c r="E50" s="3" t="s">
        <v>1</v>
      </c>
      <c r="F50" s="4" t="s">
        <v>2</v>
      </c>
      <c r="G50" s="5">
        <f>$C$2</f>
        <v>955985</v>
      </c>
      <c r="H50" s="4"/>
      <c r="I50" s="3" t="s">
        <v>1</v>
      </c>
      <c r="J50" s="4" t="s">
        <v>2</v>
      </c>
      <c r="K50" s="5">
        <f>$C$2</f>
        <v>955985</v>
      </c>
      <c r="L50" s="4"/>
      <c r="M50" s="3" t="s">
        <v>1</v>
      </c>
      <c r="N50" s="4" t="s">
        <v>2</v>
      </c>
      <c r="O50" s="5">
        <f>$C$2</f>
        <v>955985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6" t="s">
        <v>3</v>
      </c>
      <c r="B51" s="4" t="s">
        <v>2</v>
      </c>
      <c r="C51" s="7" t="str">
        <f>$C$3</f>
        <v>DIN CONNECTOR FITTING</v>
      </c>
      <c r="D51" s="4"/>
      <c r="E51" s="6" t="s">
        <v>3</v>
      </c>
      <c r="F51" s="4" t="s">
        <v>2</v>
      </c>
      <c r="G51" s="7" t="str">
        <f>$C$3</f>
        <v>DIN CONNECTOR FITTING</v>
      </c>
      <c r="H51" s="4"/>
      <c r="I51" s="6" t="s">
        <v>3</v>
      </c>
      <c r="J51" s="4" t="s">
        <v>2</v>
      </c>
      <c r="K51" s="7" t="str">
        <f>$C$3</f>
        <v>DIN CONNECTOR FITTING</v>
      </c>
      <c r="L51" s="4"/>
      <c r="M51" s="6" t="s">
        <v>3</v>
      </c>
      <c r="N51" s="4" t="s">
        <v>2</v>
      </c>
      <c r="O51" s="7" t="str">
        <f>$C$3</f>
        <v>DIN CONNECTOR FITTING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6" t="s">
        <v>4</v>
      </c>
      <c r="B52" s="4" t="s">
        <v>2</v>
      </c>
      <c r="C52" s="8">
        <f>$C$4</f>
        <v>200</v>
      </c>
      <c r="D52" s="4"/>
      <c r="E52" s="6" t="s">
        <v>4</v>
      </c>
      <c r="F52" s="4" t="s">
        <v>2</v>
      </c>
      <c r="G52" s="8">
        <f>$C$4</f>
        <v>200</v>
      </c>
      <c r="H52" s="4"/>
      <c r="I52" s="6" t="s">
        <v>4</v>
      </c>
      <c r="J52" s="4" t="s">
        <v>2</v>
      </c>
      <c r="K52" s="8">
        <f>$C$4</f>
        <v>200</v>
      </c>
      <c r="L52" s="4"/>
      <c r="M52" s="6" t="s">
        <v>4</v>
      </c>
      <c r="N52" s="4" t="s">
        <v>2</v>
      </c>
      <c r="O52" s="8">
        <f>$C$4</f>
        <v>200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6" t="s">
        <v>5</v>
      </c>
      <c r="B53" s="4" t="s">
        <v>2</v>
      </c>
      <c r="C53" s="9" t="s">
        <v>6</v>
      </c>
      <c r="D53" s="4"/>
      <c r="E53" s="6" t="s">
        <v>5</v>
      </c>
      <c r="F53" s="4" t="s">
        <v>2</v>
      </c>
      <c r="G53" s="9" t="s">
        <v>6</v>
      </c>
      <c r="H53" s="4"/>
      <c r="I53" s="6" t="s">
        <v>5</v>
      </c>
      <c r="J53" s="4" t="s">
        <v>2</v>
      </c>
      <c r="K53" s="9" t="s">
        <v>6</v>
      </c>
      <c r="L53" s="4"/>
      <c r="M53" s="6" t="s">
        <v>5</v>
      </c>
      <c r="N53" s="4" t="s">
        <v>2</v>
      </c>
      <c r="O53" s="9" t="s">
        <v>6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3" t="s">
        <v>7</v>
      </c>
      <c r="B54" s="4" t="s">
        <v>2</v>
      </c>
      <c r="C54" s="10">
        <f>$C$6</f>
        <v>0</v>
      </c>
      <c r="D54" s="4"/>
      <c r="E54" s="3" t="s">
        <v>7</v>
      </c>
      <c r="F54" s="4" t="s">
        <v>2</v>
      </c>
      <c r="G54" s="10">
        <f>$C$6</f>
        <v>0</v>
      </c>
      <c r="H54" s="4"/>
      <c r="I54" s="3" t="s">
        <v>7</v>
      </c>
      <c r="J54" s="4" t="s">
        <v>2</v>
      </c>
      <c r="K54" s="10">
        <f>$C$6</f>
        <v>0</v>
      </c>
      <c r="L54" s="4"/>
      <c r="M54" s="3" t="s">
        <v>7</v>
      </c>
      <c r="N54" s="4" t="s">
        <v>2</v>
      </c>
      <c r="O54" s="10">
        <f>$C$6</f>
        <v>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14" t="s">
        <v>8</v>
      </c>
      <c r="B55" s="12" t="s">
        <v>2</v>
      </c>
      <c r="C55" s="13" t="str">
        <f>C47</f>
        <v>A</v>
      </c>
      <c r="D55" s="4"/>
      <c r="E55" s="14" t="s">
        <v>8</v>
      </c>
      <c r="F55" s="12" t="s">
        <v>2</v>
      </c>
      <c r="G55" s="13" t="str">
        <f>C55</f>
        <v>A</v>
      </c>
      <c r="H55" s="4"/>
      <c r="I55" s="14" t="s">
        <v>8</v>
      </c>
      <c r="J55" s="12" t="s">
        <v>2</v>
      </c>
      <c r="K55" s="13" t="str">
        <f>G55</f>
        <v>A</v>
      </c>
      <c r="L55" s="4"/>
      <c r="M55" s="14" t="s">
        <v>8</v>
      </c>
      <c r="N55" s="12" t="s">
        <v>2</v>
      </c>
      <c r="O55" s="13" t="str">
        <f>K55</f>
        <v>A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>
      <c r="A56" s="15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1" t="str">
        <f>$A$1</f>
        <v>226</v>
      </c>
      <c r="B57" s="115" t="s">
        <v>0</v>
      </c>
      <c r="C57" s="116"/>
      <c r="D57" s="2"/>
      <c r="E57" s="1" t="str">
        <f>$A$1</f>
        <v>226</v>
      </c>
      <c r="F57" s="115" t="s">
        <v>0</v>
      </c>
      <c r="G57" s="116"/>
      <c r="H57" s="2"/>
      <c r="I57" s="1" t="str">
        <f>$A$1</f>
        <v>226</v>
      </c>
      <c r="J57" s="115" t="s">
        <v>0</v>
      </c>
      <c r="K57" s="116"/>
      <c r="L57" s="2"/>
      <c r="M57" s="1" t="str">
        <f>$A$1</f>
        <v>226</v>
      </c>
      <c r="N57" s="115" t="s">
        <v>0</v>
      </c>
      <c r="O57" s="11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 t="s">
        <v>1</v>
      </c>
      <c r="B58" s="4" t="s">
        <v>2</v>
      </c>
      <c r="C58" s="5">
        <f>$C$2</f>
        <v>955985</v>
      </c>
      <c r="D58" s="4"/>
      <c r="E58" s="3" t="s">
        <v>1</v>
      </c>
      <c r="F58" s="4" t="s">
        <v>2</v>
      </c>
      <c r="G58" s="5">
        <f>$C$2</f>
        <v>955985</v>
      </c>
      <c r="H58" s="4"/>
      <c r="I58" s="3" t="s">
        <v>1</v>
      </c>
      <c r="J58" s="4" t="s">
        <v>2</v>
      </c>
      <c r="K58" s="5">
        <f>$C$2</f>
        <v>955985</v>
      </c>
      <c r="L58" s="4"/>
      <c r="M58" s="3" t="s">
        <v>1</v>
      </c>
      <c r="N58" s="4" t="s">
        <v>2</v>
      </c>
      <c r="O58" s="5">
        <f>$C$2</f>
        <v>955985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6" t="s">
        <v>3</v>
      </c>
      <c r="B59" s="4" t="s">
        <v>2</v>
      </c>
      <c r="C59" s="7" t="str">
        <f>$C$3</f>
        <v>DIN CONNECTOR FITTING</v>
      </c>
      <c r="D59" s="4"/>
      <c r="E59" s="6" t="s">
        <v>3</v>
      </c>
      <c r="F59" s="4" t="s">
        <v>2</v>
      </c>
      <c r="G59" s="7" t="str">
        <f>$C$3</f>
        <v>DIN CONNECTOR FITTING</v>
      </c>
      <c r="H59" s="4"/>
      <c r="I59" s="6" t="s">
        <v>3</v>
      </c>
      <c r="J59" s="4" t="s">
        <v>2</v>
      </c>
      <c r="K59" s="7" t="str">
        <f>$C$3</f>
        <v>DIN CONNECTOR FITTING</v>
      </c>
      <c r="L59" s="4"/>
      <c r="M59" s="6" t="s">
        <v>3</v>
      </c>
      <c r="N59" s="4" t="s">
        <v>2</v>
      </c>
      <c r="O59" s="7" t="str">
        <f>$C$3</f>
        <v>DIN CONNECTOR FITTING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6" t="s">
        <v>4</v>
      </c>
      <c r="B60" s="4" t="s">
        <v>2</v>
      </c>
      <c r="C60" s="8">
        <f>$C$4</f>
        <v>200</v>
      </c>
      <c r="D60" s="4"/>
      <c r="E60" s="6" t="s">
        <v>4</v>
      </c>
      <c r="F60" s="4" t="s">
        <v>2</v>
      </c>
      <c r="G60" s="8">
        <f>$C$4</f>
        <v>200</v>
      </c>
      <c r="H60" s="4"/>
      <c r="I60" s="6" t="s">
        <v>4</v>
      </c>
      <c r="J60" s="4" t="s">
        <v>2</v>
      </c>
      <c r="K60" s="8">
        <f>$C$4</f>
        <v>200</v>
      </c>
      <c r="L60" s="4"/>
      <c r="M60" s="6" t="s">
        <v>4</v>
      </c>
      <c r="N60" s="4" t="s">
        <v>2</v>
      </c>
      <c r="O60" s="8">
        <f>$C$4</f>
        <v>200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6" t="s">
        <v>5</v>
      </c>
      <c r="B61" s="4" t="s">
        <v>2</v>
      </c>
      <c r="C61" s="9" t="s">
        <v>6</v>
      </c>
      <c r="D61" s="4"/>
      <c r="E61" s="6" t="s">
        <v>5</v>
      </c>
      <c r="F61" s="4" t="s">
        <v>2</v>
      </c>
      <c r="G61" s="9" t="s">
        <v>6</v>
      </c>
      <c r="H61" s="4"/>
      <c r="I61" s="6" t="s">
        <v>5</v>
      </c>
      <c r="J61" s="4" t="s">
        <v>2</v>
      </c>
      <c r="K61" s="9" t="s">
        <v>6</v>
      </c>
      <c r="L61" s="4"/>
      <c r="M61" s="6" t="s">
        <v>5</v>
      </c>
      <c r="N61" s="4" t="s">
        <v>2</v>
      </c>
      <c r="O61" s="9" t="s">
        <v>6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3" t="s">
        <v>7</v>
      </c>
      <c r="B62" s="4" t="s">
        <v>2</v>
      </c>
      <c r="C62" s="10">
        <f>$C$6</f>
        <v>0</v>
      </c>
      <c r="D62" s="4"/>
      <c r="E62" s="3" t="s">
        <v>7</v>
      </c>
      <c r="F62" s="4" t="s">
        <v>2</v>
      </c>
      <c r="G62" s="10">
        <f>$C$6</f>
        <v>0</v>
      </c>
      <c r="H62" s="4"/>
      <c r="I62" s="3" t="s">
        <v>7</v>
      </c>
      <c r="J62" s="4" t="s">
        <v>2</v>
      </c>
      <c r="K62" s="10">
        <f>$C$6</f>
        <v>0</v>
      </c>
      <c r="L62" s="4"/>
      <c r="M62" s="3" t="s">
        <v>7</v>
      </c>
      <c r="N62" s="4" t="s">
        <v>2</v>
      </c>
      <c r="O62" s="10">
        <f>$C$6</f>
        <v>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14" t="s">
        <v>8</v>
      </c>
      <c r="B63" s="12" t="s">
        <v>2</v>
      </c>
      <c r="C63" s="13" t="str">
        <f>C55</f>
        <v>A</v>
      </c>
      <c r="D63" s="4"/>
      <c r="E63" s="14" t="s">
        <v>8</v>
      </c>
      <c r="F63" s="12" t="s">
        <v>2</v>
      </c>
      <c r="G63" s="13" t="str">
        <f>C63</f>
        <v>A</v>
      </c>
      <c r="H63" s="4"/>
      <c r="I63" s="14" t="s">
        <v>8</v>
      </c>
      <c r="J63" s="12" t="s">
        <v>2</v>
      </c>
      <c r="K63" s="13" t="str">
        <f>G63</f>
        <v>A</v>
      </c>
      <c r="L63" s="4"/>
      <c r="M63" s="14" t="s">
        <v>8</v>
      </c>
      <c r="N63" s="12" t="s">
        <v>2</v>
      </c>
      <c r="O63" s="13" t="str">
        <f>K63</f>
        <v>A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>
      <c r="A64" s="1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1" t="str">
        <f>$A$1</f>
        <v>226</v>
      </c>
      <c r="B65" s="115" t="s">
        <v>0</v>
      </c>
      <c r="C65" s="116"/>
      <c r="D65" s="2"/>
      <c r="E65" s="1" t="str">
        <f>$A$1</f>
        <v>226</v>
      </c>
      <c r="F65" s="115" t="s">
        <v>0</v>
      </c>
      <c r="G65" s="116"/>
      <c r="H65" s="2"/>
      <c r="I65" s="1" t="str">
        <f>$A$1</f>
        <v>226</v>
      </c>
      <c r="J65" s="115" t="s">
        <v>0</v>
      </c>
      <c r="K65" s="116"/>
      <c r="L65" s="2"/>
      <c r="M65" s="1" t="str">
        <f>$A$1</f>
        <v>226</v>
      </c>
      <c r="N65" s="115" t="s">
        <v>0</v>
      </c>
      <c r="O65" s="11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 t="s">
        <v>1</v>
      </c>
      <c r="B66" s="4" t="s">
        <v>2</v>
      </c>
      <c r="C66" s="5">
        <f>$C$2</f>
        <v>955985</v>
      </c>
      <c r="D66" s="4"/>
      <c r="E66" s="3" t="s">
        <v>1</v>
      </c>
      <c r="F66" s="4" t="s">
        <v>2</v>
      </c>
      <c r="G66" s="5">
        <f>$C$2</f>
        <v>955985</v>
      </c>
      <c r="H66" s="4"/>
      <c r="I66" s="3" t="s">
        <v>1</v>
      </c>
      <c r="J66" s="4" t="s">
        <v>2</v>
      </c>
      <c r="K66" s="5">
        <f>$C$2</f>
        <v>955985</v>
      </c>
      <c r="L66" s="4"/>
      <c r="M66" s="3" t="s">
        <v>1</v>
      </c>
      <c r="N66" s="4" t="s">
        <v>2</v>
      </c>
      <c r="O66" s="5">
        <f>$C$2</f>
        <v>955985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6" t="s">
        <v>3</v>
      </c>
      <c r="B67" s="4" t="s">
        <v>2</v>
      </c>
      <c r="C67" s="7" t="str">
        <f>$C$3</f>
        <v>DIN CONNECTOR FITTING</v>
      </c>
      <c r="D67" s="4"/>
      <c r="E67" s="6" t="s">
        <v>3</v>
      </c>
      <c r="F67" s="4" t="s">
        <v>2</v>
      </c>
      <c r="G67" s="7" t="str">
        <f>$C$3</f>
        <v>DIN CONNECTOR FITTING</v>
      </c>
      <c r="H67" s="4"/>
      <c r="I67" s="6" t="s">
        <v>3</v>
      </c>
      <c r="J67" s="4" t="s">
        <v>2</v>
      </c>
      <c r="K67" s="7" t="str">
        <f>$C$3</f>
        <v>DIN CONNECTOR FITTING</v>
      </c>
      <c r="L67" s="4"/>
      <c r="M67" s="6" t="s">
        <v>3</v>
      </c>
      <c r="N67" s="4" t="s">
        <v>2</v>
      </c>
      <c r="O67" s="7" t="str">
        <f>$C$3</f>
        <v>DIN CONNECTOR FITTING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6" t="s">
        <v>4</v>
      </c>
      <c r="B68" s="4" t="s">
        <v>2</v>
      </c>
      <c r="C68" s="8">
        <f>$C$4</f>
        <v>200</v>
      </c>
      <c r="D68" s="4"/>
      <c r="E68" s="6" t="s">
        <v>4</v>
      </c>
      <c r="F68" s="4" t="s">
        <v>2</v>
      </c>
      <c r="G68" s="8">
        <f>$C$4</f>
        <v>200</v>
      </c>
      <c r="H68" s="4"/>
      <c r="I68" s="6" t="s">
        <v>4</v>
      </c>
      <c r="J68" s="4" t="s">
        <v>2</v>
      </c>
      <c r="K68" s="8">
        <f>$C$4</f>
        <v>200</v>
      </c>
      <c r="L68" s="4"/>
      <c r="M68" s="6" t="s">
        <v>4</v>
      </c>
      <c r="N68" s="4" t="s">
        <v>2</v>
      </c>
      <c r="O68" s="8">
        <f>$C$4</f>
        <v>200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6" t="s">
        <v>5</v>
      </c>
      <c r="B69" s="4" t="s">
        <v>2</v>
      </c>
      <c r="C69" s="9" t="s">
        <v>6</v>
      </c>
      <c r="D69" s="4"/>
      <c r="E69" s="6" t="s">
        <v>5</v>
      </c>
      <c r="F69" s="4" t="s">
        <v>2</v>
      </c>
      <c r="G69" s="9" t="s">
        <v>6</v>
      </c>
      <c r="H69" s="4"/>
      <c r="I69" s="6" t="s">
        <v>5</v>
      </c>
      <c r="J69" s="4" t="s">
        <v>2</v>
      </c>
      <c r="K69" s="9" t="s">
        <v>6</v>
      </c>
      <c r="L69" s="4"/>
      <c r="M69" s="6" t="s">
        <v>5</v>
      </c>
      <c r="N69" s="4" t="s">
        <v>2</v>
      </c>
      <c r="O69" s="9" t="s">
        <v>6</v>
      </c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3" t="s">
        <v>7</v>
      </c>
      <c r="B70" s="4" t="s">
        <v>2</v>
      </c>
      <c r="C70" s="10">
        <f>$C$6</f>
        <v>0</v>
      </c>
      <c r="D70" s="4"/>
      <c r="E70" s="3" t="s">
        <v>7</v>
      </c>
      <c r="F70" s="4" t="s">
        <v>2</v>
      </c>
      <c r="G70" s="10">
        <f>$C$6</f>
        <v>0</v>
      </c>
      <c r="H70" s="4"/>
      <c r="I70" s="3" t="s">
        <v>7</v>
      </c>
      <c r="J70" s="4" t="s">
        <v>2</v>
      </c>
      <c r="K70" s="10">
        <f>$C$6</f>
        <v>0</v>
      </c>
      <c r="L70" s="4"/>
      <c r="M70" s="3" t="s">
        <v>7</v>
      </c>
      <c r="N70" s="4" t="s">
        <v>2</v>
      </c>
      <c r="O70" s="10">
        <f>$C$6</f>
        <v>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14" t="s">
        <v>8</v>
      </c>
      <c r="B71" s="12" t="s">
        <v>2</v>
      </c>
      <c r="C71" s="13" t="str">
        <f>C63</f>
        <v>A</v>
      </c>
      <c r="D71" s="4"/>
      <c r="E71" s="14" t="s">
        <v>8</v>
      </c>
      <c r="F71" s="12" t="s">
        <v>2</v>
      </c>
      <c r="G71" s="13" t="str">
        <f>C71</f>
        <v>A</v>
      </c>
      <c r="H71" s="4"/>
      <c r="I71" s="14" t="s">
        <v>8</v>
      </c>
      <c r="J71" s="12" t="s">
        <v>2</v>
      </c>
      <c r="K71" s="13" t="str">
        <f>G71</f>
        <v>A</v>
      </c>
      <c r="L71" s="4"/>
      <c r="M71" s="14" t="s">
        <v>8</v>
      </c>
      <c r="N71" s="12" t="s">
        <v>2</v>
      </c>
      <c r="O71" s="13" t="str">
        <f>K71</f>
        <v>A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>
      <c r="A72" s="15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1" t="str">
        <f>$A$1</f>
        <v>226</v>
      </c>
      <c r="B73" s="115" t="s">
        <v>0</v>
      </c>
      <c r="C73" s="116"/>
      <c r="D73" s="2"/>
      <c r="E73" s="1" t="str">
        <f>$A$1</f>
        <v>226</v>
      </c>
      <c r="F73" s="115" t="s">
        <v>0</v>
      </c>
      <c r="G73" s="116"/>
      <c r="H73" s="2"/>
      <c r="I73" s="1" t="str">
        <f>$A$1</f>
        <v>226</v>
      </c>
      <c r="J73" s="115" t="s">
        <v>0</v>
      </c>
      <c r="K73" s="116"/>
      <c r="L73" s="2"/>
      <c r="M73" s="1" t="str">
        <f>$A$1</f>
        <v>226</v>
      </c>
      <c r="N73" s="115" t="s">
        <v>0</v>
      </c>
      <c r="O73" s="11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3" t="s">
        <v>1</v>
      </c>
      <c r="B74" s="4" t="s">
        <v>2</v>
      </c>
      <c r="C74" s="5">
        <f>$C$2</f>
        <v>955985</v>
      </c>
      <c r="D74" s="4"/>
      <c r="E74" s="3" t="s">
        <v>1</v>
      </c>
      <c r="F74" s="4" t="s">
        <v>2</v>
      </c>
      <c r="G74" s="5">
        <f>$C$2</f>
        <v>955985</v>
      </c>
      <c r="H74" s="4"/>
      <c r="I74" s="3" t="s">
        <v>1</v>
      </c>
      <c r="J74" s="4" t="s">
        <v>2</v>
      </c>
      <c r="K74" s="5">
        <f>$C$2</f>
        <v>955985</v>
      </c>
      <c r="L74" s="4"/>
      <c r="M74" s="3" t="s">
        <v>1</v>
      </c>
      <c r="N74" s="4" t="s">
        <v>2</v>
      </c>
      <c r="O74" s="5">
        <f>$C$2</f>
        <v>955985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6" t="s">
        <v>3</v>
      </c>
      <c r="B75" s="4" t="s">
        <v>2</v>
      </c>
      <c r="C75" s="7" t="str">
        <f>$C$3</f>
        <v>DIN CONNECTOR FITTING</v>
      </c>
      <c r="D75" s="4"/>
      <c r="E75" s="6" t="s">
        <v>3</v>
      </c>
      <c r="F75" s="4" t="s">
        <v>2</v>
      </c>
      <c r="G75" s="7" t="str">
        <f>$C$3</f>
        <v>DIN CONNECTOR FITTING</v>
      </c>
      <c r="H75" s="4"/>
      <c r="I75" s="6" t="s">
        <v>3</v>
      </c>
      <c r="J75" s="4" t="s">
        <v>2</v>
      </c>
      <c r="K75" s="7" t="str">
        <f>$C$3</f>
        <v>DIN CONNECTOR FITTING</v>
      </c>
      <c r="L75" s="4"/>
      <c r="M75" s="6" t="s">
        <v>3</v>
      </c>
      <c r="N75" s="4" t="s">
        <v>2</v>
      </c>
      <c r="O75" s="7" t="str">
        <f>$C$3</f>
        <v>DIN CONNECTOR FITTING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6" t="s">
        <v>4</v>
      </c>
      <c r="B76" s="4" t="s">
        <v>2</v>
      </c>
      <c r="C76" s="8">
        <f>$C$4</f>
        <v>200</v>
      </c>
      <c r="D76" s="4"/>
      <c r="E76" s="6" t="s">
        <v>4</v>
      </c>
      <c r="F76" s="4" t="s">
        <v>2</v>
      </c>
      <c r="G76" s="8">
        <f>$C$4</f>
        <v>200</v>
      </c>
      <c r="H76" s="4"/>
      <c r="I76" s="6" t="s">
        <v>4</v>
      </c>
      <c r="J76" s="4" t="s">
        <v>2</v>
      </c>
      <c r="K76" s="8">
        <f>$C$4</f>
        <v>200</v>
      </c>
      <c r="L76" s="4"/>
      <c r="M76" s="6" t="s">
        <v>4</v>
      </c>
      <c r="N76" s="4" t="s">
        <v>2</v>
      </c>
      <c r="O76" s="8">
        <f>$C$4</f>
        <v>200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6" t="s">
        <v>5</v>
      </c>
      <c r="B77" s="4" t="s">
        <v>2</v>
      </c>
      <c r="C77" s="9" t="s">
        <v>6</v>
      </c>
      <c r="D77" s="4"/>
      <c r="E77" s="6" t="s">
        <v>5</v>
      </c>
      <c r="F77" s="4" t="s">
        <v>2</v>
      </c>
      <c r="G77" s="9" t="s">
        <v>6</v>
      </c>
      <c r="H77" s="4"/>
      <c r="I77" s="6" t="s">
        <v>5</v>
      </c>
      <c r="J77" s="4" t="s">
        <v>2</v>
      </c>
      <c r="K77" s="9" t="s">
        <v>6</v>
      </c>
      <c r="L77" s="4"/>
      <c r="M77" s="6" t="s">
        <v>5</v>
      </c>
      <c r="N77" s="4" t="s">
        <v>2</v>
      </c>
      <c r="O77" s="9" t="s">
        <v>6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3" t="s">
        <v>7</v>
      </c>
      <c r="B78" s="4" t="s">
        <v>2</v>
      </c>
      <c r="C78" s="10">
        <f>$C$6</f>
        <v>0</v>
      </c>
      <c r="D78" s="4"/>
      <c r="E78" s="3" t="s">
        <v>7</v>
      </c>
      <c r="F78" s="4" t="s">
        <v>2</v>
      </c>
      <c r="G78" s="10">
        <f>$C$6</f>
        <v>0</v>
      </c>
      <c r="H78" s="4"/>
      <c r="I78" s="3" t="s">
        <v>7</v>
      </c>
      <c r="J78" s="4" t="s">
        <v>2</v>
      </c>
      <c r="K78" s="10">
        <f>$C$6</f>
        <v>0</v>
      </c>
      <c r="L78" s="4"/>
      <c r="M78" s="3" t="s">
        <v>7</v>
      </c>
      <c r="N78" s="4" t="s">
        <v>2</v>
      </c>
      <c r="O78" s="10">
        <f>$C$6</f>
        <v>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14" t="s">
        <v>8</v>
      </c>
      <c r="B79" s="12" t="s">
        <v>2</v>
      </c>
      <c r="C79" s="13" t="str">
        <f>C71</f>
        <v>A</v>
      </c>
      <c r="D79" s="4"/>
      <c r="E79" s="14" t="s">
        <v>8</v>
      </c>
      <c r="F79" s="12" t="s">
        <v>2</v>
      </c>
      <c r="G79" s="13" t="str">
        <f>C79</f>
        <v>A</v>
      </c>
      <c r="H79" s="4"/>
      <c r="I79" s="14" t="s">
        <v>8</v>
      </c>
      <c r="J79" s="12" t="s">
        <v>2</v>
      </c>
      <c r="K79" s="13" t="str">
        <f>G79</f>
        <v>A</v>
      </c>
      <c r="L79" s="4"/>
      <c r="M79" s="14" t="s">
        <v>8</v>
      </c>
      <c r="N79" s="12" t="s">
        <v>2</v>
      </c>
      <c r="O79" s="13" t="str">
        <f>K79</f>
        <v>A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>
      <c r="A80" s="15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1" t="str">
        <f>$A$1</f>
        <v>226</v>
      </c>
      <c r="B81" s="115" t="s">
        <v>0</v>
      </c>
      <c r="C81" s="116"/>
      <c r="D81" s="2"/>
      <c r="E81" s="1" t="str">
        <f>$A$1</f>
        <v>226</v>
      </c>
      <c r="F81" s="115" t="s">
        <v>0</v>
      </c>
      <c r="G81" s="116"/>
      <c r="H81" s="2"/>
      <c r="I81" s="1" t="str">
        <f>$A$1</f>
        <v>226</v>
      </c>
      <c r="J81" s="115" t="s">
        <v>0</v>
      </c>
      <c r="K81" s="116"/>
      <c r="L81" s="2"/>
      <c r="M81" s="1" t="str">
        <f>$A$1</f>
        <v>226</v>
      </c>
      <c r="N81" s="115" t="s">
        <v>0</v>
      </c>
      <c r="O81" s="11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3" t="s">
        <v>1</v>
      </c>
      <c r="B82" s="4" t="s">
        <v>2</v>
      </c>
      <c r="C82" s="5">
        <f>$C$2</f>
        <v>955985</v>
      </c>
      <c r="D82" s="4"/>
      <c r="E82" s="3" t="s">
        <v>1</v>
      </c>
      <c r="F82" s="4" t="s">
        <v>2</v>
      </c>
      <c r="G82" s="5">
        <f>$C$2</f>
        <v>955985</v>
      </c>
      <c r="H82" s="4"/>
      <c r="I82" s="3" t="s">
        <v>1</v>
      </c>
      <c r="J82" s="4" t="s">
        <v>2</v>
      </c>
      <c r="K82" s="5">
        <f>$C$2</f>
        <v>955985</v>
      </c>
      <c r="L82" s="4"/>
      <c r="M82" s="3" t="s">
        <v>1</v>
      </c>
      <c r="N82" s="4" t="s">
        <v>2</v>
      </c>
      <c r="O82" s="5">
        <f>$C$2</f>
        <v>955985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6" t="s">
        <v>3</v>
      </c>
      <c r="B83" s="4" t="s">
        <v>2</v>
      </c>
      <c r="C83" s="7" t="str">
        <f>$C$3</f>
        <v>DIN CONNECTOR FITTING</v>
      </c>
      <c r="D83" s="4"/>
      <c r="E83" s="6" t="s">
        <v>3</v>
      </c>
      <c r="F83" s="4" t="s">
        <v>2</v>
      </c>
      <c r="G83" s="7" t="str">
        <f>$C$3</f>
        <v>DIN CONNECTOR FITTING</v>
      </c>
      <c r="H83" s="4"/>
      <c r="I83" s="6" t="s">
        <v>3</v>
      </c>
      <c r="J83" s="4" t="s">
        <v>2</v>
      </c>
      <c r="K83" s="7" t="str">
        <f>$C$3</f>
        <v>DIN CONNECTOR FITTING</v>
      </c>
      <c r="L83" s="4"/>
      <c r="M83" s="6" t="s">
        <v>3</v>
      </c>
      <c r="N83" s="4" t="s">
        <v>2</v>
      </c>
      <c r="O83" s="7" t="str">
        <f>$C$3</f>
        <v>DIN CONNECTOR FITTING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6" t="s">
        <v>4</v>
      </c>
      <c r="B84" s="4" t="s">
        <v>2</v>
      </c>
      <c r="C84" s="8">
        <f>$C$4</f>
        <v>200</v>
      </c>
      <c r="D84" s="4"/>
      <c r="E84" s="6" t="s">
        <v>4</v>
      </c>
      <c r="F84" s="4" t="s">
        <v>2</v>
      </c>
      <c r="G84" s="8">
        <f>$C$4</f>
        <v>200</v>
      </c>
      <c r="H84" s="4"/>
      <c r="I84" s="6" t="s">
        <v>4</v>
      </c>
      <c r="J84" s="4" t="s">
        <v>2</v>
      </c>
      <c r="K84" s="8">
        <f>$C$4</f>
        <v>200</v>
      </c>
      <c r="L84" s="4"/>
      <c r="M84" s="6" t="s">
        <v>4</v>
      </c>
      <c r="N84" s="4" t="s">
        <v>2</v>
      </c>
      <c r="O84" s="8">
        <f>$C$4</f>
        <v>200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6" t="s">
        <v>5</v>
      </c>
      <c r="B85" s="4" t="s">
        <v>2</v>
      </c>
      <c r="C85" s="9" t="s">
        <v>6</v>
      </c>
      <c r="D85" s="4"/>
      <c r="E85" s="6" t="s">
        <v>5</v>
      </c>
      <c r="F85" s="4" t="s">
        <v>2</v>
      </c>
      <c r="G85" s="9" t="s">
        <v>6</v>
      </c>
      <c r="H85" s="4"/>
      <c r="I85" s="6" t="s">
        <v>5</v>
      </c>
      <c r="J85" s="4" t="s">
        <v>2</v>
      </c>
      <c r="K85" s="9" t="s">
        <v>6</v>
      </c>
      <c r="L85" s="4"/>
      <c r="M85" s="6" t="s">
        <v>5</v>
      </c>
      <c r="N85" s="4" t="s">
        <v>2</v>
      </c>
      <c r="O85" s="9" t="s">
        <v>6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3" t="s">
        <v>7</v>
      </c>
      <c r="B86" s="4" t="s">
        <v>2</v>
      </c>
      <c r="C86" s="10">
        <f>$C$6</f>
        <v>0</v>
      </c>
      <c r="D86" s="4"/>
      <c r="E86" s="3" t="s">
        <v>7</v>
      </c>
      <c r="F86" s="4" t="s">
        <v>2</v>
      </c>
      <c r="G86" s="10">
        <f>$C$6</f>
        <v>0</v>
      </c>
      <c r="H86" s="4"/>
      <c r="I86" s="3" t="s">
        <v>7</v>
      </c>
      <c r="J86" s="4" t="s">
        <v>2</v>
      </c>
      <c r="K86" s="10">
        <f>$C$6</f>
        <v>0</v>
      </c>
      <c r="L86" s="4"/>
      <c r="M86" s="3" t="s">
        <v>7</v>
      </c>
      <c r="N86" s="4" t="s">
        <v>2</v>
      </c>
      <c r="O86" s="10">
        <f>$C$6</f>
        <v>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14" t="s">
        <v>8</v>
      </c>
      <c r="B87" s="12" t="s">
        <v>2</v>
      </c>
      <c r="C87" s="13" t="str">
        <f>C79</f>
        <v>A</v>
      </c>
      <c r="D87" s="4"/>
      <c r="E87" s="14" t="s">
        <v>8</v>
      </c>
      <c r="F87" s="12" t="s">
        <v>2</v>
      </c>
      <c r="G87" s="13" t="str">
        <f>C87</f>
        <v>A</v>
      </c>
      <c r="H87" s="4"/>
      <c r="I87" s="14" t="s">
        <v>8</v>
      </c>
      <c r="J87" s="12" t="s">
        <v>2</v>
      </c>
      <c r="K87" s="13" t="str">
        <f>G87</f>
        <v>A</v>
      </c>
      <c r="L87" s="4"/>
      <c r="M87" s="14" t="s">
        <v>8</v>
      </c>
      <c r="N87" s="12" t="s">
        <v>2</v>
      </c>
      <c r="O87" s="13" t="str">
        <f>K87</f>
        <v>A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7.5" customHeight="1">
      <c r="A88" s="15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15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15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15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15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15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15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15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15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15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15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15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15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15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15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15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15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15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15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15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15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15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15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15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15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15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15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15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15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15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15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15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15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15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15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15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15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15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15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15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15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15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15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15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15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15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15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15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15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15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15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15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15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15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15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15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15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15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15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15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15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15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15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15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15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15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15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15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15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15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15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15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15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15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15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15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15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15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15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15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15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15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15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15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15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15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15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15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15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15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15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15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15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15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15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15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15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15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15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15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15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15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15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15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15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15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15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15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15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15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15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15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15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15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15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15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15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15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15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15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15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15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15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15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15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15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15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15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15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15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15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15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15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15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15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15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15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15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15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15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15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15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15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15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15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15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15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15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15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15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15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15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15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15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15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15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15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15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15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15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15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15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15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15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15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15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15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15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15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15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15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15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15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15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15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15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15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15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15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15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15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15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15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15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15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15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15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15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15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15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15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15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15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15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15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15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15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15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15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15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15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15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15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15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15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15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15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15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15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15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15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15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15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15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15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15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15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15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15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15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15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15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15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15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15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15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15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15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15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15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15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15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15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15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15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15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15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15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15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15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15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15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15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15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15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15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15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15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15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15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15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15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15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15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15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15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15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15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15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15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15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15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15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15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15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15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15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15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15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15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15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15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15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15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15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15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15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15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15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15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15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15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15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15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15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15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15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15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15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15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15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15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15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15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15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15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15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15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15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15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15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1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1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1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15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15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15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15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15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15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15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15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15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15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15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15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15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15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15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15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15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15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1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1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1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1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1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1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1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15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15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15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15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15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15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15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15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15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15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15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15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15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15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15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15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15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15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15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15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15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15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15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15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15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15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15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15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15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15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15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15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15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15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15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15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15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15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15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15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15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15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15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15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15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15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15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15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15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15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15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15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15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15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15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15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15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15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15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15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15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15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15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15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15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15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15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15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15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15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15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15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15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15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15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15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15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15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15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15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15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15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15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15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15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15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15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15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15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15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15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15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15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15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15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15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15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15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15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15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15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15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15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15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15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15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15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15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15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15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15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15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15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15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15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15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15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15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15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15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15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15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15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15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15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15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15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15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15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15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15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15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15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15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15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15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15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15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15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15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15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15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15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15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15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15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15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15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15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15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15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15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15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15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15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15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15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15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15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15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15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15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15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15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15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15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15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15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15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15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15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15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15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15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15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15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15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15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15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15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15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15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15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15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15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15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15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15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15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15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15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15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15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15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15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15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15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15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15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15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15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15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15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15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15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15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15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15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15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15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15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15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15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15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15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15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15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15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15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15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15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15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15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15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15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15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15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15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15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15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15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15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15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15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15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15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15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15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15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15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15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15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15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15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15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15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15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15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15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15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15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15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15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15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15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15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15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15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15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15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15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15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15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15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15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15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15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15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15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15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15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15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15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15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15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15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15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15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15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15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15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15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15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15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15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15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15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15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15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15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15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15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15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15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15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15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15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15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15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15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15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15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15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15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15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15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15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15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15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15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15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15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15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15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15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15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15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15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15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15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15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15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15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15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15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15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15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15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15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15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15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15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15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15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15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15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15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15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15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15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15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1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1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1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1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1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1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1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1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1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1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1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1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1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1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1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1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1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1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1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1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1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1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1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1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1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1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1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1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1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1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1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1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1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1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1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1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1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1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1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1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1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1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1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1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1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1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1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1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1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1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1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1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1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1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1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1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1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1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1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1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1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1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1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1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1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1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1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1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1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1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1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1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1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1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1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1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1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1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1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1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1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1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1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1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1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1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1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1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1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1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1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1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1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1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1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1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1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1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1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1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1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1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1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1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1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1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1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1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1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1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1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1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1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1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1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1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1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1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1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1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1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1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1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1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1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1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1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1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1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1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1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1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1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1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1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1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1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1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1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1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1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1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1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1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1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1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1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1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1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1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1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1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1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1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1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1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1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1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1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1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1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1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1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1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1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1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1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1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1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1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1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1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1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1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1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1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1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1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1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1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1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1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1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1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1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1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1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1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1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1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1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1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1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1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1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1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1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1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1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1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1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1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1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1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1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1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1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1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1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1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1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1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1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1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1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1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1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1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1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1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1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1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1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1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1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1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1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1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1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1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1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1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1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1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1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1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1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1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1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1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1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1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1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44">
    <mergeCell ref="B65:C65"/>
    <mergeCell ref="F65:G65"/>
    <mergeCell ref="J65:K65"/>
    <mergeCell ref="N65:O65"/>
    <mergeCell ref="F73:G73"/>
    <mergeCell ref="J73:K73"/>
    <mergeCell ref="N73:O73"/>
    <mergeCell ref="B73:C73"/>
    <mergeCell ref="B81:C81"/>
    <mergeCell ref="F81:G81"/>
    <mergeCell ref="J81:K81"/>
    <mergeCell ref="N81:O81"/>
    <mergeCell ref="J57:K57"/>
    <mergeCell ref="N57:O57"/>
    <mergeCell ref="B41:C41"/>
    <mergeCell ref="B49:C49"/>
    <mergeCell ref="F49:G49"/>
    <mergeCell ref="J49:K49"/>
    <mergeCell ref="N49:O49"/>
    <mergeCell ref="B57:C57"/>
    <mergeCell ref="F57:G57"/>
    <mergeCell ref="B33:C33"/>
    <mergeCell ref="F33:G33"/>
    <mergeCell ref="J33:K33"/>
    <mergeCell ref="N33:O33"/>
    <mergeCell ref="F41:G41"/>
    <mergeCell ref="J41:K41"/>
    <mergeCell ref="N41:O41"/>
    <mergeCell ref="J25:K25"/>
    <mergeCell ref="N25:O25"/>
    <mergeCell ref="B9:C9"/>
    <mergeCell ref="B17:C17"/>
    <mergeCell ref="F17:G17"/>
    <mergeCell ref="J17:K17"/>
    <mergeCell ref="N17:O17"/>
    <mergeCell ref="B25:C25"/>
    <mergeCell ref="F25:G25"/>
    <mergeCell ref="B1:C1"/>
    <mergeCell ref="F1:G1"/>
    <mergeCell ref="J1:K1"/>
    <mergeCell ref="N1:O1"/>
    <mergeCell ref="F9:G9"/>
    <mergeCell ref="J9:K9"/>
    <mergeCell ref="N9:O9"/>
  </mergeCells>
  <printOptions horizontalCentered="1" verticalCentered="1"/>
  <pageMargins left="0" right="0" top="0" bottom="0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Z1000"/>
  <sheetViews>
    <sheetView showGridLines="0" workbookViewId="0"/>
  </sheetViews>
  <sheetFormatPr defaultColWidth="14.42578125" defaultRowHeight="15" customHeight="1"/>
  <cols>
    <col min="1" max="1" width="16.7109375" customWidth="1"/>
    <col min="2" max="2" width="2.5703125" customWidth="1"/>
    <col min="3" max="5" width="11.5703125" customWidth="1"/>
    <col min="6" max="6" width="16.5703125" customWidth="1"/>
    <col min="7" max="7" width="4.42578125" customWidth="1"/>
    <col min="8" max="8" width="16.7109375" customWidth="1"/>
    <col min="9" max="9" width="2.5703125" customWidth="1"/>
    <col min="10" max="12" width="11.5703125" customWidth="1"/>
    <col min="13" max="13" width="16.5703125" customWidth="1"/>
    <col min="14" max="26" width="9" customWidth="1"/>
  </cols>
  <sheetData>
    <row r="1" spans="1:26" ht="24" customHeight="1">
      <c r="A1" s="16"/>
      <c r="B1" s="132" t="s">
        <v>13</v>
      </c>
      <c r="C1" s="133"/>
      <c r="D1" s="133"/>
      <c r="E1" s="133"/>
      <c r="F1" s="116"/>
      <c r="G1" s="17"/>
      <c r="H1" s="16"/>
      <c r="I1" s="132" t="s">
        <v>13</v>
      </c>
      <c r="J1" s="133"/>
      <c r="K1" s="133"/>
      <c r="L1" s="133"/>
      <c r="M1" s="116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8.75" customHeight="1">
      <c r="A2" s="18" t="s">
        <v>14</v>
      </c>
      <c r="B2" s="19" t="s">
        <v>2</v>
      </c>
      <c r="C2" s="134" t="str">
        <f>VLOOKUP(F3,'List Part'!$A$5:$D$426,4,0)</f>
        <v>PT. KAWAI INDONESIA</v>
      </c>
      <c r="D2" s="133"/>
      <c r="E2" s="116"/>
      <c r="F2" s="20" t="s">
        <v>15</v>
      </c>
      <c r="G2" s="17"/>
      <c r="H2" s="18" t="s">
        <v>14</v>
      </c>
      <c r="I2" s="19" t="s">
        <v>2</v>
      </c>
      <c r="J2" s="134" t="str">
        <f>$C$2</f>
        <v>PT. KAWAI INDONESIA</v>
      </c>
      <c r="K2" s="133"/>
      <c r="L2" s="116"/>
      <c r="M2" s="20" t="s">
        <v>15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1" customHeight="1">
      <c r="A3" s="21" t="s">
        <v>16</v>
      </c>
      <c r="B3" s="19" t="s">
        <v>2</v>
      </c>
      <c r="C3" s="134">
        <f>VLOOKUP(F3,'List Part'!$A$5:$C$426,2,0)</f>
        <v>955985</v>
      </c>
      <c r="D3" s="133"/>
      <c r="E3" s="116"/>
      <c r="F3" s="137" t="s">
        <v>17</v>
      </c>
      <c r="G3" s="17"/>
      <c r="H3" s="21" t="s">
        <v>16</v>
      </c>
      <c r="I3" s="19" t="s">
        <v>2</v>
      </c>
      <c r="J3" s="134">
        <f>$C$3</f>
        <v>955985</v>
      </c>
      <c r="K3" s="133"/>
      <c r="L3" s="116"/>
      <c r="M3" s="117" t="str">
        <f>$F$3</f>
        <v>226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21" customHeight="1">
      <c r="A4" s="21" t="s">
        <v>18</v>
      </c>
      <c r="B4" s="19" t="s">
        <v>2</v>
      </c>
      <c r="C4" s="121" t="str">
        <f>VLOOKUP(F3,'List Part'!$A$5:$C$426,3,0)</f>
        <v>DIN CONNECTOR FITTING</v>
      </c>
      <c r="D4" s="133"/>
      <c r="E4" s="116"/>
      <c r="F4" s="118"/>
      <c r="G4" s="17"/>
      <c r="H4" s="21" t="s">
        <v>18</v>
      </c>
      <c r="I4" s="19" t="s">
        <v>2</v>
      </c>
      <c r="J4" s="121" t="str">
        <f>$C$4</f>
        <v>DIN CONNECTOR FITTING</v>
      </c>
      <c r="K4" s="133"/>
      <c r="L4" s="116"/>
      <c r="M4" s="11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8.75" customHeight="1">
      <c r="A5" s="21" t="s">
        <v>19</v>
      </c>
      <c r="B5" s="19" t="s">
        <v>2</v>
      </c>
      <c r="C5" s="121" t="str">
        <f>VLOOKUP($F$3,'List Part'!$A$5:$H$426,8,0)</f>
        <v>F28235</v>
      </c>
      <c r="D5" s="133"/>
      <c r="E5" s="116"/>
      <c r="F5" s="119"/>
      <c r="G5" s="17"/>
      <c r="H5" s="21" t="s">
        <v>19</v>
      </c>
      <c r="I5" s="19" t="s">
        <v>2</v>
      </c>
      <c r="J5" s="121" t="str">
        <f>$C$5</f>
        <v>F28235</v>
      </c>
      <c r="K5" s="133"/>
      <c r="L5" s="116"/>
      <c r="M5" s="119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8.75" customHeight="1">
      <c r="A6" s="21" t="s">
        <v>20</v>
      </c>
      <c r="B6" s="19" t="s">
        <v>2</v>
      </c>
      <c r="C6" s="22"/>
      <c r="D6" s="22"/>
      <c r="E6" s="23"/>
      <c r="F6" s="20" t="s">
        <v>21</v>
      </c>
      <c r="G6" s="17"/>
      <c r="H6" s="21" t="s">
        <v>20</v>
      </c>
      <c r="I6" s="19" t="s">
        <v>2</v>
      </c>
      <c r="J6" s="22"/>
      <c r="K6" s="22"/>
      <c r="L6" s="23"/>
      <c r="M6" s="20" t="s">
        <v>21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8.75" customHeight="1">
      <c r="A7" s="21" t="s">
        <v>22</v>
      </c>
      <c r="B7" s="19" t="s">
        <v>2</v>
      </c>
      <c r="C7" s="24"/>
      <c r="D7" s="25" t="s">
        <v>23</v>
      </c>
      <c r="E7" s="26"/>
      <c r="F7" s="138"/>
      <c r="G7" s="17"/>
      <c r="H7" s="21" t="s">
        <v>22</v>
      </c>
      <c r="I7" s="19" t="s">
        <v>2</v>
      </c>
      <c r="J7" s="24"/>
      <c r="K7" s="25" t="s">
        <v>23</v>
      </c>
      <c r="L7" s="26"/>
      <c r="M7" s="120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8.75" customHeight="1">
      <c r="A8" s="21" t="s">
        <v>24</v>
      </c>
      <c r="B8" s="19" t="s">
        <v>2</v>
      </c>
      <c r="C8" s="27">
        <f>VLOOKUP(F3,'List Part'!$A$5:$E$426,5,0)</f>
        <v>1000</v>
      </c>
      <c r="D8" s="22" t="s">
        <v>25</v>
      </c>
      <c r="E8" s="26"/>
      <c r="F8" s="118"/>
      <c r="G8" s="17"/>
      <c r="H8" s="21" t="s">
        <v>24</v>
      </c>
      <c r="I8" s="19" t="s">
        <v>2</v>
      </c>
      <c r="J8" s="27">
        <f>$C$8</f>
        <v>1000</v>
      </c>
      <c r="K8" s="22" t="s">
        <v>25</v>
      </c>
      <c r="L8" s="26"/>
      <c r="M8" s="11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8.75" customHeight="1">
      <c r="A9" s="21" t="s">
        <v>26</v>
      </c>
      <c r="B9" s="19" t="s">
        <v>2</v>
      </c>
      <c r="C9" s="121"/>
      <c r="D9" s="122"/>
      <c r="E9" s="26"/>
      <c r="F9" s="119"/>
      <c r="G9" s="17"/>
      <c r="H9" s="21" t="s">
        <v>26</v>
      </c>
      <c r="I9" s="19" t="s">
        <v>2</v>
      </c>
      <c r="J9" s="121"/>
      <c r="K9" s="122"/>
      <c r="L9" s="26"/>
      <c r="M9" s="119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3.5" customHeight="1">
      <c r="A10" s="123" t="s">
        <v>27</v>
      </c>
      <c r="B10" s="124"/>
      <c r="C10" s="123" t="s">
        <v>28</v>
      </c>
      <c r="D10" s="125"/>
      <c r="E10" s="126" t="s">
        <v>29</v>
      </c>
      <c r="F10" s="128" t="s">
        <v>30</v>
      </c>
      <c r="G10" s="17"/>
      <c r="H10" s="123" t="s">
        <v>27</v>
      </c>
      <c r="I10" s="124"/>
      <c r="J10" s="123" t="s">
        <v>28</v>
      </c>
      <c r="K10" s="125"/>
      <c r="L10" s="126" t="s">
        <v>29</v>
      </c>
      <c r="M10" s="128" t="s">
        <v>30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8.75" customHeight="1">
      <c r="A11" s="135">
        <f>VLOOKUP(F3,'List Part'!$A$5:$G$426,6,0)</f>
        <v>0</v>
      </c>
      <c r="B11" s="136"/>
      <c r="C11" s="135">
        <f>VLOOKUP(F3,'List Part'!$A$5:$G$426,7,0)</f>
        <v>91</v>
      </c>
      <c r="D11" s="136"/>
      <c r="E11" s="127"/>
      <c r="F11" s="129"/>
      <c r="G11" s="17"/>
      <c r="H11" s="135">
        <f>$A$11</f>
        <v>0</v>
      </c>
      <c r="I11" s="136"/>
      <c r="J11" s="135">
        <f>$C$11</f>
        <v>91</v>
      </c>
      <c r="K11" s="136"/>
      <c r="L11" s="127"/>
      <c r="M11" s="129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7.25" customHeight="1">
      <c r="A12" s="130" t="s">
        <v>31</v>
      </c>
      <c r="B12" s="131"/>
      <c r="C12" s="131"/>
      <c r="D12" s="131"/>
      <c r="E12" s="131"/>
      <c r="F12" s="131"/>
      <c r="G12" s="17"/>
      <c r="H12" s="130" t="s">
        <v>31</v>
      </c>
      <c r="I12" s="131"/>
      <c r="J12" s="131"/>
      <c r="K12" s="131"/>
      <c r="L12" s="131"/>
      <c r="M12" s="131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0.5" customHeight="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24" customHeight="1">
      <c r="A14" s="16"/>
      <c r="B14" s="132" t="s">
        <v>13</v>
      </c>
      <c r="C14" s="133"/>
      <c r="D14" s="133"/>
      <c r="E14" s="133"/>
      <c r="F14" s="116"/>
      <c r="G14" s="17"/>
      <c r="H14" s="16"/>
      <c r="I14" s="132" t="s">
        <v>13</v>
      </c>
      <c r="J14" s="133"/>
      <c r="K14" s="133"/>
      <c r="L14" s="133"/>
      <c r="M14" s="116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 customHeight="1">
      <c r="A15" s="18" t="s">
        <v>14</v>
      </c>
      <c r="B15" s="19" t="s">
        <v>2</v>
      </c>
      <c r="C15" s="134" t="str">
        <f>$C$2</f>
        <v>PT. KAWAI INDONESIA</v>
      </c>
      <c r="D15" s="133"/>
      <c r="E15" s="116"/>
      <c r="F15" s="20" t="s">
        <v>15</v>
      </c>
      <c r="G15" s="17"/>
      <c r="H15" s="18" t="s">
        <v>14</v>
      </c>
      <c r="I15" s="19" t="s">
        <v>2</v>
      </c>
      <c r="J15" s="134" t="str">
        <f>$C$2</f>
        <v>PT. KAWAI INDONESIA</v>
      </c>
      <c r="K15" s="133"/>
      <c r="L15" s="116"/>
      <c r="M15" s="20" t="s">
        <v>15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8.75" customHeight="1">
      <c r="A16" s="21" t="s">
        <v>16</v>
      </c>
      <c r="B16" s="19" t="s">
        <v>2</v>
      </c>
      <c r="C16" s="134">
        <f>$C$3</f>
        <v>955985</v>
      </c>
      <c r="D16" s="133"/>
      <c r="E16" s="116"/>
      <c r="F16" s="117" t="str">
        <f>$F$3</f>
        <v>226</v>
      </c>
      <c r="G16" s="17"/>
      <c r="H16" s="21" t="s">
        <v>16</v>
      </c>
      <c r="I16" s="19" t="s">
        <v>2</v>
      </c>
      <c r="J16" s="134">
        <f>$C$3</f>
        <v>955985</v>
      </c>
      <c r="K16" s="133"/>
      <c r="L16" s="116"/>
      <c r="M16" s="117" t="str">
        <f>$F$3</f>
        <v>226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8.75" customHeight="1">
      <c r="A17" s="21" t="s">
        <v>18</v>
      </c>
      <c r="B17" s="19" t="s">
        <v>2</v>
      </c>
      <c r="C17" s="121" t="str">
        <f>$C$4</f>
        <v>DIN CONNECTOR FITTING</v>
      </c>
      <c r="D17" s="133"/>
      <c r="E17" s="116"/>
      <c r="F17" s="118"/>
      <c r="G17" s="17"/>
      <c r="H17" s="21" t="s">
        <v>18</v>
      </c>
      <c r="I17" s="19" t="s">
        <v>2</v>
      </c>
      <c r="J17" s="121" t="str">
        <f>$C$4</f>
        <v>DIN CONNECTOR FITTING</v>
      </c>
      <c r="K17" s="133"/>
      <c r="L17" s="116"/>
      <c r="M17" s="11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8.75" customHeight="1">
      <c r="A18" s="21" t="s">
        <v>19</v>
      </c>
      <c r="B18" s="19" t="s">
        <v>2</v>
      </c>
      <c r="C18" s="121" t="str">
        <f>$C$5</f>
        <v>F28235</v>
      </c>
      <c r="D18" s="133"/>
      <c r="E18" s="116"/>
      <c r="F18" s="119"/>
      <c r="G18" s="17"/>
      <c r="H18" s="21" t="s">
        <v>19</v>
      </c>
      <c r="I18" s="19" t="s">
        <v>2</v>
      </c>
      <c r="J18" s="121" t="str">
        <f>$C$5</f>
        <v>F28235</v>
      </c>
      <c r="K18" s="133"/>
      <c r="L18" s="116"/>
      <c r="M18" s="119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8.75" customHeight="1">
      <c r="A19" s="21" t="s">
        <v>20</v>
      </c>
      <c r="B19" s="19" t="s">
        <v>2</v>
      </c>
      <c r="C19" s="22"/>
      <c r="D19" s="22"/>
      <c r="E19" s="23"/>
      <c r="F19" s="20" t="s">
        <v>21</v>
      </c>
      <c r="G19" s="17"/>
      <c r="H19" s="21" t="s">
        <v>20</v>
      </c>
      <c r="I19" s="19" t="s">
        <v>2</v>
      </c>
      <c r="J19" s="22"/>
      <c r="K19" s="22"/>
      <c r="L19" s="23"/>
      <c r="M19" s="20" t="s">
        <v>21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8.75" customHeight="1">
      <c r="A20" s="21" t="s">
        <v>22</v>
      </c>
      <c r="B20" s="19" t="s">
        <v>2</v>
      </c>
      <c r="C20" s="24"/>
      <c r="D20" s="25" t="s">
        <v>23</v>
      </c>
      <c r="E20" s="26"/>
      <c r="F20" s="120"/>
      <c r="G20" s="17"/>
      <c r="H20" s="21" t="s">
        <v>22</v>
      </c>
      <c r="I20" s="19" t="s">
        <v>2</v>
      </c>
      <c r="J20" s="24"/>
      <c r="K20" s="25" t="s">
        <v>23</v>
      </c>
      <c r="L20" s="26"/>
      <c r="M20" s="120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8.75" customHeight="1">
      <c r="A21" s="21" t="s">
        <v>24</v>
      </c>
      <c r="B21" s="19" t="s">
        <v>2</v>
      </c>
      <c r="C21" s="27">
        <f>$C$8</f>
        <v>1000</v>
      </c>
      <c r="D21" s="22" t="s">
        <v>25</v>
      </c>
      <c r="E21" s="26"/>
      <c r="F21" s="118"/>
      <c r="G21" s="17"/>
      <c r="H21" s="21" t="s">
        <v>24</v>
      </c>
      <c r="I21" s="19" t="s">
        <v>2</v>
      </c>
      <c r="J21" s="27">
        <f>$C$8</f>
        <v>1000</v>
      </c>
      <c r="K21" s="22" t="s">
        <v>25</v>
      </c>
      <c r="L21" s="26"/>
      <c r="M21" s="11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8.75" customHeight="1">
      <c r="A22" s="21" t="s">
        <v>26</v>
      </c>
      <c r="B22" s="19" t="s">
        <v>2</v>
      </c>
      <c r="C22" s="121"/>
      <c r="D22" s="122"/>
      <c r="E22" s="26"/>
      <c r="F22" s="119"/>
      <c r="G22" s="17"/>
      <c r="H22" s="21" t="s">
        <v>26</v>
      </c>
      <c r="I22" s="19" t="s">
        <v>2</v>
      </c>
      <c r="J22" s="121"/>
      <c r="K22" s="122"/>
      <c r="L22" s="26"/>
      <c r="M22" s="119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" customHeight="1">
      <c r="A23" s="123" t="s">
        <v>27</v>
      </c>
      <c r="B23" s="124"/>
      <c r="C23" s="123" t="s">
        <v>28</v>
      </c>
      <c r="D23" s="125"/>
      <c r="E23" s="126" t="s">
        <v>29</v>
      </c>
      <c r="F23" s="128" t="s">
        <v>30</v>
      </c>
      <c r="G23" s="17"/>
      <c r="H23" s="123" t="s">
        <v>27</v>
      </c>
      <c r="I23" s="124"/>
      <c r="J23" s="123" t="s">
        <v>28</v>
      </c>
      <c r="K23" s="125"/>
      <c r="L23" s="126" t="s">
        <v>29</v>
      </c>
      <c r="M23" s="128" t="s">
        <v>30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8.75" customHeight="1">
      <c r="A24" s="135">
        <f>$A$11</f>
        <v>0</v>
      </c>
      <c r="B24" s="136"/>
      <c r="C24" s="135">
        <f>$C$11</f>
        <v>91</v>
      </c>
      <c r="D24" s="136"/>
      <c r="E24" s="127"/>
      <c r="F24" s="129"/>
      <c r="G24" s="17"/>
      <c r="H24" s="135">
        <f>$A$11</f>
        <v>0</v>
      </c>
      <c r="I24" s="136"/>
      <c r="J24" s="135">
        <f>$C$11</f>
        <v>91</v>
      </c>
      <c r="K24" s="136"/>
      <c r="L24" s="127"/>
      <c r="M24" s="129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7.25" customHeight="1">
      <c r="A25" s="130" t="s">
        <v>31</v>
      </c>
      <c r="B25" s="131"/>
      <c r="C25" s="131"/>
      <c r="D25" s="131"/>
      <c r="E25" s="131"/>
      <c r="F25" s="131"/>
      <c r="G25" s="17"/>
      <c r="H25" s="130" t="s">
        <v>31</v>
      </c>
      <c r="I25" s="131"/>
      <c r="J25" s="131"/>
      <c r="K25" s="131"/>
      <c r="L25" s="131"/>
      <c r="M25" s="131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0.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24" customHeight="1">
      <c r="A27" s="16"/>
      <c r="B27" s="132" t="s">
        <v>13</v>
      </c>
      <c r="C27" s="133"/>
      <c r="D27" s="133"/>
      <c r="E27" s="133"/>
      <c r="F27" s="116"/>
      <c r="G27" s="17"/>
      <c r="H27" s="16"/>
      <c r="I27" s="132" t="s">
        <v>13</v>
      </c>
      <c r="J27" s="133"/>
      <c r="K27" s="133"/>
      <c r="L27" s="133"/>
      <c r="M27" s="116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8.75" customHeight="1">
      <c r="A28" s="18" t="s">
        <v>14</v>
      </c>
      <c r="B28" s="19" t="s">
        <v>2</v>
      </c>
      <c r="C28" s="134" t="str">
        <f>$C$2</f>
        <v>PT. KAWAI INDONESIA</v>
      </c>
      <c r="D28" s="133"/>
      <c r="E28" s="116"/>
      <c r="F28" s="20" t="s">
        <v>15</v>
      </c>
      <c r="G28" s="17"/>
      <c r="H28" s="18" t="s">
        <v>14</v>
      </c>
      <c r="I28" s="19" t="s">
        <v>2</v>
      </c>
      <c r="J28" s="134" t="str">
        <f>$C$2</f>
        <v>PT. KAWAI INDONESIA</v>
      </c>
      <c r="K28" s="133"/>
      <c r="L28" s="116"/>
      <c r="M28" s="20" t="s">
        <v>15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21" customHeight="1">
      <c r="A29" s="21" t="s">
        <v>16</v>
      </c>
      <c r="B29" s="19" t="s">
        <v>2</v>
      </c>
      <c r="C29" s="134">
        <f>$C$3</f>
        <v>955985</v>
      </c>
      <c r="D29" s="133"/>
      <c r="E29" s="116"/>
      <c r="F29" s="117" t="str">
        <f>$F$3</f>
        <v>226</v>
      </c>
      <c r="G29" s="17"/>
      <c r="H29" s="21" t="s">
        <v>16</v>
      </c>
      <c r="I29" s="19" t="s">
        <v>2</v>
      </c>
      <c r="J29" s="134">
        <f>$C$3</f>
        <v>955985</v>
      </c>
      <c r="K29" s="133"/>
      <c r="L29" s="116"/>
      <c r="M29" s="117" t="str">
        <f>$F$3</f>
        <v>226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21" customHeight="1">
      <c r="A30" s="21" t="s">
        <v>18</v>
      </c>
      <c r="B30" s="19" t="s">
        <v>2</v>
      </c>
      <c r="C30" s="121" t="str">
        <f>$C$4</f>
        <v>DIN CONNECTOR FITTING</v>
      </c>
      <c r="D30" s="133"/>
      <c r="E30" s="116"/>
      <c r="F30" s="118"/>
      <c r="G30" s="17"/>
      <c r="H30" s="21" t="s">
        <v>18</v>
      </c>
      <c r="I30" s="19" t="s">
        <v>2</v>
      </c>
      <c r="J30" s="121" t="str">
        <f>$C$4</f>
        <v>DIN CONNECTOR FITTING</v>
      </c>
      <c r="K30" s="133"/>
      <c r="L30" s="116"/>
      <c r="M30" s="11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8.75" customHeight="1">
      <c r="A31" s="21" t="s">
        <v>19</v>
      </c>
      <c r="B31" s="19" t="s">
        <v>2</v>
      </c>
      <c r="C31" s="121" t="str">
        <f>$C$5</f>
        <v>F28235</v>
      </c>
      <c r="D31" s="133"/>
      <c r="E31" s="116"/>
      <c r="F31" s="119"/>
      <c r="G31" s="17"/>
      <c r="H31" s="21" t="s">
        <v>19</v>
      </c>
      <c r="I31" s="19" t="s">
        <v>2</v>
      </c>
      <c r="J31" s="121" t="str">
        <f>$C$5</f>
        <v>F28235</v>
      </c>
      <c r="K31" s="133"/>
      <c r="L31" s="116"/>
      <c r="M31" s="119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8.75" customHeight="1">
      <c r="A32" s="21" t="s">
        <v>20</v>
      </c>
      <c r="B32" s="19" t="s">
        <v>2</v>
      </c>
      <c r="C32" s="22"/>
      <c r="D32" s="22"/>
      <c r="E32" s="23"/>
      <c r="F32" s="20" t="s">
        <v>21</v>
      </c>
      <c r="G32" s="17"/>
      <c r="H32" s="21" t="s">
        <v>20</v>
      </c>
      <c r="I32" s="19" t="s">
        <v>2</v>
      </c>
      <c r="J32" s="22"/>
      <c r="K32" s="22"/>
      <c r="L32" s="23"/>
      <c r="M32" s="20" t="s">
        <v>21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8.75" customHeight="1">
      <c r="A33" s="21" t="s">
        <v>22</v>
      </c>
      <c r="B33" s="19" t="s">
        <v>2</v>
      </c>
      <c r="C33" s="24"/>
      <c r="D33" s="25" t="s">
        <v>23</v>
      </c>
      <c r="E33" s="26"/>
      <c r="F33" s="120"/>
      <c r="G33" s="17"/>
      <c r="H33" s="21" t="s">
        <v>22</v>
      </c>
      <c r="I33" s="19" t="s">
        <v>2</v>
      </c>
      <c r="J33" s="24"/>
      <c r="K33" s="25" t="s">
        <v>23</v>
      </c>
      <c r="L33" s="26"/>
      <c r="M33" s="120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8.75" customHeight="1">
      <c r="A34" s="21" t="s">
        <v>24</v>
      </c>
      <c r="B34" s="19" t="s">
        <v>2</v>
      </c>
      <c r="C34" s="27">
        <f>$C$8</f>
        <v>1000</v>
      </c>
      <c r="D34" s="22" t="s">
        <v>25</v>
      </c>
      <c r="E34" s="26"/>
      <c r="F34" s="118"/>
      <c r="G34" s="17"/>
      <c r="H34" s="21" t="s">
        <v>24</v>
      </c>
      <c r="I34" s="19" t="s">
        <v>2</v>
      </c>
      <c r="J34" s="27">
        <f>$C$8</f>
        <v>1000</v>
      </c>
      <c r="K34" s="22" t="s">
        <v>25</v>
      </c>
      <c r="L34" s="26"/>
      <c r="M34" s="11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8.75" customHeight="1">
      <c r="A35" s="21" t="s">
        <v>26</v>
      </c>
      <c r="B35" s="19" t="s">
        <v>2</v>
      </c>
      <c r="C35" s="121"/>
      <c r="D35" s="122"/>
      <c r="E35" s="26"/>
      <c r="F35" s="119"/>
      <c r="G35" s="17"/>
      <c r="H35" s="21" t="s">
        <v>26</v>
      </c>
      <c r="I35" s="19" t="s">
        <v>2</v>
      </c>
      <c r="J35" s="121"/>
      <c r="K35" s="122"/>
      <c r="L35" s="26"/>
      <c r="M35" s="119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" customHeight="1">
      <c r="A36" s="123" t="s">
        <v>27</v>
      </c>
      <c r="B36" s="124"/>
      <c r="C36" s="123" t="s">
        <v>28</v>
      </c>
      <c r="D36" s="125"/>
      <c r="E36" s="126" t="s">
        <v>29</v>
      </c>
      <c r="F36" s="128" t="s">
        <v>30</v>
      </c>
      <c r="G36" s="17"/>
      <c r="H36" s="123" t="s">
        <v>27</v>
      </c>
      <c r="I36" s="124"/>
      <c r="J36" s="123" t="s">
        <v>28</v>
      </c>
      <c r="K36" s="125"/>
      <c r="L36" s="126" t="s">
        <v>29</v>
      </c>
      <c r="M36" s="128" t="s">
        <v>30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8.75" customHeight="1">
      <c r="A37" s="135">
        <f>$A$11</f>
        <v>0</v>
      </c>
      <c r="B37" s="136"/>
      <c r="C37" s="135">
        <f>$C$11</f>
        <v>91</v>
      </c>
      <c r="D37" s="136"/>
      <c r="E37" s="127"/>
      <c r="F37" s="129"/>
      <c r="G37" s="17"/>
      <c r="H37" s="135">
        <f>$A$11</f>
        <v>0</v>
      </c>
      <c r="I37" s="136"/>
      <c r="J37" s="135">
        <f>$C$11</f>
        <v>91</v>
      </c>
      <c r="K37" s="136"/>
      <c r="L37" s="127"/>
      <c r="M37" s="129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7.25" customHeight="1">
      <c r="A38" s="130" t="s">
        <v>31</v>
      </c>
      <c r="B38" s="131"/>
      <c r="C38" s="131"/>
      <c r="D38" s="131"/>
      <c r="E38" s="131"/>
      <c r="F38" s="131"/>
      <c r="G38" s="17"/>
      <c r="H38" s="130" t="s">
        <v>31</v>
      </c>
      <c r="I38" s="131"/>
      <c r="J38" s="131"/>
      <c r="K38" s="131"/>
      <c r="L38" s="131"/>
      <c r="M38" s="131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9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24" customHeight="1">
      <c r="A40" s="16"/>
      <c r="B40" s="132" t="s">
        <v>13</v>
      </c>
      <c r="C40" s="133"/>
      <c r="D40" s="133"/>
      <c r="E40" s="133"/>
      <c r="F40" s="116"/>
      <c r="G40" s="17"/>
      <c r="H40" s="16"/>
      <c r="I40" s="132" t="s">
        <v>13</v>
      </c>
      <c r="J40" s="133"/>
      <c r="K40" s="133"/>
      <c r="L40" s="133"/>
      <c r="M40" s="116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8.75" customHeight="1">
      <c r="A41" s="18" t="s">
        <v>14</v>
      </c>
      <c r="B41" s="19" t="s">
        <v>2</v>
      </c>
      <c r="C41" s="134" t="str">
        <f>$C$2</f>
        <v>PT. KAWAI INDONESIA</v>
      </c>
      <c r="D41" s="133"/>
      <c r="E41" s="116"/>
      <c r="F41" s="20" t="s">
        <v>15</v>
      </c>
      <c r="G41" s="17"/>
      <c r="H41" s="18" t="s">
        <v>14</v>
      </c>
      <c r="I41" s="19" t="s">
        <v>2</v>
      </c>
      <c r="J41" s="134" t="str">
        <f>$C$2</f>
        <v>PT. KAWAI INDONESIA</v>
      </c>
      <c r="K41" s="133"/>
      <c r="L41" s="116"/>
      <c r="M41" s="20" t="s">
        <v>15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21" customHeight="1">
      <c r="A42" s="21" t="s">
        <v>16</v>
      </c>
      <c r="B42" s="19" t="s">
        <v>2</v>
      </c>
      <c r="C42" s="134">
        <f>$C$3</f>
        <v>955985</v>
      </c>
      <c r="D42" s="133"/>
      <c r="E42" s="116"/>
      <c r="F42" s="117" t="str">
        <f>$F$3</f>
        <v>226</v>
      </c>
      <c r="G42" s="17"/>
      <c r="H42" s="21" t="s">
        <v>16</v>
      </c>
      <c r="I42" s="19" t="s">
        <v>2</v>
      </c>
      <c r="J42" s="134">
        <f>$C$3</f>
        <v>955985</v>
      </c>
      <c r="K42" s="133"/>
      <c r="L42" s="116"/>
      <c r="M42" s="117" t="str">
        <f>$F$3</f>
        <v>226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21" customHeight="1">
      <c r="A43" s="21" t="s">
        <v>18</v>
      </c>
      <c r="B43" s="19" t="s">
        <v>2</v>
      </c>
      <c r="C43" s="121" t="str">
        <f>$C$4</f>
        <v>DIN CONNECTOR FITTING</v>
      </c>
      <c r="D43" s="133"/>
      <c r="E43" s="116"/>
      <c r="F43" s="118"/>
      <c r="G43" s="17"/>
      <c r="H43" s="21" t="s">
        <v>18</v>
      </c>
      <c r="I43" s="19" t="s">
        <v>2</v>
      </c>
      <c r="J43" s="121" t="str">
        <f>$C$4</f>
        <v>DIN CONNECTOR FITTING</v>
      </c>
      <c r="K43" s="133"/>
      <c r="L43" s="116"/>
      <c r="M43" s="11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8.75" customHeight="1">
      <c r="A44" s="21" t="s">
        <v>19</v>
      </c>
      <c r="B44" s="19" t="s">
        <v>2</v>
      </c>
      <c r="C44" s="121" t="str">
        <f>$C$5</f>
        <v>F28235</v>
      </c>
      <c r="D44" s="133"/>
      <c r="E44" s="116"/>
      <c r="F44" s="119"/>
      <c r="G44" s="17"/>
      <c r="H44" s="21" t="s">
        <v>19</v>
      </c>
      <c r="I44" s="19" t="s">
        <v>2</v>
      </c>
      <c r="J44" s="121" t="str">
        <f>$C$5</f>
        <v>F28235</v>
      </c>
      <c r="K44" s="133"/>
      <c r="L44" s="116"/>
      <c r="M44" s="119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8.75" customHeight="1">
      <c r="A45" s="21" t="s">
        <v>20</v>
      </c>
      <c r="B45" s="19" t="s">
        <v>2</v>
      </c>
      <c r="C45" s="22"/>
      <c r="D45" s="22"/>
      <c r="E45" s="23"/>
      <c r="F45" s="20" t="s">
        <v>21</v>
      </c>
      <c r="G45" s="17"/>
      <c r="H45" s="21" t="s">
        <v>20</v>
      </c>
      <c r="I45" s="19" t="s">
        <v>2</v>
      </c>
      <c r="J45" s="22"/>
      <c r="K45" s="22"/>
      <c r="L45" s="23"/>
      <c r="M45" s="20" t="s">
        <v>21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8.75" customHeight="1">
      <c r="A46" s="21" t="s">
        <v>22</v>
      </c>
      <c r="B46" s="19" t="s">
        <v>2</v>
      </c>
      <c r="C46" s="24"/>
      <c r="D46" s="25" t="s">
        <v>23</v>
      </c>
      <c r="E46" s="26"/>
      <c r="F46" s="120"/>
      <c r="G46" s="17"/>
      <c r="H46" s="21" t="s">
        <v>22</v>
      </c>
      <c r="I46" s="19" t="s">
        <v>2</v>
      </c>
      <c r="J46" s="24"/>
      <c r="K46" s="25" t="s">
        <v>23</v>
      </c>
      <c r="L46" s="26"/>
      <c r="M46" s="120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8.75" customHeight="1">
      <c r="A47" s="21" t="s">
        <v>24</v>
      </c>
      <c r="B47" s="19" t="s">
        <v>2</v>
      </c>
      <c r="C47" s="27">
        <f>$C$8</f>
        <v>1000</v>
      </c>
      <c r="D47" s="22" t="s">
        <v>25</v>
      </c>
      <c r="E47" s="26"/>
      <c r="F47" s="118"/>
      <c r="G47" s="17"/>
      <c r="H47" s="21" t="s">
        <v>24</v>
      </c>
      <c r="I47" s="19" t="s">
        <v>2</v>
      </c>
      <c r="J47" s="27">
        <f>$C$8</f>
        <v>1000</v>
      </c>
      <c r="K47" s="22" t="s">
        <v>25</v>
      </c>
      <c r="L47" s="26"/>
      <c r="M47" s="11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8.75" customHeight="1">
      <c r="A48" s="21" t="s">
        <v>26</v>
      </c>
      <c r="B48" s="19" t="s">
        <v>2</v>
      </c>
      <c r="C48" s="121"/>
      <c r="D48" s="122"/>
      <c r="E48" s="26"/>
      <c r="F48" s="119"/>
      <c r="G48" s="17"/>
      <c r="H48" s="21" t="s">
        <v>26</v>
      </c>
      <c r="I48" s="19" t="s">
        <v>2</v>
      </c>
      <c r="J48" s="121"/>
      <c r="K48" s="122"/>
      <c r="L48" s="26"/>
      <c r="M48" s="119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3.5" customHeight="1">
      <c r="A49" s="123" t="s">
        <v>27</v>
      </c>
      <c r="B49" s="124"/>
      <c r="C49" s="123" t="s">
        <v>28</v>
      </c>
      <c r="D49" s="125"/>
      <c r="E49" s="126" t="s">
        <v>29</v>
      </c>
      <c r="F49" s="128" t="s">
        <v>30</v>
      </c>
      <c r="G49" s="17"/>
      <c r="H49" s="123" t="s">
        <v>27</v>
      </c>
      <c r="I49" s="124"/>
      <c r="J49" s="123" t="s">
        <v>28</v>
      </c>
      <c r="K49" s="125"/>
      <c r="L49" s="126" t="s">
        <v>29</v>
      </c>
      <c r="M49" s="128" t="s">
        <v>30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8.75" customHeight="1">
      <c r="A50" s="135">
        <f>$A$11</f>
        <v>0</v>
      </c>
      <c r="B50" s="136"/>
      <c r="C50" s="135">
        <f>$C$11</f>
        <v>91</v>
      </c>
      <c r="D50" s="136"/>
      <c r="E50" s="127"/>
      <c r="F50" s="129"/>
      <c r="G50" s="17"/>
      <c r="H50" s="135">
        <f>$A$11</f>
        <v>0</v>
      </c>
      <c r="I50" s="136"/>
      <c r="J50" s="135">
        <f>$C$11</f>
        <v>91</v>
      </c>
      <c r="K50" s="136"/>
      <c r="L50" s="127"/>
      <c r="M50" s="129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7.25" customHeight="1">
      <c r="A51" s="130" t="s">
        <v>31</v>
      </c>
      <c r="B51" s="131"/>
      <c r="C51" s="131"/>
      <c r="D51" s="131"/>
      <c r="E51" s="131"/>
      <c r="F51" s="131"/>
      <c r="G51" s="17"/>
      <c r="H51" s="130" t="s">
        <v>31</v>
      </c>
      <c r="I51" s="131"/>
      <c r="J51" s="131"/>
      <c r="K51" s="131"/>
      <c r="L51" s="131"/>
      <c r="M51" s="131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2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24" customHeight="1">
      <c r="A53" s="16"/>
      <c r="B53" s="132" t="s">
        <v>13</v>
      </c>
      <c r="C53" s="133"/>
      <c r="D53" s="133"/>
      <c r="E53" s="133"/>
      <c r="F53" s="116"/>
      <c r="G53" s="17"/>
      <c r="H53" s="16"/>
      <c r="I53" s="132" t="s">
        <v>13</v>
      </c>
      <c r="J53" s="133"/>
      <c r="K53" s="133"/>
      <c r="L53" s="133"/>
      <c r="M53" s="116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8.75" customHeight="1">
      <c r="A54" s="18" t="s">
        <v>14</v>
      </c>
      <c r="B54" s="19" t="s">
        <v>2</v>
      </c>
      <c r="C54" s="134" t="str">
        <f>$C$2</f>
        <v>PT. KAWAI INDONESIA</v>
      </c>
      <c r="D54" s="133"/>
      <c r="E54" s="116"/>
      <c r="F54" s="20" t="s">
        <v>15</v>
      </c>
      <c r="G54" s="17"/>
      <c r="H54" s="18" t="s">
        <v>14</v>
      </c>
      <c r="I54" s="19" t="s">
        <v>2</v>
      </c>
      <c r="J54" s="134" t="str">
        <f>$C$2</f>
        <v>PT. KAWAI INDONESIA</v>
      </c>
      <c r="K54" s="133"/>
      <c r="L54" s="116"/>
      <c r="M54" s="20" t="s">
        <v>15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21" customHeight="1">
      <c r="A55" s="21" t="s">
        <v>16</v>
      </c>
      <c r="B55" s="19" t="s">
        <v>2</v>
      </c>
      <c r="C55" s="139">
        <f>$C$3</f>
        <v>955985</v>
      </c>
      <c r="D55" s="133"/>
      <c r="E55" s="116"/>
      <c r="F55" s="117" t="str">
        <f>$F$3</f>
        <v>226</v>
      </c>
      <c r="G55" s="17"/>
      <c r="H55" s="21" t="s">
        <v>16</v>
      </c>
      <c r="I55" s="19" t="s">
        <v>2</v>
      </c>
      <c r="J55" s="134">
        <f>$C$3</f>
        <v>955985</v>
      </c>
      <c r="K55" s="133"/>
      <c r="L55" s="116"/>
      <c r="M55" s="117" t="str">
        <f>$F$3</f>
        <v>226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21" customHeight="1">
      <c r="A56" s="21" t="s">
        <v>18</v>
      </c>
      <c r="B56" s="19" t="s">
        <v>2</v>
      </c>
      <c r="C56" s="121" t="str">
        <f>$C$4</f>
        <v>DIN CONNECTOR FITTING</v>
      </c>
      <c r="D56" s="133"/>
      <c r="E56" s="116"/>
      <c r="F56" s="118"/>
      <c r="G56" s="17"/>
      <c r="H56" s="21" t="s">
        <v>18</v>
      </c>
      <c r="I56" s="19" t="s">
        <v>2</v>
      </c>
      <c r="J56" s="121" t="str">
        <f>$C$4</f>
        <v>DIN CONNECTOR FITTING</v>
      </c>
      <c r="K56" s="133"/>
      <c r="L56" s="116"/>
      <c r="M56" s="11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8.75" customHeight="1">
      <c r="A57" s="21" t="s">
        <v>19</v>
      </c>
      <c r="B57" s="19" t="s">
        <v>2</v>
      </c>
      <c r="C57" s="121" t="str">
        <f>$C$5</f>
        <v>F28235</v>
      </c>
      <c r="D57" s="133"/>
      <c r="E57" s="116"/>
      <c r="F57" s="119"/>
      <c r="G57" s="17"/>
      <c r="H57" s="21" t="s">
        <v>19</v>
      </c>
      <c r="I57" s="19" t="s">
        <v>2</v>
      </c>
      <c r="J57" s="121" t="str">
        <f>$C$5</f>
        <v>F28235</v>
      </c>
      <c r="K57" s="133"/>
      <c r="L57" s="116"/>
      <c r="M57" s="119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8.75" customHeight="1">
      <c r="A58" s="21" t="s">
        <v>20</v>
      </c>
      <c r="B58" s="19" t="s">
        <v>2</v>
      </c>
      <c r="C58" s="22"/>
      <c r="D58" s="22"/>
      <c r="E58" s="23"/>
      <c r="F58" s="20" t="s">
        <v>21</v>
      </c>
      <c r="G58" s="17"/>
      <c r="H58" s="21" t="s">
        <v>20</v>
      </c>
      <c r="I58" s="19" t="s">
        <v>2</v>
      </c>
      <c r="J58" s="22"/>
      <c r="K58" s="22"/>
      <c r="L58" s="23"/>
      <c r="M58" s="20" t="s">
        <v>21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8.75" customHeight="1">
      <c r="A59" s="21" t="s">
        <v>22</v>
      </c>
      <c r="B59" s="19" t="s">
        <v>2</v>
      </c>
      <c r="C59" s="24"/>
      <c r="D59" s="25" t="s">
        <v>23</v>
      </c>
      <c r="E59" s="26"/>
      <c r="F59" s="120"/>
      <c r="G59" s="17"/>
      <c r="H59" s="21" t="s">
        <v>22</v>
      </c>
      <c r="I59" s="19" t="s">
        <v>2</v>
      </c>
      <c r="J59" s="24"/>
      <c r="K59" s="25" t="s">
        <v>23</v>
      </c>
      <c r="L59" s="26"/>
      <c r="M59" s="120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8.75" customHeight="1">
      <c r="A60" s="21" t="s">
        <v>24</v>
      </c>
      <c r="B60" s="19" t="s">
        <v>2</v>
      </c>
      <c r="C60" s="27">
        <f>$C$8</f>
        <v>1000</v>
      </c>
      <c r="D60" s="22" t="s">
        <v>25</v>
      </c>
      <c r="E60" s="26"/>
      <c r="F60" s="118"/>
      <c r="G60" s="17"/>
      <c r="H60" s="21" t="s">
        <v>24</v>
      </c>
      <c r="I60" s="19" t="s">
        <v>2</v>
      </c>
      <c r="J60" s="27">
        <f>$C$8</f>
        <v>1000</v>
      </c>
      <c r="K60" s="22" t="s">
        <v>25</v>
      </c>
      <c r="L60" s="26"/>
      <c r="M60" s="11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8.75" customHeight="1">
      <c r="A61" s="21" t="s">
        <v>26</v>
      </c>
      <c r="B61" s="19" t="s">
        <v>2</v>
      </c>
      <c r="C61" s="121"/>
      <c r="D61" s="122"/>
      <c r="E61" s="26"/>
      <c r="F61" s="119"/>
      <c r="G61" s="17"/>
      <c r="H61" s="21" t="s">
        <v>26</v>
      </c>
      <c r="I61" s="19" t="s">
        <v>2</v>
      </c>
      <c r="J61" s="121"/>
      <c r="K61" s="122"/>
      <c r="L61" s="26"/>
      <c r="M61" s="119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3.5" customHeight="1">
      <c r="A62" s="123" t="s">
        <v>27</v>
      </c>
      <c r="B62" s="124"/>
      <c r="C62" s="123" t="s">
        <v>28</v>
      </c>
      <c r="D62" s="125"/>
      <c r="E62" s="126" t="s">
        <v>29</v>
      </c>
      <c r="F62" s="128" t="s">
        <v>30</v>
      </c>
      <c r="G62" s="17"/>
      <c r="H62" s="123" t="s">
        <v>27</v>
      </c>
      <c r="I62" s="124"/>
      <c r="J62" s="123" t="s">
        <v>28</v>
      </c>
      <c r="K62" s="125"/>
      <c r="L62" s="126" t="s">
        <v>29</v>
      </c>
      <c r="M62" s="128" t="s">
        <v>30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8.75" customHeight="1">
      <c r="A63" s="135">
        <f>$A$11</f>
        <v>0</v>
      </c>
      <c r="B63" s="136"/>
      <c r="C63" s="135">
        <f>$C$11</f>
        <v>91</v>
      </c>
      <c r="D63" s="136"/>
      <c r="E63" s="127"/>
      <c r="F63" s="129"/>
      <c r="G63" s="17"/>
      <c r="H63" s="135">
        <f>$A$11</f>
        <v>0</v>
      </c>
      <c r="I63" s="136"/>
      <c r="J63" s="135">
        <f>$C$11</f>
        <v>91</v>
      </c>
      <c r="K63" s="136"/>
      <c r="L63" s="127"/>
      <c r="M63" s="129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7.25" customHeight="1">
      <c r="A64" s="130" t="s">
        <v>31</v>
      </c>
      <c r="B64" s="131"/>
      <c r="C64" s="131"/>
      <c r="D64" s="131"/>
      <c r="E64" s="131"/>
      <c r="F64" s="131"/>
      <c r="G64" s="17"/>
      <c r="H64" s="130" t="s">
        <v>31</v>
      </c>
      <c r="I64" s="131"/>
      <c r="J64" s="131"/>
      <c r="K64" s="131"/>
      <c r="L64" s="131"/>
      <c r="M64" s="131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7.2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7.2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7.2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7.2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7.2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7.2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7.2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7.2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7.2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7.2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7.2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7.2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7.2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7.2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7.2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7.2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7.2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7.2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7.2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7.2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7.2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7.2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7.2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7.2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7.2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7.2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7.2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7.2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7.2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7.2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7.2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7.2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7.2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7.2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7.2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7.2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7.2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7.2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7.2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7.2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7.2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7.2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7.2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7.2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7.2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7.2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7.2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7.2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7.2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7.2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7.2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7.2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7.2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7.2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7.2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7.2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7.2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7.2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7.2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7.2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7.2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7.2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7.2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7.2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7.2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7.2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7.2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7.2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7.2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7.2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7.2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7.2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7.2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7.2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7.2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7.2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7.2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7.2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7.2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7.2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7.2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7.2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7.2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7.2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7.2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7.2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7.2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7.2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7.2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7.2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7.2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7.2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7.2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7.2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7.2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7.2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7.2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7.2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7.2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7.2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7.2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7.2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7.2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7.2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7.2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7.2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7.2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7.2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7.2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7.2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7.2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7.2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7.2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7.2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7.2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7.2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7.2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7.2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7.2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7.2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7.2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7.2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7.2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7.2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7.2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7.2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7.2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7.2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7.2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7.2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7.2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7.2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7.2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7.2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7.2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7.2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7.2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7.2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7.2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7.2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7.2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7.2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7.2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7.2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7.2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7.2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7.2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7.2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7.2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7.2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7.2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7.2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7.2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7.2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7.2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7.2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7.2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7.2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7.2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7.2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7.2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7.2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7.2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7.2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7.2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7.2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7.2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7.2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7.2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7.2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7.2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7.2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7.2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7.2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7.2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7.2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7.2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7.2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7.2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7.2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7.2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7.2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7.2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7.2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7.2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7.2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7.2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7.2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7.2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7.2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7.2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7.2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7.2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7.2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7.2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7.2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7.2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7.2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7.2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7.2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7.2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7.2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7.2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7.2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7.2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7.2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7.2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7.2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7.2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7.2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7.2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7.2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7.2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7.2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7.2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7.2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7.2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7.2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7.2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7.2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7.2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7.2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7.2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7.2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7.2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7.2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7.2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7.2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7.2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7.2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7.2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7.2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7.2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7.2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7.2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7.2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7.2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7.2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7.2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7.2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7.2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7.2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7.2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7.2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7.2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7.2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7.2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7.2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7.2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7.2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7.2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7.2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7.2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7.2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7.2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7.2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7.2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7.2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7.2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7.2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7.2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7.2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7.2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7.2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7.2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7.2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7.2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7.2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7.2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7.2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7.2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7.2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7.2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7.2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7.2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7.2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7.2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7.2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7.2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7.2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7.2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7.2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7.2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7.2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7.2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7.2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7.2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7.2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7.2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7.2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7.2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7.2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7.2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7.2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7.2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7.2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7.2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7.2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7.2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7.2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7.2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7.2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7.2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7.2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7.2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7.2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7.2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7.2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7.2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7.2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7.2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7.2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7.2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7.2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7.2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7.2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7.2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7.2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7.2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7.2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7.2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7.2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7.2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7.2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7.2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7.2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7.2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7.2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7.2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7.2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7.2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7.2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7.2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7.2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7.2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7.2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7.2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7.2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7.2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7.2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7.2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7.2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7.2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7.2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7.2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7.2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7.2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7.2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7.2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7.2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7.2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7.2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7.2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7.2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7.2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7.2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7.2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7.2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7.2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7.2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7.2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7.2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7.2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7.2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7.2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7.2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7.2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7.2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7.2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7.2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7.2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7.2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7.2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7.2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7.2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7.2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7.2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7.2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7.2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7.2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7.2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7.2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7.2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7.2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7.2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7.2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7.2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7.2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7.2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7.2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7.2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7.2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7.2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7.2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7.2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7.2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7.2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7.2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7.2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7.2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7.2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7.2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7.2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7.2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7.2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7.2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7.2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7.2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7.2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7.2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7.2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7.2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7.2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7.2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7.2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7.2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7.2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7.2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7.2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7.2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7.2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7.2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7.2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7.2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7.2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7.2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7.2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7.2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7.2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7.2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7.2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7.2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7.2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7.2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7.2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7.2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7.2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7.2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7.2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7.2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7.2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7.2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7.2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7.2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7.2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7.2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7.2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7.2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7.2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7.2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7.2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7.2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7.2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7.2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7.2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7.2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7.2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7.2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7.2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7.2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7.2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7.2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7.2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7.2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7.2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7.2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7.2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7.2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7.2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7.2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7.2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7.2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7.2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7.2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7.2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7.2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7.2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7.2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7.2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7.2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7.2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7.2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7.2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7.2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7.2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7.2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7.2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7.2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7.2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7.2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7.2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7.2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7.2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7.2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7.2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7.2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7.2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7.2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7.2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7.2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7.2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7.2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7.2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7.2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7.2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7.2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7.2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7.2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7.2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7.2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7.2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7.2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7.2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7.2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7.2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7.2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7.2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7.2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7.2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7.2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7.2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7.2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7.2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7.2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7.2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7.2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7.2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7.2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7.2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7.2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7.2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7.2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7.2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7.2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7.2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7.2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7.2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7.2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7.2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7.2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7.2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7.2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7.2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7.2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7.2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7.2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7.2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7.2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7.2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7.2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7.2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7.2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7.2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7.2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7.2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7.2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7.2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7.2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7.2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7.2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7.2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7.2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7.2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7.2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7.2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7.2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7.2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7.2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7.2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7.2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7.2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7.2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7.2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7.2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7.2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7.2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7.2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7.2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7.2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7.2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7.2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7.2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7.2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7.2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7.2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7.2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7.2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7.2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7.2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7.2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7.2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7.2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7.2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7.2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7.2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7.2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7.2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7.2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7.2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7.2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7.2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7.2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7.2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7.2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7.2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7.2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7.2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7.2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7.2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7.2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7.2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7.2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7.2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7.2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7.2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7.2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7.2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7.2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7.2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7.2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7.2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7.2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7.2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7.2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7.2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7.2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7.2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7.2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7.2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7.2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7.2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7.2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7.2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7.2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7.2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7.2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7.2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7.2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7.2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7.2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7.2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7.2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7.2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7.2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7.2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7.2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7.2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7.2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7.2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7.2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7.2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7.2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7.2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7.2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7.2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7.2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7.2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7.2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7.2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7.2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7.2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7.2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7.2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7.2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7.2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7.2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7.2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7.2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7.2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7.2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7.2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7.2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7.2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7.2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7.2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7.2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7.2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7.2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7.2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7.2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7.2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7.2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7.2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7.2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7.2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7.2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7.2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7.2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7.2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7.2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7.2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7.2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7.2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7.2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7.2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7.2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7.2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7.2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7.2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7.2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7.2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7.2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7.2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7.2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7.2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7.2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7.2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7.2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7.2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7.2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7.2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7.2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7.2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7.2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7.2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7.2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7.2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7.2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7.2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7.2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7.2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7.2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7.2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7.2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7.2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7.2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7.2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7.2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7.2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7.2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7.2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7.2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7.2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7.2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7.2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7.2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7.2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7.2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7.2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7.2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7.2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7.2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7.2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7.2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7.2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7.2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7.2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7.2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7.2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7.2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7.2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7.2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7.2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7.2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7.2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7.2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7.2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7.2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7.2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7.2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7.2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7.2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7.2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7.2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7.2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7.2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7.2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7.2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7.2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7.2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7.2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7.2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7.2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7.2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7.2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7.2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7.2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7.2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7.2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7.2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7.2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7.2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7.2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7.2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7.2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7.2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7.2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7.2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7.2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7.2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7.2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7.2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7.2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7.2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7.2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7.2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7.2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7.2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7.2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7.2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7.2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7.2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7.2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7.2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7.2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7.2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7.2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7.2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7.2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7.2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7.2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7.2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7.2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7.2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7.2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7.2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7.2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7.2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7.2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7.2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7.2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7.2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7.2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7.2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7.2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7.2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7.2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7.2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7.2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7.2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7.2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7.2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7.2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7.2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7.2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7.2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7.2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7.2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7.2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7.2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7.2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7.2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7.2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7.2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7.2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7.2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7.2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7.2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7.2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7.2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7.2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7.2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7.2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7.2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7.2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7.2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7.2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7.2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7.2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7.2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7.2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7.2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7.2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7.2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7.2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7.2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7.2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7.2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7.2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7.2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7.2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7.2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7.2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7.2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7.2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7.2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7.2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7.2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7.2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7.2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7.2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7.2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7.2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7.2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7.2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7.2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7.2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7.2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7.2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7.2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7.2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7.2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7.2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7.2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7.2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7.2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7.2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7.2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7.2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7.2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7.2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7.2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7.2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7.2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7.2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7.2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7.2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7.2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7.2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7.2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7.2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7.2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7.2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7.2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7.2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7.2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7.2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7.2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7.2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7.2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7.2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7.2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7.2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7.2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7.2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7.2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7.2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7.2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7.2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7.2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7.2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7.2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7.2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7.2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7.2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7.2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mergeCells count="150">
    <mergeCell ref="C63:D63"/>
    <mergeCell ref="A64:F64"/>
    <mergeCell ref="E62:E63"/>
    <mergeCell ref="F62:F63"/>
    <mergeCell ref="L62:L63"/>
    <mergeCell ref="M62:M63"/>
    <mergeCell ref="A63:B63"/>
    <mergeCell ref="H63:I63"/>
    <mergeCell ref="J63:K63"/>
    <mergeCell ref="H64:M64"/>
    <mergeCell ref="M36:M37"/>
    <mergeCell ref="J37:K37"/>
    <mergeCell ref="H38:M38"/>
    <mergeCell ref="I40:M40"/>
    <mergeCell ref="J41:L41"/>
    <mergeCell ref="A37:B37"/>
    <mergeCell ref="C37:D37"/>
    <mergeCell ref="A38:F38"/>
    <mergeCell ref="B40:F40"/>
    <mergeCell ref="C41:E41"/>
    <mergeCell ref="C61:D61"/>
    <mergeCell ref="J61:K61"/>
    <mergeCell ref="A62:B62"/>
    <mergeCell ref="C62:D62"/>
    <mergeCell ref="M29:M31"/>
    <mergeCell ref="M33:M35"/>
    <mergeCell ref="M42:M44"/>
    <mergeCell ref="M46:M48"/>
    <mergeCell ref="M49:M50"/>
    <mergeCell ref="M55:M57"/>
    <mergeCell ref="M59:M61"/>
    <mergeCell ref="C29:E29"/>
    <mergeCell ref="F29:F31"/>
    <mergeCell ref="C30:E30"/>
    <mergeCell ref="J30:L30"/>
    <mergeCell ref="C31:E31"/>
    <mergeCell ref="J31:L31"/>
    <mergeCell ref="F33:F35"/>
    <mergeCell ref="C35:D35"/>
    <mergeCell ref="J35:K35"/>
    <mergeCell ref="A36:B36"/>
    <mergeCell ref="C36:D36"/>
    <mergeCell ref="E36:E37"/>
    <mergeCell ref="F36:F37"/>
    <mergeCell ref="H51:M51"/>
    <mergeCell ref="I53:M53"/>
    <mergeCell ref="J54:L54"/>
    <mergeCell ref="J55:L55"/>
    <mergeCell ref="H62:I62"/>
    <mergeCell ref="J62:K62"/>
    <mergeCell ref="J56:L56"/>
    <mergeCell ref="J57:L57"/>
    <mergeCell ref="F59:F61"/>
    <mergeCell ref="B53:F53"/>
    <mergeCell ref="C54:E54"/>
    <mergeCell ref="C55:E55"/>
    <mergeCell ref="F55:F57"/>
    <mergeCell ref="C56:E56"/>
    <mergeCell ref="C57:E57"/>
    <mergeCell ref="A49:B49"/>
    <mergeCell ref="A50:B50"/>
    <mergeCell ref="A51:F51"/>
    <mergeCell ref="C49:D49"/>
    <mergeCell ref="E49:E50"/>
    <mergeCell ref="F49:F50"/>
    <mergeCell ref="C28:E28"/>
    <mergeCell ref="J28:L28"/>
    <mergeCell ref="J29:L29"/>
    <mergeCell ref="H50:I50"/>
    <mergeCell ref="J50:K50"/>
    <mergeCell ref="J42:L42"/>
    <mergeCell ref="J43:L43"/>
    <mergeCell ref="J44:L44"/>
    <mergeCell ref="J48:K48"/>
    <mergeCell ref="H49:I49"/>
    <mergeCell ref="J49:K49"/>
    <mergeCell ref="L49:L50"/>
    <mergeCell ref="C50:D50"/>
    <mergeCell ref="H36:I36"/>
    <mergeCell ref="H37:I37"/>
    <mergeCell ref="J36:K36"/>
    <mergeCell ref="L36:L37"/>
    <mergeCell ref="C42:E42"/>
    <mergeCell ref="F42:F44"/>
    <mergeCell ref="C43:E43"/>
    <mergeCell ref="C44:E44"/>
    <mergeCell ref="F46:F48"/>
    <mergeCell ref="C48:D48"/>
    <mergeCell ref="C23:D23"/>
    <mergeCell ref="E23:E24"/>
    <mergeCell ref="F23:F24"/>
    <mergeCell ref="C24:D24"/>
    <mergeCell ref="A23:B23"/>
    <mergeCell ref="A24:B24"/>
    <mergeCell ref="A25:F25"/>
    <mergeCell ref="B27:F27"/>
    <mergeCell ref="I27:M27"/>
    <mergeCell ref="A12:F12"/>
    <mergeCell ref="B14:F14"/>
    <mergeCell ref="C15:E15"/>
    <mergeCell ref="C16:E16"/>
    <mergeCell ref="F16:F18"/>
    <mergeCell ref="C17:E17"/>
    <mergeCell ref="C18:E18"/>
    <mergeCell ref="F20:F22"/>
    <mergeCell ref="C22:D22"/>
    <mergeCell ref="F7:F9"/>
    <mergeCell ref="C9:D9"/>
    <mergeCell ref="C10:D10"/>
    <mergeCell ref="E10:E11"/>
    <mergeCell ref="F10:F11"/>
    <mergeCell ref="C11:D11"/>
    <mergeCell ref="H11:I11"/>
    <mergeCell ref="J11:K11"/>
    <mergeCell ref="A10:B10"/>
    <mergeCell ref="A11:B11"/>
    <mergeCell ref="C3:E3"/>
    <mergeCell ref="C4:E4"/>
    <mergeCell ref="B1:F1"/>
    <mergeCell ref="I1:M1"/>
    <mergeCell ref="C2:E2"/>
    <mergeCell ref="J2:L2"/>
    <mergeCell ref="J3:L3"/>
    <mergeCell ref="J4:L4"/>
    <mergeCell ref="J5:L5"/>
    <mergeCell ref="F3:F5"/>
    <mergeCell ref="C5:E5"/>
    <mergeCell ref="J15:L15"/>
    <mergeCell ref="J16:L16"/>
    <mergeCell ref="M16:M18"/>
    <mergeCell ref="J17:L17"/>
    <mergeCell ref="J18:L18"/>
    <mergeCell ref="J24:K24"/>
    <mergeCell ref="H25:M25"/>
    <mergeCell ref="M20:M22"/>
    <mergeCell ref="J22:K22"/>
    <mergeCell ref="H23:I23"/>
    <mergeCell ref="J23:K23"/>
    <mergeCell ref="L23:L24"/>
    <mergeCell ref="M23:M24"/>
    <mergeCell ref="H24:I24"/>
    <mergeCell ref="M3:M5"/>
    <mergeCell ref="M7:M9"/>
    <mergeCell ref="J9:K9"/>
    <mergeCell ref="H10:I10"/>
    <mergeCell ref="J10:K10"/>
    <mergeCell ref="L10:L11"/>
    <mergeCell ref="M10:M11"/>
    <mergeCell ref="H12:M12"/>
    <mergeCell ref="I14:M14"/>
  </mergeCells>
  <pageMargins left="0.27559055118110198" right="0.118110236220472" top="0.18" bottom="0" header="0" footer="0"/>
  <pageSetup paperSize="9" scale="68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Z1000"/>
  <sheetViews>
    <sheetView workbookViewId="0"/>
  </sheetViews>
  <sheetFormatPr defaultColWidth="14.42578125" defaultRowHeight="15" customHeight="1"/>
  <cols>
    <col min="1" max="1" width="9.140625" customWidth="1"/>
    <col min="2" max="2" width="19" customWidth="1"/>
    <col min="3" max="3" width="46.85546875" customWidth="1"/>
    <col min="4" max="4" width="30" customWidth="1"/>
    <col min="5" max="5" width="14.28515625" customWidth="1"/>
    <col min="6" max="6" width="13.5703125" customWidth="1"/>
    <col min="7" max="7" width="14.140625" customWidth="1"/>
    <col min="8" max="8" width="23.28515625" customWidth="1"/>
    <col min="9" max="9" width="14" customWidth="1"/>
    <col min="10" max="10" width="13" customWidth="1"/>
    <col min="11" max="11" width="15.42578125" customWidth="1"/>
    <col min="12" max="12" width="22" customWidth="1"/>
    <col min="13" max="13" width="22.85546875" customWidth="1"/>
    <col min="14" max="14" width="13.85546875" customWidth="1"/>
    <col min="15" max="15" width="14.140625" customWidth="1"/>
    <col min="16" max="16" width="13.85546875" customWidth="1"/>
    <col min="17" max="26" width="10" customWidth="1"/>
  </cols>
  <sheetData>
    <row r="1" spans="1:26" ht="18" customHeight="1">
      <c r="A1" s="140" t="s">
        <v>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8" customHeight="1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8" customHeight="1">
      <c r="A3" s="29" t="s">
        <v>33</v>
      </c>
      <c r="B3" s="30" t="s">
        <v>34</v>
      </c>
      <c r="C3" s="31" t="s">
        <v>35</v>
      </c>
      <c r="D3" s="32" t="s">
        <v>36</v>
      </c>
      <c r="E3" s="33" t="s">
        <v>37</v>
      </c>
      <c r="F3" s="34" t="s">
        <v>38</v>
      </c>
      <c r="G3" s="35" t="s">
        <v>39</v>
      </c>
      <c r="H3" s="30" t="s">
        <v>19</v>
      </c>
      <c r="I3" s="142" t="s">
        <v>40</v>
      </c>
      <c r="J3" s="133"/>
      <c r="K3" s="133"/>
      <c r="L3" s="133"/>
      <c r="M3" s="116"/>
      <c r="N3" s="30" t="s">
        <v>41</v>
      </c>
      <c r="O3" s="143" t="s">
        <v>42</v>
      </c>
      <c r="P3" s="143" t="s">
        <v>43</v>
      </c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8" customHeight="1">
      <c r="A4" s="36"/>
      <c r="B4" s="30"/>
      <c r="C4" s="31"/>
      <c r="D4" s="37"/>
      <c r="E4" s="38"/>
      <c r="F4" s="39"/>
      <c r="G4" s="35"/>
      <c r="H4" s="30"/>
      <c r="I4" s="40" t="s">
        <v>44</v>
      </c>
      <c r="J4" s="41" t="s">
        <v>45</v>
      </c>
      <c r="K4" s="42" t="s">
        <v>46</v>
      </c>
      <c r="L4" s="30" t="s">
        <v>47</v>
      </c>
      <c r="M4" s="30" t="s">
        <v>48</v>
      </c>
      <c r="N4" s="30"/>
      <c r="O4" s="119"/>
      <c r="P4" s="119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8" customHeight="1">
      <c r="A5" s="44" t="s">
        <v>49</v>
      </c>
      <c r="B5" s="45" t="s">
        <v>50</v>
      </c>
      <c r="C5" s="46" t="s">
        <v>51</v>
      </c>
      <c r="D5" s="47" t="s">
        <v>52</v>
      </c>
      <c r="E5" s="48">
        <v>220</v>
      </c>
      <c r="F5" s="49"/>
      <c r="G5" s="49">
        <f t="shared" ref="G5:G347" si="0">F5+91</f>
        <v>91</v>
      </c>
      <c r="H5" s="50" t="s">
        <v>53</v>
      </c>
      <c r="I5" s="51">
        <v>280</v>
      </c>
      <c r="J5" s="52">
        <v>26.2</v>
      </c>
      <c r="K5" s="53">
        <f t="shared" ref="K5:K345" si="1">(I5+(J5*E5))/1000</f>
        <v>6.0439999999999996</v>
      </c>
      <c r="L5" s="50" t="s">
        <v>54</v>
      </c>
      <c r="M5" s="54" t="str">
        <f>VLOOKUP(L5,Packaging!$B$3:$C$21,2,0)</f>
        <v>290 X 200 X 140</v>
      </c>
      <c r="N5" s="47"/>
      <c r="O5" s="47">
        <v>5</v>
      </c>
      <c r="P5" s="47" t="s">
        <v>55</v>
      </c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" customHeight="1">
      <c r="A6" s="44" t="s">
        <v>56</v>
      </c>
      <c r="B6" s="45" t="s">
        <v>57</v>
      </c>
      <c r="C6" s="46" t="s">
        <v>58</v>
      </c>
      <c r="D6" s="47" t="s">
        <v>52</v>
      </c>
      <c r="E6" s="48">
        <v>220</v>
      </c>
      <c r="F6" s="49"/>
      <c r="G6" s="49">
        <f t="shared" si="0"/>
        <v>91</v>
      </c>
      <c r="H6" s="50" t="s">
        <v>53</v>
      </c>
      <c r="I6" s="51">
        <v>280</v>
      </c>
      <c r="J6" s="52">
        <v>38.6</v>
      </c>
      <c r="K6" s="53">
        <f t="shared" si="1"/>
        <v>8.7720000000000002</v>
      </c>
      <c r="L6" s="50" t="s">
        <v>54</v>
      </c>
      <c r="M6" s="54" t="str">
        <f>VLOOKUP(L6,Packaging!$B$3:$C$21,2,0)</f>
        <v>290 X 200 X 140</v>
      </c>
      <c r="N6" s="47"/>
      <c r="O6" s="47">
        <v>5</v>
      </c>
      <c r="P6" s="47" t="s">
        <v>55</v>
      </c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" customHeight="1">
      <c r="A7" s="44" t="s">
        <v>59</v>
      </c>
      <c r="B7" s="45" t="s">
        <v>60</v>
      </c>
      <c r="C7" s="46" t="s">
        <v>61</v>
      </c>
      <c r="D7" s="47" t="s">
        <v>52</v>
      </c>
      <c r="E7" s="48">
        <v>220</v>
      </c>
      <c r="F7" s="49"/>
      <c r="G7" s="49">
        <f t="shared" si="0"/>
        <v>91</v>
      </c>
      <c r="H7" s="50" t="s">
        <v>53</v>
      </c>
      <c r="I7" s="51">
        <v>280</v>
      </c>
      <c r="J7" s="52">
        <v>26.2</v>
      </c>
      <c r="K7" s="53">
        <f t="shared" si="1"/>
        <v>6.0439999999999996</v>
      </c>
      <c r="L7" s="50" t="s">
        <v>54</v>
      </c>
      <c r="M7" s="54" t="str">
        <f>VLOOKUP(L7,Packaging!$B$3:$C$21,2,0)</f>
        <v>290 X 200 X 140</v>
      </c>
      <c r="N7" s="47"/>
      <c r="O7" s="47">
        <v>5</v>
      </c>
      <c r="P7" s="47" t="s">
        <v>55</v>
      </c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" customHeight="1">
      <c r="A8" s="44" t="s">
        <v>62</v>
      </c>
      <c r="B8" s="45" t="s">
        <v>63</v>
      </c>
      <c r="C8" s="46" t="s">
        <v>64</v>
      </c>
      <c r="D8" s="47" t="s">
        <v>52</v>
      </c>
      <c r="E8" s="48">
        <v>220</v>
      </c>
      <c r="F8" s="49"/>
      <c r="G8" s="49">
        <f t="shared" si="0"/>
        <v>91</v>
      </c>
      <c r="H8" s="50" t="s">
        <v>53</v>
      </c>
      <c r="I8" s="51">
        <v>280</v>
      </c>
      <c r="J8" s="52">
        <v>38.6</v>
      </c>
      <c r="K8" s="53">
        <f t="shared" si="1"/>
        <v>8.7720000000000002</v>
      </c>
      <c r="L8" s="50" t="s">
        <v>54</v>
      </c>
      <c r="M8" s="54" t="str">
        <f>VLOOKUP(L8,Packaging!$B$3:$C$21,2,0)</f>
        <v>290 X 200 X 140</v>
      </c>
      <c r="N8" s="47"/>
      <c r="O8" s="47">
        <v>5</v>
      </c>
      <c r="P8" s="47" t="s">
        <v>55</v>
      </c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" customHeight="1">
      <c r="A9" s="44" t="s">
        <v>65</v>
      </c>
      <c r="B9" s="47" t="s">
        <v>66</v>
      </c>
      <c r="C9" s="46" t="s">
        <v>67</v>
      </c>
      <c r="D9" s="47" t="s">
        <v>52</v>
      </c>
      <c r="E9" s="48">
        <v>16</v>
      </c>
      <c r="F9" s="49"/>
      <c r="G9" s="49">
        <f t="shared" si="0"/>
        <v>91</v>
      </c>
      <c r="H9" s="50" t="s">
        <v>53</v>
      </c>
      <c r="I9" s="51">
        <v>948</v>
      </c>
      <c r="J9" s="52">
        <v>1650.4</v>
      </c>
      <c r="K9" s="53">
        <f t="shared" si="1"/>
        <v>27.354400000000002</v>
      </c>
      <c r="L9" s="50" t="s">
        <v>68</v>
      </c>
      <c r="M9" s="54" t="str">
        <f>VLOOKUP(L9,Packaging!$B$3:$C$21,2,0)</f>
        <v>1410 X 165 X 175</v>
      </c>
      <c r="N9" s="47"/>
      <c r="O9" s="47">
        <v>1</v>
      </c>
      <c r="P9" s="47" t="s">
        <v>55</v>
      </c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ht="18" customHeight="1">
      <c r="A10" s="44" t="s">
        <v>69</v>
      </c>
      <c r="B10" s="47" t="s">
        <v>70</v>
      </c>
      <c r="C10" s="46" t="s">
        <v>71</v>
      </c>
      <c r="D10" s="47" t="s">
        <v>52</v>
      </c>
      <c r="E10" s="48">
        <v>40</v>
      </c>
      <c r="F10" s="49"/>
      <c r="G10" s="49">
        <f t="shared" si="0"/>
        <v>91</v>
      </c>
      <c r="H10" s="50" t="s">
        <v>53</v>
      </c>
      <c r="I10" s="51">
        <v>766</v>
      </c>
      <c r="J10" s="52">
        <v>170</v>
      </c>
      <c r="K10" s="53">
        <f t="shared" si="1"/>
        <v>7.5659999999999998</v>
      </c>
      <c r="L10" s="50" t="s">
        <v>72</v>
      </c>
      <c r="M10" s="54" t="str">
        <f>VLOOKUP(L10,Packaging!$B$3:$C$21,2,0)</f>
        <v>390 X 350 X 280</v>
      </c>
      <c r="N10" s="47"/>
      <c r="O10" s="47">
        <v>2</v>
      </c>
      <c r="P10" s="47" t="s">
        <v>55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ht="18" customHeight="1">
      <c r="A11" s="44" t="s">
        <v>73</v>
      </c>
      <c r="B11" s="45" t="s">
        <v>74</v>
      </c>
      <c r="C11" s="46" t="s">
        <v>75</v>
      </c>
      <c r="D11" s="47" t="s">
        <v>52</v>
      </c>
      <c r="E11" s="48">
        <v>60</v>
      </c>
      <c r="F11" s="49"/>
      <c r="G11" s="49">
        <f t="shared" si="0"/>
        <v>91</v>
      </c>
      <c r="H11" s="50" t="s">
        <v>53</v>
      </c>
      <c r="I11" s="51">
        <v>280</v>
      </c>
      <c r="J11" s="52">
        <v>68.2</v>
      </c>
      <c r="K11" s="53">
        <f t="shared" si="1"/>
        <v>4.3719999999999999</v>
      </c>
      <c r="L11" s="50" t="s">
        <v>54</v>
      </c>
      <c r="M11" s="54" t="str">
        <f>VLOOKUP(L11,Packaging!$B$3:$C$21,2,0)</f>
        <v>290 X 200 X 140</v>
      </c>
      <c r="N11" s="47"/>
      <c r="O11" s="47">
        <v>5</v>
      </c>
      <c r="P11" s="47" t="s">
        <v>55</v>
      </c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8" customHeight="1">
      <c r="A12" s="44" t="s">
        <v>76</v>
      </c>
      <c r="B12" s="47" t="s">
        <v>77</v>
      </c>
      <c r="C12" s="46" t="s">
        <v>78</v>
      </c>
      <c r="D12" s="47" t="s">
        <v>52</v>
      </c>
      <c r="E12" s="48">
        <v>20</v>
      </c>
      <c r="F12" s="49"/>
      <c r="G12" s="49">
        <f t="shared" si="0"/>
        <v>91</v>
      </c>
      <c r="H12" s="50" t="s">
        <v>53</v>
      </c>
      <c r="I12" s="56"/>
      <c r="J12" s="52">
        <v>5076.8</v>
      </c>
      <c r="K12" s="53">
        <f t="shared" si="1"/>
        <v>101.536</v>
      </c>
      <c r="L12" s="50" t="s">
        <v>79</v>
      </c>
      <c r="M12" s="54" t="str">
        <f>VLOOKUP(L12,Packaging!$B$3:$C$21,2,0)</f>
        <v>1000 X 880 X 1230</v>
      </c>
      <c r="N12" s="47"/>
      <c r="O12" s="47">
        <v>1</v>
      </c>
      <c r="P12" s="47" t="s">
        <v>55</v>
      </c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8" customHeight="1">
      <c r="A13" s="44" t="s">
        <v>80</v>
      </c>
      <c r="B13" s="45" t="s">
        <v>81</v>
      </c>
      <c r="C13" s="46" t="s">
        <v>82</v>
      </c>
      <c r="D13" s="47" t="s">
        <v>52</v>
      </c>
      <c r="E13" s="48">
        <v>30</v>
      </c>
      <c r="F13" s="49"/>
      <c r="G13" s="49">
        <f t="shared" si="0"/>
        <v>91</v>
      </c>
      <c r="H13" s="50" t="s">
        <v>53</v>
      </c>
      <c r="I13" s="51">
        <v>430</v>
      </c>
      <c r="J13" s="52">
        <v>411</v>
      </c>
      <c r="K13" s="53">
        <f t="shared" si="1"/>
        <v>12.76</v>
      </c>
      <c r="L13" s="50" t="s">
        <v>83</v>
      </c>
      <c r="M13" s="54" t="str">
        <f>VLOOKUP(L13,Packaging!$B$3:$C$21,2,0)</f>
        <v>560 X 175 X 155</v>
      </c>
      <c r="N13" s="47"/>
      <c r="O13" s="47">
        <v>1</v>
      </c>
      <c r="P13" s="47" t="s">
        <v>55</v>
      </c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8" customHeight="1">
      <c r="A14" s="44" t="s">
        <v>84</v>
      </c>
      <c r="B14" s="45" t="s">
        <v>85</v>
      </c>
      <c r="C14" s="46" t="s">
        <v>86</v>
      </c>
      <c r="D14" s="47" t="s">
        <v>52</v>
      </c>
      <c r="E14" s="48">
        <v>30</v>
      </c>
      <c r="F14" s="49"/>
      <c r="G14" s="49">
        <f t="shared" si="0"/>
        <v>91</v>
      </c>
      <c r="H14" s="50" t="s">
        <v>53</v>
      </c>
      <c r="I14" s="51">
        <v>430</v>
      </c>
      <c r="J14" s="52">
        <v>411</v>
      </c>
      <c r="K14" s="53">
        <f t="shared" si="1"/>
        <v>12.76</v>
      </c>
      <c r="L14" s="50" t="s">
        <v>83</v>
      </c>
      <c r="M14" s="54" t="str">
        <f>VLOOKUP(L14,Packaging!$B$3:$C$21,2,0)</f>
        <v>560 X 175 X 155</v>
      </c>
      <c r="N14" s="47" t="s">
        <v>87</v>
      </c>
      <c r="O14" s="47">
        <v>1</v>
      </c>
      <c r="P14" s="47" t="s">
        <v>55</v>
      </c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8" customHeight="1">
      <c r="A15" s="44" t="s">
        <v>88</v>
      </c>
      <c r="B15" s="45" t="s">
        <v>89</v>
      </c>
      <c r="C15" s="46" t="s">
        <v>90</v>
      </c>
      <c r="D15" s="47" t="s">
        <v>52</v>
      </c>
      <c r="E15" s="48">
        <v>28</v>
      </c>
      <c r="F15" s="49"/>
      <c r="G15" s="49">
        <f t="shared" si="0"/>
        <v>91</v>
      </c>
      <c r="H15" s="50" t="s">
        <v>53</v>
      </c>
      <c r="I15" s="51">
        <v>378</v>
      </c>
      <c r="J15" s="52">
        <v>437.8</v>
      </c>
      <c r="K15" s="53">
        <f t="shared" si="1"/>
        <v>12.6364</v>
      </c>
      <c r="L15" s="50" t="s">
        <v>91</v>
      </c>
      <c r="M15" s="54" t="str">
        <f>VLOOKUP(L15,Packaging!$B$3:$C$21,2,0)</f>
        <v>400 X 240 X 130</v>
      </c>
      <c r="N15" s="47"/>
      <c r="O15" s="47">
        <v>2</v>
      </c>
      <c r="P15" s="47" t="s">
        <v>55</v>
      </c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" customHeight="1">
      <c r="A16" s="44" t="s">
        <v>92</v>
      </c>
      <c r="B16" s="45" t="s">
        <v>93</v>
      </c>
      <c r="C16" s="46" t="s">
        <v>94</v>
      </c>
      <c r="D16" s="47" t="s">
        <v>52</v>
      </c>
      <c r="E16" s="48">
        <v>100</v>
      </c>
      <c r="F16" s="49"/>
      <c r="G16" s="49">
        <f t="shared" si="0"/>
        <v>91</v>
      </c>
      <c r="H16" s="50" t="s">
        <v>53</v>
      </c>
      <c r="I16" s="51">
        <v>280</v>
      </c>
      <c r="J16" s="52">
        <v>91</v>
      </c>
      <c r="K16" s="53">
        <f t="shared" si="1"/>
        <v>9.3800000000000008</v>
      </c>
      <c r="L16" s="50" t="s">
        <v>54</v>
      </c>
      <c r="M16" s="54" t="str">
        <f>VLOOKUP(L16,Packaging!$B$3:$C$21,2,0)</f>
        <v>290 X 200 X 140</v>
      </c>
      <c r="N16" s="47"/>
      <c r="O16" s="47">
        <v>5</v>
      </c>
      <c r="P16" s="47" t="s">
        <v>55</v>
      </c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8" customHeight="1">
      <c r="A17" s="44" t="s">
        <v>95</v>
      </c>
      <c r="B17" s="45" t="s">
        <v>96</v>
      </c>
      <c r="C17" s="46" t="s">
        <v>97</v>
      </c>
      <c r="D17" s="47" t="s">
        <v>52</v>
      </c>
      <c r="E17" s="48">
        <v>100</v>
      </c>
      <c r="F17" s="49"/>
      <c r="G17" s="49">
        <f t="shared" si="0"/>
        <v>91</v>
      </c>
      <c r="H17" s="50" t="s">
        <v>53</v>
      </c>
      <c r="I17" s="51">
        <v>280</v>
      </c>
      <c r="J17" s="52">
        <v>91</v>
      </c>
      <c r="K17" s="53">
        <f t="shared" si="1"/>
        <v>9.3800000000000008</v>
      </c>
      <c r="L17" s="50" t="s">
        <v>54</v>
      </c>
      <c r="M17" s="54" t="str">
        <f>VLOOKUP(L17,Packaging!$B$3:$C$21,2,0)</f>
        <v>290 X 200 X 140</v>
      </c>
      <c r="N17" s="47"/>
      <c r="O17" s="47">
        <v>5</v>
      </c>
      <c r="P17" s="47" t="s">
        <v>55</v>
      </c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8" customHeight="1">
      <c r="A18" s="44" t="s">
        <v>98</v>
      </c>
      <c r="B18" s="45" t="s">
        <v>99</v>
      </c>
      <c r="C18" s="46" t="s">
        <v>100</v>
      </c>
      <c r="D18" s="47" t="s">
        <v>52</v>
      </c>
      <c r="E18" s="48">
        <v>20</v>
      </c>
      <c r="F18" s="49"/>
      <c r="G18" s="49">
        <f t="shared" si="0"/>
        <v>91</v>
      </c>
      <c r="H18" s="50" t="s">
        <v>53</v>
      </c>
      <c r="I18" s="51">
        <v>580</v>
      </c>
      <c r="J18" s="52">
        <v>1034</v>
      </c>
      <c r="K18" s="53">
        <f t="shared" si="1"/>
        <v>21.26</v>
      </c>
      <c r="L18" s="50" t="s">
        <v>101</v>
      </c>
      <c r="M18" s="54" t="str">
        <f>VLOOKUP(L18,Packaging!$B$3:$C$21,2,0)</f>
        <v>1380 X 150 X 80</v>
      </c>
      <c r="N18" s="47"/>
      <c r="O18" s="47">
        <v>1</v>
      </c>
      <c r="P18" s="47" t="s">
        <v>55</v>
      </c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8" customHeight="1">
      <c r="A19" s="44" t="s">
        <v>102</v>
      </c>
      <c r="B19" s="45" t="s">
        <v>103</v>
      </c>
      <c r="C19" s="46" t="s">
        <v>104</v>
      </c>
      <c r="D19" s="47" t="s">
        <v>52</v>
      </c>
      <c r="E19" s="48">
        <v>20</v>
      </c>
      <c r="F19" s="49"/>
      <c r="G19" s="49">
        <f t="shared" si="0"/>
        <v>91</v>
      </c>
      <c r="H19" s="50" t="s">
        <v>53</v>
      </c>
      <c r="I19" s="51">
        <v>580</v>
      </c>
      <c r="J19" s="52">
        <v>1034</v>
      </c>
      <c r="K19" s="53">
        <f t="shared" si="1"/>
        <v>21.26</v>
      </c>
      <c r="L19" s="50" t="s">
        <v>101</v>
      </c>
      <c r="M19" s="54" t="str">
        <f>VLOOKUP(L19,Packaging!$B$3:$C$21,2,0)</f>
        <v>1380 X 150 X 80</v>
      </c>
      <c r="N19" s="47"/>
      <c r="O19" s="47">
        <v>1</v>
      </c>
      <c r="P19" s="47" t="s">
        <v>55</v>
      </c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8" customHeight="1">
      <c r="A20" s="44" t="s">
        <v>105</v>
      </c>
      <c r="B20" s="45" t="s">
        <v>106</v>
      </c>
      <c r="C20" s="46" t="s">
        <v>107</v>
      </c>
      <c r="D20" s="47" t="s">
        <v>52</v>
      </c>
      <c r="E20" s="48">
        <v>12</v>
      </c>
      <c r="F20" s="49"/>
      <c r="G20" s="49">
        <f t="shared" si="0"/>
        <v>91</v>
      </c>
      <c r="H20" s="50" t="s">
        <v>53</v>
      </c>
      <c r="I20" s="51">
        <v>766</v>
      </c>
      <c r="J20" s="52">
        <v>610</v>
      </c>
      <c r="K20" s="53">
        <f t="shared" si="1"/>
        <v>8.0860000000000003</v>
      </c>
      <c r="L20" s="50" t="s">
        <v>72</v>
      </c>
      <c r="M20" s="54" t="str">
        <f>VLOOKUP(L20,Packaging!$B$3:$C$21,2,0)</f>
        <v>390 X 350 X 280</v>
      </c>
      <c r="N20" s="47"/>
      <c r="O20" s="47">
        <v>1</v>
      </c>
      <c r="P20" s="47" t="s">
        <v>55</v>
      </c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8" customHeight="1">
      <c r="A21" s="44" t="s">
        <v>108</v>
      </c>
      <c r="B21" s="45" t="s">
        <v>109</v>
      </c>
      <c r="C21" s="57" t="s">
        <v>110</v>
      </c>
      <c r="D21" s="47" t="s">
        <v>52</v>
      </c>
      <c r="E21" s="48">
        <v>40</v>
      </c>
      <c r="F21" s="49"/>
      <c r="G21" s="49">
        <f t="shared" si="0"/>
        <v>91</v>
      </c>
      <c r="H21" s="50" t="s">
        <v>53</v>
      </c>
      <c r="I21" s="51">
        <v>378</v>
      </c>
      <c r="J21" s="52">
        <v>724</v>
      </c>
      <c r="K21" s="53">
        <f t="shared" si="1"/>
        <v>29.338000000000001</v>
      </c>
      <c r="L21" s="50" t="s">
        <v>91</v>
      </c>
      <c r="M21" s="54" t="str">
        <f>VLOOKUP(L21,Packaging!$B$3:$C$21,2,0)</f>
        <v>400 X 240 X 130</v>
      </c>
      <c r="N21" s="47"/>
      <c r="O21" s="47">
        <v>4</v>
      </c>
      <c r="P21" s="47" t="s">
        <v>55</v>
      </c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18" customHeight="1">
      <c r="A22" s="44" t="s">
        <v>111</v>
      </c>
      <c r="B22" s="45" t="s">
        <v>112</v>
      </c>
      <c r="C22" s="57" t="s">
        <v>113</v>
      </c>
      <c r="D22" s="47" t="s">
        <v>52</v>
      </c>
      <c r="E22" s="48">
        <v>360</v>
      </c>
      <c r="F22" s="49"/>
      <c r="G22" s="49">
        <f t="shared" si="0"/>
        <v>91</v>
      </c>
      <c r="H22" s="50" t="s">
        <v>53</v>
      </c>
      <c r="I22" s="51">
        <v>280</v>
      </c>
      <c r="J22" s="52">
        <v>26</v>
      </c>
      <c r="K22" s="53">
        <f t="shared" si="1"/>
        <v>9.64</v>
      </c>
      <c r="L22" s="50" t="s">
        <v>54</v>
      </c>
      <c r="M22" s="54" t="str">
        <f>VLOOKUP(L22,Packaging!$B$3:$C$21,2,0)</f>
        <v>290 X 200 X 140</v>
      </c>
      <c r="N22" s="47"/>
      <c r="O22" s="47">
        <v>20</v>
      </c>
      <c r="P22" s="47" t="s">
        <v>55</v>
      </c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" customHeight="1">
      <c r="A23" s="44" t="s">
        <v>114</v>
      </c>
      <c r="B23" s="45" t="s">
        <v>115</v>
      </c>
      <c r="C23" s="57" t="s">
        <v>116</v>
      </c>
      <c r="D23" s="47" t="s">
        <v>52</v>
      </c>
      <c r="E23" s="48">
        <v>360</v>
      </c>
      <c r="F23" s="49"/>
      <c r="G23" s="49">
        <f t="shared" si="0"/>
        <v>91</v>
      </c>
      <c r="H23" s="50" t="s">
        <v>53</v>
      </c>
      <c r="I23" s="51">
        <v>280</v>
      </c>
      <c r="J23" s="52">
        <v>26.8</v>
      </c>
      <c r="K23" s="53">
        <f t="shared" si="1"/>
        <v>9.9280000000000008</v>
      </c>
      <c r="L23" s="50" t="s">
        <v>54</v>
      </c>
      <c r="M23" s="54" t="str">
        <f>VLOOKUP(L23,Packaging!$B$3:$C$21,2,0)</f>
        <v>290 X 200 X 140</v>
      </c>
      <c r="N23" s="47"/>
      <c r="O23" s="47">
        <v>5</v>
      </c>
      <c r="P23" s="47" t="s">
        <v>55</v>
      </c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8" customHeight="1">
      <c r="A24" s="44" t="s">
        <v>117</v>
      </c>
      <c r="B24" s="45" t="s">
        <v>118</v>
      </c>
      <c r="C24" s="58" t="s">
        <v>119</v>
      </c>
      <c r="D24" s="47" t="s">
        <v>52</v>
      </c>
      <c r="E24" s="48">
        <v>360</v>
      </c>
      <c r="F24" s="49"/>
      <c r="G24" s="49">
        <f t="shared" si="0"/>
        <v>91</v>
      </c>
      <c r="H24" s="50" t="s">
        <v>53</v>
      </c>
      <c r="I24" s="51">
        <v>280</v>
      </c>
      <c r="J24" s="52">
        <v>26</v>
      </c>
      <c r="K24" s="53">
        <f t="shared" si="1"/>
        <v>9.64</v>
      </c>
      <c r="L24" s="50" t="s">
        <v>54</v>
      </c>
      <c r="M24" s="54" t="str">
        <f>VLOOKUP(L24,Packaging!$B$3:$C$21,2,0)</f>
        <v>290 X 200 X 140</v>
      </c>
      <c r="N24" s="47"/>
      <c r="O24" s="47">
        <v>20</v>
      </c>
      <c r="P24" s="47" t="s">
        <v>55</v>
      </c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" customHeight="1">
      <c r="A25" s="44" t="s">
        <v>120</v>
      </c>
      <c r="B25" s="45" t="s">
        <v>121</v>
      </c>
      <c r="C25" s="57" t="s">
        <v>122</v>
      </c>
      <c r="D25" s="47" t="s">
        <v>52</v>
      </c>
      <c r="E25" s="48">
        <v>360</v>
      </c>
      <c r="F25" s="49"/>
      <c r="G25" s="49">
        <f t="shared" si="0"/>
        <v>91</v>
      </c>
      <c r="H25" s="50" t="s">
        <v>53</v>
      </c>
      <c r="I25" s="51">
        <v>280</v>
      </c>
      <c r="J25" s="52">
        <v>26.8</v>
      </c>
      <c r="K25" s="53">
        <f t="shared" si="1"/>
        <v>9.9280000000000008</v>
      </c>
      <c r="L25" s="50" t="s">
        <v>54</v>
      </c>
      <c r="M25" s="54" t="str">
        <f>VLOOKUP(L25,Packaging!$B$3:$C$21,2,0)</f>
        <v>290 X 200 X 140</v>
      </c>
      <c r="N25" s="47"/>
      <c r="O25" s="47">
        <v>5</v>
      </c>
      <c r="P25" s="47" t="s">
        <v>55</v>
      </c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8" customHeight="1">
      <c r="A26" s="44" t="s">
        <v>123</v>
      </c>
      <c r="B26" s="47" t="s">
        <v>124</v>
      </c>
      <c r="C26" s="46" t="s">
        <v>125</v>
      </c>
      <c r="D26" s="47" t="s">
        <v>52</v>
      </c>
      <c r="E26" s="48">
        <v>20</v>
      </c>
      <c r="F26" s="49"/>
      <c r="G26" s="49">
        <f t="shared" si="0"/>
        <v>91</v>
      </c>
      <c r="H26" s="50" t="s">
        <v>53</v>
      </c>
      <c r="I26" s="51">
        <v>1128</v>
      </c>
      <c r="J26" s="51">
        <v>1076</v>
      </c>
      <c r="K26" s="53">
        <f t="shared" si="1"/>
        <v>22.648</v>
      </c>
      <c r="L26" s="50" t="s">
        <v>126</v>
      </c>
      <c r="M26" s="54" t="e">
        <f>VLOOKUP(L26,Packaging!$B$3:$C$21,2,0)</f>
        <v>#N/A</v>
      </c>
      <c r="N26" s="47"/>
      <c r="O26" s="47">
        <v>1</v>
      </c>
      <c r="P26" s="47" t="s">
        <v>55</v>
      </c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18" customHeight="1">
      <c r="A27" s="44" t="s">
        <v>127</v>
      </c>
      <c r="B27" s="47" t="s">
        <v>128</v>
      </c>
      <c r="C27" s="46" t="s">
        <v>129</v>
      </c>
      <c r="D27" s="47" t="s">
        <v>52</v>
      </c>
      <c r="E27" s="48">
        <v>20</v>
      </c>
      <c r="F27" s="49"/>
      <c r="G27" s="49">
        <f t="shared" si="0"/>
        <v>91</v>
      </c>
      <c r="H27" s="50" t="s">
        <v>53</v>
      </c>
      <c r="I27" s="51">
        <v>1128</v>
      </c>
      <c r="J27" s="51">
        <v>1076</v>
      </c>
      <c r="K27" s="53">
        <f t="shared" si="1"/>
        <v>22.648</v>
      </c>
      <c r="L27" s="50" t="s">
        <v>126</v>
      </c>
      <c r="M27" s="54" t="e">
        <f>VLOOKUP(L27,Packaging!$B$3:$C$21,2,0)</f>
        <v>#N/A</v>
      </c>
      <c r="N27" s="47"/>
      <c r="O27" s="47">
        <v>1</v>
      </c>
      <c r="P27" s="47" t="s">
        <v>55</v>
      </c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8" customHeight="1">
      <c r="A28" s="44" t="s">
        <v>130</v>
      </c>
      <c r="B28" s="45" t="s">
        <v>131</v>
      </c>
      <c r="C28" s="46" t="s">
        <v>132</v>
      </c>
      <c r="D28" s="47" t="s">
        <v>52</v>
      </c>
      <c r="E28" s="48">
        <v>150</v>
      </c>
      <c r="F28" s="49"/>
      <c r="G28" s="49">
        <f t="shared" si="0"/>
        <v>91</v>
      </c>
      <c r="H28" s="50" t="s">
        <v>53</v>
      </c>
      <c r="I28" s="51">
        <v>280</v>
      </c>
      <c r="J28" s="52">
        <v>120</v>
      </c>
      <c r="K28" s="53">
        <f t="shared" si="1"/>
        <v>18.28</v>
      </c>
      <c r="L28" s="50" t="s">
        <v>54</v>
      </c>
      <c r="M28" s="54" t="str">
        <f>VLOOKUP(L28,Packaging!$B$3:$C$21,2,0)</f>
        <v>290 X 200 X 140</v>
      </c>
      <c r="N28" s="47"/>
      <c r="O28" s="47">
        <v>10</v>
      </c>
      <c r="P28" s="47" t="s">
        <v>55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8" customHeight="1">
      <c r="A29" s="44" t="s">
        <v>133</v>
      </c>
      <c r="B29" s="45" t="s">
        <v>134</v>
      </c>
      <c r="C29" s="46" t="s">
        <v>135</v>
      </c>
      <c r="D29" s="47" t="s">
        <v>52</v>
      </c>
      <c r="E29" s="48">
        <v>150</v>
      </c>
      <c r="F29" s="49"/>
      <c r="G29" s="49">
        <f t="shared" si="0"/>
        <v>91</v>
      </c>
      <c r="H29" s="50" t="s">
        <v>53</v>
      </c>
      <c r="I29" s="51">
        <v>280</v>
      </c>
      <c r="J29" s="52">
        <v>120</v>
      </c>
      <c r="K29" s="53">
        <f t="shared" si="1"/>
        <v>18.28</v>
      </c>
      <c r="L29" s="50" t="s">
        <v>54</v>
      </c>
      <c r="M29" s="54" t="str">
        <f>VLOOKUP(L29,Packaging!$B$3:$C$21,2,0)</f>
        <v>290 X 200 X 140</v>
      </c>
      <c r="N29" s="47"/>
      <c r="O29" s="47">
        <v>10</v>
      </c>
      <c r="P29" s="47" t="s">
        <v>55</v>
      </c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8" customHeight="1">
      <c r="A30" s="44" t="s">
        <v>136</v>
      </c>
      <c r="B30" s="47" t="s">
        <v>137</v>
      </c>
      <c r="C30" s="46" t="s">
        <v>138</v>
      </c>
      <c r="D30" s="47" t="s">
        <v>52</v>
      </c>
      <c r="E30" s="48">
        <v>6</v>
      </c>
      <c r="F30" s="49"/>
      <c r="G30" s="49">
        <f t="shared" si="0"/>
        <v>91</v>
      </c>
      <c r="H30" s="50" t="s">
        <v>53</v>
      </c>
      <c r="I30" s="51">
        <v>1040</v>
      </c>
      <c r="J30" s="51">
        <v>1873.4</v>
      </c>
      <c r="K30" s="53">
        <f t="shared" si="1"/>
        <v>12.280400000000002</v>
      </c>
      <c r="L30" s="50" t="s">
        <v>139</v>
      </c>
      <c r="M30" s="54" t="str">
        <f>VLOOKUP(L30,Packaging!$B$3:$C$21,2,0)</f>
        <v>810 X 160 X180</v>
      </c>
      <c r="N30" s="47"/>
      <c r="O30" s="47">
        <v>1</v>
      </c>
      <c r="P30" s="47" t="s">
        <v>55</v>
      </c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8" customHeight="1">
      <c r="A31" s="44" t="s">
        <v>140</v>
      </c>
      <c r="B31" s="47" t="s">
        <v>141</v>
      </c>
      <c r="C31" s="46" t="s">
        <v>142</v>
      </c>
      <c r="D31" s="47" t="s">
        <v>52</v>
      </c>
      <c r="E31" s="48">
        <v>24</v>
      </c>
      <c r="F31" s="49"/>
      <c r="G31" s="49">
        <f t="shared" si="0"/>
        <v>91</v>
      </c>
      <c r="H31" s="50" t="s">
        <v>53</v>
      </c>
      <c r="I31" s="51">
        <v>378</v>
      </c>
      <c r="J31" s="52">
        <v>236</v>
      </c>
      <c r="K31" s="53">
        <f t="shared" si="1"/>
        <v>6.0419999999999998</v>
      </c>
      <c r="L31" s="50" t="s">
        <v>91</v>
      </c>
      <c r="M31" s="54" t="str">
        <f>VLOOKUP(L31,Packaging!$B$3:$C$21,2,0)</f>
        <v>400 X 240 X 130</v>
      </c>
      <c r="N31" s="47"/>
      <c r="O31" s="47">
        <v>1</v>
      </c>
      <c r="P31" s="47" t="s">
        <v>55</v>
      </c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8" customHeight="1">
      <c r="A32" s="44" t="s">
        <v>143</v>
      </c>
      <c r="B32" s="45" t="s">
        <v>144</v>
      </c>
      <c r="C32" s="46" t="s">
        <v>145</v>
      </c>
      <c r="D32" s="47" t="s">
        <v>52</v>
      </c>
      <c r="E32" s="48">
        <v>240</v>
      </c>
      <c r="F32" s="49"/>
      <c r="G32" s="49">
        <f t="shared" si="0"/>
        <v>91</v>
      </c>
      <c r="H32" s="50" t="s">
        <v>53</v>
      </c>
      <c r="I32" s="51">
        <v>378</v>
      </c>
      <c r="J32" s="52">
        <v>34.6</v>
      </c>
      <c r="K32" s="53">
        <f t="shared" si="1"/>
        <v>8.6820000000000004</v>
      </c>
      <c r="L32" s="50" t="s">
        <v>91</v>
      </c>
      <c r="M32" s="54" t="str">
        <f>VLOOKUP(L32,Packaging!$B$3:$C$21,2,0)</f>
        <v>400 X 240 X 130</v>
      </c>
      <c r="N32" s="47"/>
      <c r="O32" s="47">
        <v>20</v>
      </c>
      <c r="P32" s="47" t="s">
        <v>55</v>
      </c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18" customHeight="1">
      <c r="A33" s="44" t="s">
        <v>146</v>
      </c>
      <c r="B33" s="47" t="s">
        <v>147</v>
      </c>
      <c r="C33" s="46" t="s">
        <v>148</v>
      </c>
      <c r="D33" s="47" t="s">
        <v>52</v>
      </c>
      <c r="E33" s="48">
        <v>500</v>
      </c>
      <c r="F33" s="49"/>
      <c r="G33" s="49">
        <f t="shared" si="0"/>
        <v>91</v>
      </c>
      <c r="H33" s="50" t="s">
        <v>53</v>
      </c>
      <c r="I33" s="51">
        <v>378</v>
      </c>
      <c r="J33" s="52">
        <v>17.399999999999999</v>
      </c>
      <c r="K33" s="53">
        <f t="shared" si="1"/>
        <v>9.0779999999999994</v>
      </c>
      <c r="L33" s="50" t="s">
        <v>91</v>
      </c>
      <c r="M33" s="54" t="str">
        <f>VLOOKUP(L33,Packaging!$B$3:$C$21,2,0)</f>
        <v>400 X 240 X 130</v>
      </c>
      <c r="N33" s="47"/>
      <c r="O33" s="47">
        <v>50</v>
      </c>
      <c r="P33" s="47" t="s">
        <v>55</v>
      </c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18" customHeight="1">
      <c r="A34" s="44" t="s">
        <v>149</v>
      </c>
      <c r="B34" s="47" t="s">
        <v>150</v>
      </c>
      <c r="C34" s="46" t="s">
        <v>151</v>
      </c>
      <c r="D34" s="47" t="s">
        <v>52</v>
      </c>
      <c r="E34" s="48">
        <v>12</v>
      </c>
      <c r="F34" s="49"/>
      <c r="G34" s="49">
        <f t="shared" si="0"/>
        <v>91</v>
      </c>
      <c r="H34" s="50" t="s">
        <v>53</v>
      </c>
      <c r="I34" s="51">
        <v>948</v>
      </c>
      <c r="J34" s="52">
        <v>1071.8</v>
      </c>
      <c r="K34" s="53">
        <f t="shared" si="1"/>
        <v>13.809599999999998</v>
      </c>
      <c r="L34" s="50" t="s">
        <v>68</v>
      </c>
      <c r="M34" s="54" t="str">
        <f>VLOOKUP(L34,Packaging!$B$3:$C$21,2,0)</f>
        <v>1410 X 165 X 175</v>
      </c>
      <c r="N34" s="47"/>
      <c r="O34" s="47">
        <v>1</v>
      </c>
      <c r="P34" s="47" t="s">
        <v>55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18" customHeight="1">
      <c r="A35" s="44" t="s">
        <v>152</v>
      </c>
      <c r="B35" s="47" t="s">
        <v>153</v>
      </c>
      <c r="C35" s="46" t="s">
        <v>154</v>
      </c>
      <c r="D35" s="47" t="s">
        <v>52</v>
      </c>
      <c r="E35" s="48">
        <v>60</v>
      </c>
      <c r="F35" s="49"/>
      <c r="G35" s="49">
        <f t="shared" si="0"/>
        <v>91</v>
      </c>
      <c r="H35" s="50" t="s">
        <v>53</v>
      </c>
      <c r="I35" s="51">
        <v>378</v>
      </c>
      <c r="J35" s="52">
        <v>57.6</v>
      </c>
      <c r="K35" s="53">
        <f t="shared" si="1"/>
        <v>3.8340000000000001</v>
      </c>
      <c r="L35" s="50" t="s">
        <v>91</v>
      </c>
      <c r="M35" s="54" t="str">
        <f>VLOOKUP(L35,Packaging!$B$3:$C$21,2,0)</f>
        <v>400 X 240 X 130</v>
      </c>
      <c r="N35" s="47"/>
      <c r="O35" s="47">
        <v>2</v>
      </c>
      <c r="P35" s="47" t="s">
        <v>55</v>
      </c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18" customHeight="1">
      <c r="A36" s="44" t="s">
        <v>155</v>
      </c>
      <c r="B36" s="47" t="s">
        <v>156</v>
      </c>
      <c r="C36" s="46" t="s">
        <v>157</v>
      </c>
      <c r="D36" s="47" t="s">
        <v>52</v>
      </c>
      <c r="E36" s="48">
        <v>100</v>
      </c>
      <c r="F36" s="49"/>
      <c r="G36" s="49">
        <f t="shared" si="0"/>
        <v>91</v>
      </c>
      <c r="H36" s="50" t="s">
        <v>53</v>
      </c>
      <c r="I36" s="51">
        <v>280</v>
      </c>
      <c r="J36" s="52">
        <v>60.4</v>
      </c>
      <c r="K36" s="53">
        <f t="shared" si="1"/>
        <v>6.32</v>
      </c>
      <c r="L36" s="50" t="s">
        <v>54</v>
      </c>
      <c r="M36" s="54" t="str">
        <f>VLOOKUP(L36,Packaging!$B$3:$C$21,2,0)</f>
        <v>290 X 200 X 140</v>
      </c>
      <c r="N36" s="47"/>
      <c r="O36" s="47">
        <v>10</v>
      </c>
      <c r="P36" s="47" t="s">
        <v>55</v>
      </c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18" customHeight="1">
      <c r="A37" s="44" t="s">
        <v>158</v>
      </c>
      <c r="B37" s="47" t="s">
        <v>159</v>
      </c>
      <c r="C37" s="46" t="s">
        <v>160</v>
      </c>
      <c r="D37" s="47" t="s">
        <v>52</v>
      </c>
      <c r="E37" s="48">
        <v>32</v>
      </c>
      <c r="F37" s="49"/>
      <c r="G37" s="49">
        <f t="shared" si="0"/>
        <v>91</v>
      </c>
      <c r="H37" s="50" t="s">
        <v>53</v>
      </c>
      <c r="I37" s="51">
        <v>278</v>
      </c>
      <c r="J37" s="52">
        <v>75.400000000000006</v>
      </c>
      <c r="K37" s="53">
        <f t="shared" si="1"/>
        <v>2.6908000000000003</v>
      </c>
      <c r="L37" s="50" t="s">
        <v>161</v>
      </c>
      <c r="M37" s="54" t="str">
        <f>VLOOKUP(L37,Packaging!$B$3:$C$21,2,0)</f>
        <v>360 X 270 X 128</v>
      </c>
      <c r="N37" s="47"/>
      <c r="O37" s="47">
        <v>4</v>
      </c>
      <c r="P37" s="47" t="s">
        <v>55</v>
      </c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18" customHeight="1">
      <c r="A38" s="44" t="s">
        <v>162</v>
      </c>
      <c r="B38" s="45" t="s">
        <v>163</v>
      </c>
      <c r="C38" s="46" t="s">
        <v>164</v>
      </c>
      <c r="D38" s="47" t="s">
        <v>52</v>
      </c>
      <c r="E38" s="48">
        <v>120</v>
      </c>
      <c r="F38" s="49"/>
      <c r="G38" s="49">
        <f t="shared" si="0"/>
        <v>91</v>
      </c>
      <c r="H38" s="50" t="s">
        <v>53</v>
      </c>
      <c r="I38" s="51">
        <v>280</v>
      </c>
      <c r="J38" s="52">
        <v>66.2</v>
      </c>
      <c r="K38" s="53">
        <f t="shared" si="1"/>
        <v>8.2240000000000002</v>
      </c>
      <c r="L38" s="50" t="s">
        <v>54</v>
      </c>
      <c r="M38" s="54" t="str">
        <f>VLOOKUP(L38,Packaging!$B$3:$C$21,2,0)</f>
        <v>290 X 200 X 140</v>
      </c>
      <c r="N38" s="47"/>
      <c r="O38" s="47">
        <v>24</v>
      </c>
      <c r="P38" s="47" t="s">
        <v>55</v>
      </c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18" customHeight="1">
      <c r="A39" s="44" t="s">
        <v>165</v>
      </c>
      <c r="B39" s="45" t="s">
        <v>166</v>
      </c>
      <c r="C39" s="46" t="s">
        <v>167</v>
      </c>
      <c r="D39" s="47" t="s">
        <v>52</v>
      </c>
      <c r="E39" s="48">
        <v>1000</v>
      </c>
      <c r="F39" s="49"/>
      <c r="G39" s="49">
        <f t="shared" si="0"/>
        <v>91</v>
      </c>
      <c r="H39" s="50" t="s">
        <v>53</v>
      </c>
      <c r="I39" s="51">
        <v>280</v>
      </c>
      <c r="J39" s="52">
        <v>19</v>
      </c>
      <c r="K39" s="53">
        <f t="shared" si="1"/>
        <v>19.28</v>
      </c>
      <c r="L39" s="50" t="s">
        <v>54</v>
      </c>
      <c r="M39" s="54" t="str">
        <f>VLOOKUP(L39,Packaging!$B$3:$C$21,2,0)</f>
        <v>290 X 200 X 140</v>
      </c>
      <c r="N39" s="47"/>
      <c r="O39" s="47">
        <v>100</v>
      </c>
      <c r="P39" s="47" t="s">
        <v>55</v>
      </c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18" customHeight="1">
      <c r="A40" s="44" t="s">
        <v>168</v>
      </c>
      <c r="B40" s="47" t="s">
        <v>169</v>
      </c>
      <c r="C40" s="46" t="s">
        <v>170</v>
      </c>
      <c r="D40" s="47" t="s">
        <v>52</v>
      </c>
      <c r="E40" s="48">
        <v>500</v>
      </c>
      <c r="F40" s="49"/>
      <c r="G40" s="49">
        <f t="shared" si="0"/>
        <v>91</v>
      </c>
      <c r="H40" s="50" t="s">
        <v>53</v>
      </c>
      <c r="I40" s="51">
        <v>280</v>
      </c>
      <c r="J40" s="52">
        <v>9.4</v>
      </c>
      <c r="K40" s="53">
        <f t="shared" si="1"/>
        <v>4.9800000000000004</v>
      </c>
      <c r="L40" s="50" t="s">
        <v>54</v>
      </c>
      <c r="M40" s="54" t="str">
        <f>VLOOKUP(L40,Packaging!$B$3:$C$21,2,0)</f>
        <v>290 X 200 X 140</v>
      </c>
      <c r="N40" s="47"/>
      <c r="O40" s="47">
        <v>100</v>
      </c>
      <c r="P40" s="47" t="s">
        <v>55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18" customHeight="1">
      <c r="A41" s="44" t="s">
        <v>171</v>
      </c>
      <c r="B41" s="45" t="s">
        <v>172</v>
      </c>
      <c r="C41" s="46" t="s">
        <v>173</v>
      </c>
      <c r="D41" s="47" t="s">
        <v>52</v>
      </c>
      <c r="E41" s="48">
        <v>500</v>
      </c>
      <c r="F41" s="49"/>
      <c r="G41" s="49">
        <f t="shared" si="0"/>
        <v>91</v>
      </c>
      <c r="H41" s="50" t="s">
        <v>53</v>
      </c>
      <c r="I41" s="51">
        <v>280</v>
      </c>
      <c r="J41" s="52">
        <v>21.6</v>
      </c>
      <c r="K41" s="53">
        <f t="shared" si="1"/>
        <v>11.08</v>
      </c>
      <c r="L41" s="50" t="s">
        <v>54</v>
      </c>
      <c r="M41" s="54" t="str">
        <f>VLOOKUP(L41,Packaging!$B$3:$C$21,2,0)</f>
        <v>290 X 200 X 140</v>
      </c>
      <c r="N41" s="47"/>
      <c r="O41" s="47">
        <v>100</v>
      </c>
      <c r="P41" s="47" t="s">
        <v>55</v>
      </c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18" customHeight="1">
      <c r="A42" s="44" t="s">
        <v>174</v>
      </c>
      <c r="B42" s="47" t="s">
        <v>175</v>
      </c>
      <c r="C42" s="46" t="s">
        <v>176</v>
      </c>
      <c r="D42" s="47" t="s">
        <v>52</v>
      </c>
      <c r="E42" s="48">
        <v>100</v>
      </c>
      <c r="F42" s="49"/>
      <c r="G42" s="49">
        <f t="shared" si="0"/>
        <v>91</v>
      </c>
      <c r="H42" s="50" t="s">
        <v>53</v>
      </c>
      <c r="I42" s="51">
        <v>280</v>
      </c>
      <c r="J42" s="52">
        <v>33.200000000000003</v>
      </c>
      <c r="K42" s="53">
        <f t="shared" si="1"/>
        <v>3.6000000000000005</v>
      </c>
      <c r="L42" s="50" t="s">
        <v>54</v>
      </c>
      <c r="M42" s="54" t="str">
        <f>VLOOKUP(L42,Packaging!$B$3:$C$21,2,0)</f>
        <v>290 X 200 X 140</v>
      </c>
      <c r="N42" s="47"/>
      <c r="O42" s="47">
        <v>10</v>
      </c>
      <c r="P42" s="47" t="s">
        <v>55</v>
      </c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" customHeight="1">
      <c r="A43" s="44" t="s">
        <v>177</v>
      </c>
      <c r="B43" s="47" t="s">
        <v>178</v>
      </c>
      <c r="C43" s="46" t="s">
        <v>179</v>
      </c>
      <c r="D43" s="47" t="s">
        <v>52</v>
      </c>
      <c r="E43" s="48">
        <v>32</v>
      </c>
      <c r="F43" s="49"/>
      <c r="G43" s="49">
        <f t="shared" si="0"/>
        <v>91</v>
      </c>
      <c r="H43" s="50" t="s">
        <v>53</v>
      </c>
      <c r="I43" s="51">
        <v>378</v>
      </c>
      <c r="J43" s="52">
        <v>44.4</v>
      </c>
      <c r="K43" s="53">
        <f t="shared" si="1"/>
        <v>1.7988</v>
      </c>
      <c r="L43" s="50" t="s">
        <v>91</v>
      </c>
      <c r="M43" s="54" t="str">
        <f>VLOOKUP(L43,Packaging!$B$3:$C$21,2,0)</f>
        <v>400 X 240 X 130</v>
      </c>
      <c r="N43" s="47"/>
      <c r="O43" s="47">
        <v>2</v>
      </c>
      <c r="P43" s="47" t="s">
        <v>55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18" customHeight="1">
      <c r="A44" s="44" t="s">
        <v>180</v>
      </c>
      <c r="B44" s="47" t="s">
        <v>181</v>
      </c>
      <c r="C44" s="46" t="s">
        <v>182</v>
      </c>
      <c r="D44" s="47" t="s">
        <v>52</v>
      </c>
      <c r="E44" s="48">
        <v>250</v>
      </c>
      <c r="F44" s="49"/>
      <c r="G44" s="49">
        <f t="shared" si="0"/>
        <v>91</v>
      </c>
      <c r="H44" s="50" t="s">
        <v>53</v>
      </c>
      <c r="I44" s="51">
        <v>280</v>
      </c>
      <c r="J44" s="52">
        <v>43.2</v>
      </c>
      <c r="K44" s="53">
        <f t="shared" si="1"/>
        <v>11.08</v>
      </c>
      <c r="L44" s="50" t="s">
        <v>54</v>
      </c>
      <c r="M44" s="54" t="str">
        <f>VLOOKUP(L44,Packaging!$B$3:$C$21,2,0)</f>
        <v>290 X 200 X 140</v>
      </c>
      <c r="N44" s="47"/>
      <c r="O44" s="47">
        <v>15</v>
      </c>
      <c r="P44" s="47" t="s">
        <v>55</v>
      </c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18" customHeight="1">
      <c r="A45" s="44" t="s">
        <v>183</v>
      </c>
      <c r="B45" s="47" t="s">
        <v>184</v>
      </c>
      <c r="C45" s="46" t="s">
        <v>185</v>
      </c>
      <c r="D45" s="47" t="s">
        <v>52</v>
      </c>
      <c r="E45" s="48">
        <v>180</v>
      </c>
      <c r="F45" s="49"/>
      <c r="G45" s="49">
        <f t="shared" si="0"/>
        <v>91</v>
      </c>
      <c r="H45" s="50" t="s">
        <v>53</v>
      </c>
      <c r="I45" s="51">
        <v>280</v>
      </c>
      <c r="J45" s="52">
        <v>38</v>
      </c>
      <c r="K45" s="53">
        <f t="shared" si="1"/>
        <v>7.12</v>
      </c>
      <c r="L45" s="50" t="s">
        <v>54</v>
      </c>
      <c r="M45" s="54" t="str">
        <f>VLOOKUP(L45,Packaging!$B$3:$C$21,2,0)</f>
        <v>290 X 200 X 140</v>
      </c>
      <c r="N45" s="47"/>
      <c r="O45" s="47">
        <v>18</v>
      </c>
      <c r="P45" s="47" t="s">
        <v>55</v>
      </c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18" customHeight="1">
      <c r="A46" s="44" t="s">
        <v>186</v>
      </c>
      <c r="B46" s="45" t="s">
        <v>187</v>
      </c>
      <c r="C46" s="46" t="s">
        <v>188</v>
      </c>
      <c r="D46" s="47" t="s">
        <v>52</v>
      </c>
      <c r="E46" s="48">
        <v>20</v>
      </c>
      <c r="F46" s="49"/>
      <c r="G46" s="49">
        <f t="shared" si="0"/>
        <v>91</v>
      </c>
      <c r="H46" s="50" t="s">
        <v>53</v>
      </c>
      <c r="I46" s="51">
        <v>378</v>
      </c>
      <c r="J46" s="52">
        <v>315.39999999999998</v>
      </c>
      <c r="K46" s="53">
        <f t="shared" si="1"/>
        <v>6.6859999999999999</v>
      </c>
      <c r="L46" s="50" t="s">
        <v>91</v>
      </c>
      <c r="M46" s="54" t="str">
        <f>VLOOKUP(L46,Packaging!$B$3:$C$21,2,0)</f>
        <v>400 X 240 X 130</v>
      </c>
      <c r="N46" s="47"/>
      <c r="O46" s="47">
        <v>2</v>
      </c>
      <c r="P46" s="47" t="s">
        <v>55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18" customHeight="1">
      <c r="A47" s="44" t="s">
        <v>189</v>
      </c>
      <c r="B47" s="45" t="s">
        <v>190</v>
      </c>
      <c r="C47" s="46" t="s">
        <v>191</v>
      </c>
      <c r="D47" s="47" t="s">
        <v>52</v>
      </c>
      <c r="E47" s="48">
        <v>20</v>
      </c>
      <c r="F47" s="49"/>
      <c r="G47" s="49">
        <f t="shared" si="0"/>
        <v>91</v>
      </c>
      <c r="H47" s="50" t="s">
        <v>53</v>
      </c>
      <c r="I47" s="51">
        <v>378</v>
      </c>
      <c r="J47" s="52">
        <v>315.8</v>
      </c>
      <c r="K47" s="53">
        <f t="shared" si="1"/>
        <v>6.694</v>
      </c>
      <c r="L47" s="50" t="s">
        <v>91</v>
      </c>
      <c r="M47" s="54" t="str">
        <f>VLOOKUP(L47,Packaging!$B$3:$C$21,2,0)</f>
        <v>400 X 240 X 130</v>
      </c>
      <c r="N47" s="47"/>
      <c r="O47" s="47">
        <v>2</v>
      </c>
      <c r="P47" s="47" t="s">
        <v>55</v>
      </c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spans="1:26" ht="18" customHeight="1">
      <c r="A48" s="44" t="s">
        <v>192</v>
      </c>
      <c r="B48" s="47" t="s">
        <v>193</v>
      </c>
      <c r="C48" s="46" t="s">
        <v>194</v>
      </c>
      <c r="D48" s="47" t="s">
        <v>52</v>
      </c>
      <c r="E48" s="48">
        <v>50</v>
      </c>
      <c r="F48" s="49"/>
      <c r="G48" s="49">
        <f t="shared" si="0"/>
        <v>91</v>
      </c>
      <c r="H48" s="50" t="s">
        <v>53</v>
      </c>
      <c r="I48" s="51">
        <v>280</v>
      </c>
      <c r="J48" s="52">
        <v>128.6</v>
      </c>
      <c r="K48" s="53">
        <f t="shared" si="1"/>
        <v>6.71</v>
      </c>
      <c r="L48" s="50" t="s">
        <v>54</v>
      </c>
      <c r="M48" s="54" t="str">
        <f>VLOOKUP(L48,Packaging!$B$3:$C$21,2,0)</f>
        <v>290 X 200 X 140</v>
      </c>
      <c r="N48" s="47"/>
      <c r="O48" s="47">
        <v>10</v>
      </c>
      <c r="P48" s="47" t="s">
        <v>55</v>
      </c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18" customHeight="1">
      <c r="A49" s="44" t="s">
        <v>195</v>
      </c>
      <c r="B49" s="45" t="s">
        <v>196</v>
      </c>
      <c r="C49" s="46" t="s">
        <v>197</v>
      </c>
      <c r="D49" s="47" t="s">
        <v>52</v>
      </c>
      <c r="E49" s="48">
        <v>200</v>
      </c>
      <c r="F49" s="49"/>
      <c r="G49" s="49">
        <f t="shared" si="0"/>
        <v>91</v>
      </c>
      <c r="H49" s="50" t="s">
        <v>53</v>
      </c>
      <c r="I49" s="51">
        <v>280</v>
      </c>
      <c r="J49" s="52">
        <v>61.8</v>
      </c>
      <c r="K49" s="53">
        <f t="shared" si="1"/>
        <v>12.64</v>
      </c>
      <c r="L49" s="50" t="s">
        <v>54</v>
      </c>
      <c r="M49" s="54" t="str">
        <f>VLOOKUP(L49,Packaging!$B$3:$C$21,2,0)</f>
        <v>290 X 200 X 140</v>
      </c>
      <c r="N49" s="47"/>
      <c r="O49" s="47">
        <v>1</v>
      </c>
      <c r="P49" s="47" t="s">
        <v>55</v>
      </c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18" customHeight="1">
      <c r="A50" s="44" t="s">
        <v>198</v>
      </c>
      <c r="B50" s="45" t="s">
        <v>199</v>
      </c>
      <c r="C50" s="46" t="s">
        <v>200</v>
      </c>
      <c r="D50" s="47" t="s">
        <v>52</v>
      </c>
      <c r="E50" s="48">
        <v>200</v>
      </c>
      <c r="F50" s="49"/>
      <c r="G50" s="49">
        <f t="shared" si="0"/>
        <v>91</v>
      </c>
      <c r="H50" s="50" t="s">
        <v>53</v>
      </c>
      <c r="I50" s="51">
        <v>280</v>
      </c>
      <c r="J50" s="52">
        <v>60.2</v>
      </c>
      <c r="K50" s="53">
        <f t="shared" si="1"/>
        <v>12.32</v>
      </c>
      <c r="L50" s="50" t="s">
        <v>54</v>
      </c>
      <c r="M50" s="54" t="str">
        <f>VLOOKUP(L50,Packaging!$B$3:$C$21,2,0)</f>
        <v>290 X 200 X 140</v>
      </c>
      <c r="N50" s="47"/>
      <c r="O50" s="47">
        <v>1</v>
      </c>
      <c r="P50" s="47" t="s">
        <v>55</v>
      </c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8" customHeight="1">
      <c r="A51" s="44" t="s">
        <v>201</v>
      </c>
      <c r="B51" s="47" t="s">
        <v>202</v>
      </c>
      <c r="C51" s="46" t="s">
        <v>203</v>
      </c>
      <c r="D51" s="47" t="s">
        <v>52</v>
      </c>
      <c r="E51" s="48">
        <v>500</v>
      </c>
      <c r="F51" s="49"/>
      <c r="G51" s="49">
        <f t="shared" si="0"/>
        <v>91</v>
      </c>
      <c r="H51" s="50" t="s">
        <v>53</v>
      </c>
      <c r="I51" s="51">
        <v>280</v>
      </c>
      <c r="J51" s="52">
        <v>31.6</v>
      </c>
      <c r="K51" s="53">
        <f t="shared" si="1"/>
        <v>16.079999999999998</v>
      </c>
      <c r="L51" s="50" t="s">
        <v>54</v>
      </c>
      <c r="M51" s="54" t="str">
        <f>VLOOKUP(L51,Packaging!$B$3:$C$21,2,0)</f>
        <v>290 X 200 X 140</v>
      </c>
      <c r="N51" s="47"/>
      <c r="O51" s="47">
        <v>100</v>
      </c>
      <c r="P51" s="47" t="s">
        <v>55</v>
      </c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18" customHeight="1">
      <c r="A52" s="44" t="s">
        <v>204</v>
      </c>
      <c r="B52" s="45" t="s">
        <v>205</v>
      </c>
      <c r="C52" s="46" t="s">
        <v>206</v>
      </c>
      <c r="D52" s="47" t="s">
        <v>52</v>
      </c>
      <c r="E52" s="48">
        <v>100</v>
      </c>
      <c r="F52" s="49"/>
      <c r="G52" s="49">
        <f t="shared" si="0"/>
        <v>91</v>
      </c>
      <c r="H52" s="50" t="s">
        <v>53</v>
      </c>
      <c r="I52" s="51">
        <v>280</v>
      </c>
      <c r="J52" s="52">
        <v>33.799999999999997</v>
      </c>
      <c r="K52" s="53">
        <f t="shared" si="1"/>
        <v>3.6599999999999997</v>
      </c>
      <c r="L52" s="50" t="s">
        <v>54</v>
      </c>
      <c r="M52" s="54" t="str">
        <f>VLOOKUP(L52,Packaging!$B$3:$C$21,2,0)</f>
        <v>290 X 200 X 140</v>
      </c>
      <c r="N52" s="47"/>
      <c r="O52" s="47">
        <v>10</v>
      </c>
      <c r="P52" s="47" t="s">
        <v>55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18" customHeight="1">
      <c r="A53" s="44" t="s">
        <v>207</v>
      </c>
      <c r="B53" s="45" t="s">
        <v>208</v>
      </c>
      <c r="C53" s="46" t="s">
        <v>209</v>
      </c>
      <c r="D53" s="47" t="s">
        <v>52</v>
      </c>
      <c r="E53" s="48">
        <v>200</v>
      </c>
      <c r="F53" s="49"/>
      <c r="G53" s="49">
        <f t="shared" si="0"/>
        <v>91</v>
      </c>
      <c r="H53" s="50" t="s">
        <v>53</v>
      </c>
      <c r="I53" s="51">
        <v>280</v>
      </c>
      <c r="J53" s="52">
        <v>81.8</v>
      </c>
      <c r="K53" s="53">
        <f t="shared" si="1"/>
        <v>16.64</v>
      </c>
      <c r="L53" s="50" t="s">
        <v>54</v>
      </c>
      <c r="M53" s="54" t="str">
        <f>VLOOKUP(L53,Packaging!$B$3:$C$21,2,0)</f>
        <v>290 X 200 X 140</v>
      </c>
      <c r="N53" s="47"/>
      <c r="O53" s="47">
        <v>10</v>
      </c>
      <c r="P53" s="47" t="s">
        <v>55</v>
      </c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18" customHeight="1">
      <c r="A54" s="44" t="s">
        <v>210</v>
      </c>
      <c r="B54" s="47" t="s">
        <v>211</v>
      </c>
      <c r="C54" s="46" t="s">
        <v>212</v>
      </c>
      <c r="D54" s="47" t="s">
        <v>52</v>
      </c>
      <c r="E54" s="48">
        <v>180</v>
      </c>
      <c r="F54" s="49"/>
      <c r="G54" s="49">
        <f t="shared" si="0"/>
        <v>91</v>
      </c>
      <c r="H54" s="50" t="s">
        <v>53</v>
      </c>
      <c r="I54" s="51">
        <v>280</v>
      </c>
      <c r="J54" s="52">
        <v>17.8</v>
      </c>
      <c r="K54" s="53">
        <f t="shared" si="1"/>
        <v>3.484</v>
      </c>
      <c r="L54" s="50" t="s">
        <v>54</v>
      </c>
      <c r="M54" s="54" t="str">
        <f>VLOOKUP(L54,Packaging!$B$3:$C$21,2,0)</f>
        <v>290 X 200 X 140</v>
      </c>
      <c r="N54" s="47"/>
      <c r="O54" s="47">
        <v>10</v>
      </c>
      <c r="P54" s="47" t="s">
        <v>55</v>
      </c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18" customHeight="1">
      <c r="A55" s="44" t="s">
        <v>213</v>
      </c>
      <c r="B55" s="47" t="s">
        <v>214</v>
      </c>
      <c r="C55" s="46" t="s">
        <v>215</v>
      </c>
      <c r="D55" s="47" t="s">
        <v>52</v>
      </c>
      <c r="E55" s="48">
        <v>20</v>
      </c>
      <c r="F55" s="49"/>
      <c r="G55" s="49">
        <f t="shared" si="0"/>
        <v>91</v>
      </c>
      <c r="H55" s="50" t="s">
        <v>53</v>
      </c>
      <c r="I55" s="51">
        <v>278</v>
      </c>
      <c r="J55" s="52">
        <v>112.2</v>
      </c>
      <c r="K55" s="53">
        <f t="shared" si="1"/>
        <v>2.5219999999999998</v>
      </c>
      <c r="L55" s="50" t="s">
        <v>161</v>
      </c>
      <c r="M55" s="54" t="str">
        <f>VLOOKUP(L55,Packaging!$B$3:$C$21,2,0)</f>
        <v>360 X 270 X 128</v>
      </c>
      <c r="N55" s="47"/>
      <c r="O55" s="47">
        <v>2</v>
      </c>
      <c r="P55" s="47" t="s">
        <v>55</v>
      </c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18" customHeight="1">
      <c r="A56" s="44" t="s">
        <v>216</v>
      </c>
      <c r="B56" s="45" t="s">
        <v>217</v>
      </c>
      <c r="C56" s="46" t="s">
        <v>218</v>
      </c>
      <c r="D56" s="47" t="s">
        <v>52</v>
      </c>
      <c r="E56" s="48">
        <v>18</v>
      </c>
      <c r="F56" s="49"/>
      <c r="G56" s="49">
        <f t="shared" si="0"/>
        <v>91</v>
      </c>
      <c r="H56" s="50" t="s">
        <v>53</v>
      </c>
      <c r="I56" s="51">
        <v>556</v>
      </c>
      <c r="J56" s="52">
        <v>781</v>
      </c>
      <c r="K56" s="53">
        <f t="shared" si="1"/>
        <v>14.614000000000001</v>
      </c>
      <c r="L56" s="50" t="s">
        <v>139</v>
      </c>
      <c r="M56" s="54" t="str">
        <f>VLOOKUP(L56,Packaging!$B$3:$C$21,2,0)</f>
        <v>810 X 160 X180</v>
      </c>
      <c r="N56" s="47"/>
      <c r="O56" s="47">
        <v>1</v>
      </c>
      <c r="P56" s="47" t="s">
        <v>55</v>
      </c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18" customHeight="1">
      <c r="A57" s="44" t="s">
        <v>219</v>
      </c>
      <c r="B57" s="45" t="s">
        <v>220</v>
      </c>
      <c r="C57" s="46" t="s">
        <v>221</v>
      </c>
      <c r="D57" s="47" t="s">
        <v>52</v>
      </c>
      <c r="E57" s="48">
        <v>20</v>
      </c>
      <c r="F57" s="49"/>
      <c r="G57" s="49">
        <f t="shared" si="0"/>
        <v>91</v>
      </c>
      <c r="H57" s="50" t="s">
        <v>53</v>
      </c>
      <c r="I57" s="51">
        <v>280</v>
      </c>
      <c r="J57" s="52">
        <v>419.2</v>
      </c>
      <c r="K57" s="53">
        <f t="shared" si="1"/>
        <v>8.6639999999999997</v>
      </c>
      <c r="L57" s="50" t="s">
        <v>54</v>
      </c>
      <c r="M57" s="54" t="str">
        <f>VLOOKUP(L57,Packaging!$B$3:$C$21,2,0)</f>
        <v>290 X 200 X 140</v>
      </c>
      <c r="N57" s="47"/>
      <c r="O57" s="47">
        <v>5</v>
      </c>
      <c r="P57" s="47" t="s">
        <v>55</v>
      </c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8" customHeight="1">
      <c r="A58" s="44" t="s">
        <v>222</v>
      </c>
      <c r="B58" s="47" t="s">
        <v>223</v>
      </c>
      <c r="C58" s="46" t="s">
        <v>224</v>
      </c>
      <c r="D58" s="47" t="s">
        <v>52</v>
      </c>
      <c r="E58" s="48">
        <v>20</v>
      </c>
      <c r="F58" s="49"/>
      <c r="G58" s="49">
        <f t="shared" si="0"/>
        <v>91</v>
      </c>
      <c r="H58" s="50" t="s">
        <v>53</v>
      </c>
      <c r="I58" s="56"/>
      <c r="J58" s="52">
        <v>4152.3999999999996</v>
      </c>
      <c r="K58" s="53">
        <f t="shared" si="1"/>
        <v>83.048000000000002</v>
      </c>
      <c r="L58" s="50" t="s">
        <v>79</v>
      </c>
      <c r="M58" s="54" t="str">
        <f>VLOOKUP(L58,Packaging!$B$3:$C$21,2,0)</f>
        <v>1000 X 880 X 1230</v>
      </c>
      <c r="N58" s="47"/>
      <c r="O58" s="47">
        <v>1</v>
      </c>
      <c r="P58" s="47" t="s">
        <v>55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18" customHeight="1">
      <c r="A59" s="59" t="s">
        <v>225</v>
      </c>
      <c r="B59" s="45" t="s">
        <v>226</v>
      </c>
      <c r="C59" s="46" t="s">
        <v>227</v>
      </c>
      <c r="D59" s="47" t="s">
        <v>52</v>
      </c>
      <c r="E59" s="48">
        <v>32</v>
      </c>
      <c r="F59" s="49"/>
      <c r="G59" s="49">
        <f t="shared" si="0"/>
        <v>91</v>
      </c>
      <c r="H59" s="50" t="s">
        <v>53</v>
      </c>
      <c r="I59" s="51">
        <v>280</v>
      </c>
      <c r="J59" s="52">
        <v>110</v>
      </c>
      <c r="K59" s="53">
        <f t="shared" si="1"/>
        <v>3.8</v>
      </c>
      <c r="L59" s="50" t="s">
        <v>54</v>
      </c>
      <c r="M59" s="54" t="str">
        <f>VLOOKUP(L59,Packaging!$B$3:$C$21,2,0)</f>
        <v>290 X 200 X 140</v>
      </c>
      <c r="N59" s="47"/>
      <c r="O59" s="47">
        <v>2</v>
      </c>
      <c r="P59" s="47" t="s">
        <v>55</v>
      </c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18" customHeight="1">
      <c r="A60" s="44" t="s">
        <v>228</v>
      </c>
      <c r="B60" s="45" t="s">
        <v>229</v>
      </c>
      <c r="C60" s="46" t="s">
        <v>230</v>
      </c>
      <c r="D60" s="47" t="s">
        <v>52</v>
      </c>
      <c r="E60" s="48">
        <v>9</v>
      </c>
      <c r="F60" s="49"/>
      <c r="G60" s="49">
        <f t="shared" si="0"/>
        <v>91</v>
      </c>
      <c r="H60" s="50" t="s">
        <v>53</v>
      </c>
      <c r="I60" s="51">
        <v>278</v>
      </c>
      <c r="J60" s="52">
        <v>332.2</v>
      </c>
      <c r="K60" s="53">
        <f t="shared" si="1"/>
        <v>3.2677999999999998</v>
      </c>
      <c r="L60" s="50" t="s">
        <v>161</v>
      </c>
      <c r="M60" s="54" t="str">
        <f>VLOOKUP(L60,Packaging!$B$3:$C$21,2,0)</f>
        <v>360 X 270 X 128</v>
      </c>
      <c r="N60" s="47"/>
      <c r="O60" s="47">
        <v>1</v>
      </c>
      <c r="P60" s="47" t="s">
        <v>55</v>
      </c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18" customHeight="1">
      <c r="A61" s="44" t="s">
        <v>231</v>
      </c>
      <c r="B61" s="47" t="s">
        <v>232</v>
      </c>
      <c r="C61" s="46" t="s">
        <v>233</v>
      </c>
      <c r="D61" s="47" t="s">
        <v>52</v>
      </c>
      <c r="E61" s="48">
        <v>250</v>
      </c>
      <c r="F61" s="49"/>
      <c r="G61" s="49">
        <f t="shared" si="0"/>
        <v>91</v>
      </c>
      <c r="H61" s="50" t="s">
        <v>53</v>
      </c>
      <c r="I61" s="51">
        <v>280</v>
      </c>
      <c r="J61" s="52">
        <v>87.4</v>
      </c>
      <c r="K61" s="53">
        <f t="shared" si="1"/>
        <v>22.13</v>
      </c>
      <c r="L61" s="50" t="s">
        <v>54</v>
      </c>
      <c r="M61" s="54" t="str">
        <f>VLOOKUP(L61,Packaging!$B$3:$C$21,2,0)</f>
        <v>290 X 200 X 140</v>
      </c>
      <c r="N61" s="47"/>
      <c r="O61" s="47">
        <v>50</v>
      </c>
      <c r="P61" s="47" t="s">
        <v>55</v>
      </c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18" customHeight="1">
      <c r="A62" s="44" t="s">
        <v>234</v>
      </c>
      <c r="B62" s="45" t="s">
        <v>235</v>
      </c>
      <c r="C62" s="46" t="s">
        <v>236</v>
      </c>
      <c r="D62" s="47" t="s">
        <v>52</v>
      </c>
      <c r="E62" s="48">
        <v>9</v>
      </c>
      <c r="F62" s="49"/>
      <c r="G62" s="49">
        <f t="shared" si="0"/>
        <v>91</v>
      </c>
      <c r="H62" s="50" t="s">
        <v>53</v>
      </c>
      <c r="I62" s="51">
        <v>278</v>
      </c>
      <c r="J62" s="52">
        <v>320</v>
      </c>
      <c r="K62" s="53">
        <f t="shared" si="1"/>
        <v>3.1579999999999999</v>
      </c>
      <c r="L62" s="50" t="s">
        <v>161</v>
      </c>
      <c r="M62" s="54" t="str">
        <f>VLOOKUP(L62,Packaging!$B$3:$C$21,2,0)</f>
        <v>360 X 270 X 128</v>
      </c>
      <c r="N62" s="60" t="s">
        <v>237</v>
      </c>
      <c r="O62" s="47">
        <v>1</v>
      </c>
      <c r="P62" s="47" t="s">
        <v>55</v>
      </c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18" customHeight="1">
      <c r="A63" s="44" t="s">
        <v>238</v>
      </c>
      <c r="B63" s="45" t="s">
        <v>239</v>
      </c>
      <c r="C63" s="46" t="s">
        <v>240</v>
      </c>
      <c r="D63" s="47" t="s">
        <v>52</v>
      </c>
      <c r="E63" s="48">
        <v>600</v>
      </c>
      <c r="F63" s="49"/>
      <c r="G63" s="49">
        <f t="shared" si="0"/>
        <v>91</v>
      </c>
      <c r="H63" s="50" t="s">
        <v>53</v>
      </c>
      <c r="I63" s="51">
        <v>280</v>
      </c>
      <c r="J63" s="52">
        <v>8.4</v>
      </c>
      <c r="K63" s="53">
        <f t="shared" si="1"/>
        <v>5.32</v>
      </c>
      <c r="L63" s="50" t="s">
        <v>54</v>
      </c>
      <c r="M63" s="54" t="str">
        <f>VLOOKUP(L63,Packaging!$B$3:$C$21,2,0)</f>
        <v>290 X 200 X 140</v>
      </c>
      <c r="N63" s="47"/>
      <c r="O63" s="47">
        <v>150</v>
      </c>
      <c r="P63" s="47" t="s">
        <v>55</v>
      </c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18" customHeight="1">
      <c r="A64" s="44" t="s">
        <v>241</v>
      </c>
      <c r="B64" s="45" t="s">
        <v>242</v>
      </c>
      <c r="C64" s="46" t="s">
        <v>243</v>
      </c>
      <c r="D64" s="47" t="s">
        <v>52</v>
      </c>
      <c r="E64" s="48">
        <v>400</v>
      </c>
      <c r="F64" s="49"/>
      <c r="G64" s="49">
        <f t="shared" si="0"/>
        <v>91</v>
      </c>
      <c r="H64" s="50" t="s">
        <v>53</v>
      </c>
      <c r="I64" s="51">
        <v>278</v>
      </c>
      <c r="J64" s="52">
        <v>12.4</v>
      </c>
      <c r="K64" s="53">
        <f t="shared" si="1"/>
        <v>5.2380000000000004</v>
      </c>
      <c r="L64" s="50" t="s">
        <v>161</v>
      </c>
      <c r="M64" s="54" t="str">
        <f>VLOOKUP(L64,Packaging!$B$3:$C$21,2,0)</f>
        <v>360 X 270 X 128</v>
      </c>
      <c r="N64" s="47"/>
      <c r="O64" s="47">
        <v>50</v>
      </c>
      <c r="P64" s="47" t="s">
        <v>55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18" customHeight="1">
      <c r="A65" s="44" t="s">
        <v>244</v>
      </c>
      <c r="B65" s="45" t="s">
        <v>245</v>
      </c>
      <c r="C65" s="46" t="s">
        <v>246</v>
      </c>
      <c r="D65" s="47" t="s">
        <v>52</v>
      </c>
      <c r="E65" s="48">
        <v>600</v>
      </c>
      <c r="F65" s="49"/>
      <c r="G65" s="49">
        <f t="shared" si="0"/>
        <v>91</v>
      </c>
      <c r="H65" s="50" t="s">
        <v>53</v>
      </c>
      <c r="I65" s="51">
        <v>280</v>
      </c>
      <c r="J65" s="52">
        <v>7.8</v>
      </c>
      <c r="K65" s="53">
        <f t="shared" si="1"/>
        <v>4.96</v>
      </c>
      <c r="L65" s="50" t="s">
        <v>54</v>
      </c>
      <c r="M65" s="54" t="str">
        <f>VLOOKUP(L65,Packaging!$B$3:$C$21,2,0)</f>
        <v>290 X 200 X 140</v>
      </c>
      <c r="N65" s="47"/>
      <c r="O65" s="47">
        <v>150</v>
      </c>
      <c r="P65" s="47" t="s">
        <v>55</v>
      </c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18" customHeight="1">
      <c r="A66" s="44" t="s">
        <v>247</v>
      </c>
      <c r="B66" s="45" t="s">
        <v>248</v>
      </c>
      <c r="C66" s="46" t="s">
        <v>249</v>
      </c>
      <c r="D66" s="47" t="s">
        <v>52</v>
      </c>
      <c r="E66" s="48">
        <v>30</v>
      </c>
      <c r="F66" s="49"/>
      <c r="G66" s="49">
        <f t="shared" si="0"/>
        <v>91</v>
      </c>
      <c r="H66" s="50" t="s">
        <v>53</v>
      </c>
      <c r="I66" s="51">
        <v>278</v>
      </c>
      <c r="J66" s="52">
        <v>124.4</v>
      </c>
      <c r="K66" s="53">
        <f t="shared" si="1"/>
        <v>4.01</v>
      </c>
      <c r="L66" s="50" t="s">
        <v>161</v>
      </c>
      <c r="M66" s="54" t="str">
        <f>VLOOKUP(L66,Packaging!$B$3:$C$21,2,0)</f>
        <v>360 X 270 X 128</v>
      </c>
      <c r="N66" s="47"/>
      <c r="O66" s="47">
        <v>1</v>
      </c>
      <c r="P66" s="47" t="s">
        <v>55</v>
      </c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18" customHeight="1">
      <c r="A67" s="44" t="s">
        <v>250</v>
      </c>
      <c r="B67" s="45" t="s">
        <v>251</v>
      </c>
      <c r="C67" s="46" t="s">
        <v>252</v>
      </c>
      <c r="D67" s="47" t="s">
        <v>52</v>
      </c>
      <c r="E67" s="48">
        <v>1000</v>
      </c>
      <c r="F67" s="49"/>
      <c r="G67" s="49">
        <f t="shared" si="0"/>
        <v>91</v>
      </c>
      <c r="H67" s="50" t="s">
        <v>53</v>
      </c>
      <c r="I67" s="51">
        <v>280</v>
      </c>
      <c r="J67" s="52">
        <v>10</v>
      </c>
      <c r="K67" s="53">
        <f t="shared" si="1"/>
        <v>10.28</v>
      </c>
      <c r="L67" s="50" t="s">
        <v>54</v>
      </c>
      <c r="M67" s="54" t="str">
        <f>VLOOKUP(L67,Packaging!$B$3:$C$21,2,0)</f>
        <v>290 X 200 X 140</v>
      </c>
      <c r="N67" s="47"/>
      <c r="O67" s="47">
        <v>10</v>
      </c>
      <c r="P67" s="47" t="s">
        <v>55</v>
      </c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" customHeight="1">
      <c r="A68" s="44" t="s">
        <v>253</v>
      </c>
      <c r="B68" s="45" t="s">
        <v>254</v>
      </c>
      <c r="C68" s="46" t="s">
        <v>255</v>
      </c>
      <c r="D68" s="47" t="s">
        <v>52</v>
      </c>
      <c r="E68" s="48">
        <v>30</v>
      </c>
      <c r="F68" s="49"/>
      <c r="G68" s="49">
        <f t="shared" si="0"/>
        <v>91</v>
      </c>
      <c r="H68" s="50" t="s">
        <v>53</v>
      </c>
      <c r="I68" s="51">
        <v>430</v>
      </c>
      <c r="J68" s="52">
        <v>333.6</v>
      </c>
      <c r="K68" s="53">
        <f t="shared" si="1"/>
        <v>10.438000000000001</v>
      </c>
      <c r="L68" s="50" t="s">
        <v>83</v>
      </c>
      <c r="M68" s="54" t="str">
        <f>VLOOKUP(L68,Packaging!$B$3:$C$21,2,0)</f>
        <v>560 X 175 X 155</v>
      </c>
      <c r="N68" s="47"/>
      <c r="O68" s="47">
        <v>5</v>
      </c>
      <c r="P68" s="47" t="s">
        <v>55</v>
      </c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" customHeight="1">
      <c r="A69" s="44" t="s">
        <v>256</v>
      </c>
      <c r="B69" s="45" t="s">
        <v>257</v>
      </c>
      <c r="C69" s="46" t="s">
        <v>258</v>
      </c>
      <c r="D69" s="47" t="s">
        <v>52</v>
      </c>
      <c r="E69" s="48">
        <v>30</v>
      </c>
      <c r="F69" s="49"/>
      <c r="G69" s="49">
        <f t="shared" si="0"/>
        <v>91</v>
      </c>
      <c r="H69" s="50" t="s">
        <v>53</v>
      </c>
      <c r="I69" s="51">
        <v>430</v>
      </c>
      <c r="J69" s="52">
        <v>333.6</v>
      </c>
      <c r="K69" s="53">
        <f t="shared" si="1"/>
        <v>10.438000000000001</v>
      </c>
      <c r="L69" s="50" t="s">
        <v>83</v>
      </c>
      <c r="M69" s="54" t="str">
        <f>VLOOKUP(L69,Packaging!$B$3:$C$21,2,0)</f>
        <v>560 X 175 X 155</v>
      </c>
      <c r="N69" s="47"/>
      <c r="O69" s="47">
        <v>5</v>
      </c>
      <c r="P69" s="47" t="s">
        <v>55</v>
      </c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" customHeight="1">
      <c r="A70" s="44" t="s">
        <v>259</v>
      </c>
      <c r="B70" s="47" t="s">
        <v>260</v>
      </c>
      <c r="C70" s="46" t="s">
        <v>261</v>
      </c>
      <c r="D70" s="47" t="s">
        <v>52</v>
      </c>
      <c r="E70" s="48">
        <v>100</v>
      </c>
      <c r="F70" s="49"/>
      <c r="G70" s="49">
        <f t="shared" si="0"/>
        <v>91</v>
      </c>
      <c r="H70" s="50" t="s">
        <v>53</v>
      </c>
      <c r="I70" s="51">
        <v>278</v>
      </c>
      <c r="J70" s="52">
        <v>36</v>
      </c>
      <c r="K70" s="53">
        <f t="shared" si="1"/>
        <v>3.8780000000000001</v>
      </c>
      <c r="L70" s="50" t="s">
        <v>161</v>
      </c>
      <c r="M70" s="54" t="str">
        <f>VLOOKUP(L70,Packaging!$B$3:$C$21,2,0)</f>
        <v>360 X 270 X 128</v>
      </c>
      <c r="N70" s="47"/>
      <c r="O70" s="47">
        <v>4</v>
      </c>
      <c r="P70" s="47" t="s">
        <v>55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18" customHeight="1">
      <c r="A71" s="44" t="s">
        <v>262</v>
      </c>
      <c r="B71" s="47" t="s">
        <v>263</v>
      </c>
      <c r="C71" s="46" t="s">
        <v>264</v>
      </c>
      <c r="D71" s="47" t="s">
        <v>52</v>
      </c>
      <c r="E71" s="48">
        <v>20</v>
      </c>
      <c r="F71" s="49"/>
      <c r="G71" s="49">
        <f t="shared" si="0"/>
        <v>91</v>
      </c>
      <c r="H71" s="50" t="s">
        <v>53</v>
      </c>
      <c r="I71" s="51">
        <v>580</v>
      </c>
      <c r="J71" s="52">
        <v>952.4</v>
      </c>
      <c r="K71" s="53">
        <f t="shared" si="1"/>
        <v>19.628</v>
      </c>
      <c r="L71" s="50" t="s">
        <v>101</v>
      </c>
      <c r="M71" s="54" t="str">
        <f>VLOOKUP(L71,Packaging!$B$3:$C$21,2,0)</f>
        <v>1380 X 150 X 80</v>
      </c>
      <c r="N71" s="47"/>
      <c r="O71" s="47">
        <v>20</v>
      </c>
      <c r="P71" s="47" t="s">
        <v>55</v>
      </c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18" customHeight="1">
      <c r="A72" s="44" t="s">
        <v>265</v>
      </c>
      <c r="B72" s="47" t="s">
        <v>266</v>
      </c>
      <c r="C72" s="46" t="s">
        <v>267</v>
      </c>
      <c r="D72" s="47" t="s">
        <v>52</v>
      </c>
      <c r="E72" s="48">
        <v>1000</v>
      </c>
      <c r="F72" s="49"/>
      <c r="G72" s="49">
        <f t="shared" si="0"/>
        <v>91</v>
      </c>
      <c r="H72" s="50" t="s">
        <v>53</v>
      </c>
      <c r="I72" s="51">
        <v>280</v>
      </c>
      <c r="J72" s="52">
        <v>1.6</v>
      </c>
      <c r="K72" s="53">
        <f t="shared" si="1"/>
        <v>1.88</v>
      </c>
      <c r="L72" s="50" t="s">
        <v>54</v>
      </c>
      <c r="M72" s="54" t="str">
        <f>VLOOKUP(L72,Packaging!$B$3:$C$21,2,0)</f>
        <v>290 X 200 X 140</v>
      </c>
      <c r="N72" s="47"/>
      <c r="O72" s="47">
        <v>250</v>
      </c>
      <c r="P72" s="47" t="s">
        <v>55</v>
      </c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18" customHeight="1">
      <c r="A73" s="44" t="s">
        <v>268</v>
      </c>
      <c r="B73" s="47" t="s">
        <v>269</v>
      </c>
      <c r="C73" s="46" t="s">
        <v>270</v>
      </c>
      <c r="D73" s="47" t="s">
        <v>52</v>
      </c>
      <c r="E73" s="48">
        <v>500</v>
      </c>
      <c r="F73" s="49"/>
      <c r="G73" s="49">
        <f t="shared" si="0"/>
        <v>91</v>
      </c>
      <c r="H73" s="50" t="s">
        <v>53</v>
      </c>
      <c r="I73" s="51">
        <v>280</v>
      </c>
      <c r="J73" s="52">
        <v>25</v>
      </c>
      <c r="K73" s="53">
        <f t="shared" si="1"/>
        <v>12.78</v>
      </c>
      <c r="L73" s="50" t="s">
        <v>54</v>
      </c>
      <c r="M73" s="54" t="str">
        <f>VLOOKUP(L73,Packaging!$B$3:$C$21,2,0)</f>
        <v>290 X 200 X 140</v>
      </c>
      <c r="N73" s="47"/>
      <c r="O73" s="47">
        <v>50</v>
      </c>
      <c r="P73" s="47" t="s">
        <v>55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18" customHeight="1">
      <c r="A74" s="44" t="s">
        <v>271</v>
      </c>
      <c r="B74" s="47" t="s">
        <v>272</v>
      </c>
      <c r="C74" s="46" t="s">
        <v>273</v>
      </c>
      <c r="D74" s="47" t="s">
        <v>52</v>
      </c>
      <c r="E74" s="48">
        <v>170</v>
      </c>
      <c r="F74" s="49"/>
      <c r="G74" s="49">
        <f t="shared" si="0"/>
        <v>91</v>
      </c>
      <c r="H74" s="50" t="s">
        <v>53</v>
      </c>
      <c r="I74" s="51">
        <v>244</v>
      </c>
      <c r="J74" s="52">
        <v>52.8</v>
      </c>
      <c r="K74" s="53">
        <f t="shared" si="1"/>
        <v>9.2200000000000006</v>
      </c>
      <c r="L74" s="50" t="s">
        <v>274</v>
      </c>
      <c r="M74" s="54" t="str">
        <f>VLOOKUP(L74,Packaging!$B$3:$C$21,2,0)</f>
        <v>290 X 200 X 100</v>
      </c>
      <c r="N74" s="47"/>
      <c r="O74" s="47">
        <v>10</v>
      </c>
      <c r="P74" s="47" t="s">
        <v>55</v>
      </c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" customHeight="1">
      <c r="A75" s="44" t="s">
        <v>275</v>
      </c>
      <c r="B75" s="45" t="s">
        <v>276</v>
      </c>
      <c r="C75" s="46" t="s">
        <v>277</v>
      </c>
      <c r="D75" s="47" t="s">
        <v>52</v>
      </c>
      <c r="E75" s="48">
        <v>250</v>
      </c>
      <c r="F75" s="49"/>
      <c r="G75" s="49">
        <f t="shared" si="0"/>
        <v>91</v>
      </c>
      <c r="H75" s="50" t="s">
        <v>53</v>
      </c>
      <c r="I75" s="51">
        <v>280</v>
      </c>
      <c r="J75" s="52">
        <v>91.4</v>
      </c>
      <c r="K75" s="53">
        <f t="shared" si="1"/>
        <v>23.13</v>
      </c>
      <c r="L75" s="50" t="s">
        <v>54</v>
      </c>
      <c r="M75" s="54" t="str">
        <f>VLOOKUP(L75,Packaging!$B$3:$C$21,2,0)</f>
        <v>290 X 200 X 140</v>
      </c>
      <c r="N75" s="47"/>
      <c r="O75" s="47">
        <v>50</v>
      </c>
      <c r="P75" s="47" t="s">
        <v>55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18" customHeight="1">
      <c r="A76" s="44" t="s">
        <v>278</v>
      </c>
      <c r="B76" s="47" t="s">
        <v>279</v>
      </c>
      <c r="C76" s="46" t="s">
        <v>280</v>
      </c>
      <c r="D76" s="47" t="s">
        <v>52</v>
      </c>
      <c r="E76" s="48">
        <v>200</v>
      </c>
      <c r="F76" s="49"/>
      <c r="G76" s="49">
        <f t="shared" si="0"/>
        <v>91</v>
      </c>
      <c r="H76" s="50" t="s">
        <v>53</v>
      </c>
      <c r="I76" s="51">
        <v>280</v>
      </c>
      <c r="J76" s="52">
        <v>16</v>
      </c>
      <c r="K76" s="53">
        <f t="shared" si="1"/>
        <v>3.48</v>
      </c>
      <c r="L76" s="50" t="s">
        <v>54</v>
      </c>
      <c r="M76" s="54" t="str">
        <f>VLOOKUP(L76,Packaging!$B$3:$C$21,2,0)</f>
        <v>290 X 200 X 140</v>
      </c>
      <c r="N76" s="47"/>
      <c r="O76" s="47">
        <v>10</v>
      </c>
      <c r="P76" s="47" t="s">
        <v>55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18" customHeight="1">
      <c r="A77" s="44" t="s">
        <v>281</v>
      </c>
      <c r="B77" s="45" t="s">
        <v>282</v>
      </c>
      <c r="C77" s="46" t="s">
        <v>283</v>
      </c>
      <c r="D77" s="47" t="s">
        <v>52</v>
      </c>
      <c r="E77" s="48">
        <v>30</v>
      </c>
      <c r="F77" s="49"/>
      <c r="G77" s="49">
        <f t="shared" si="0"/>
        <v>91</v>
      </c>
      <c r="H77" s="50" t="s">
        <v>53</v>
      </c>
      <c r="I77" s="51">
        <v>378</v>
      </c>
      <c r="J77" s="52">
        <v>290</v>
      </c>
      <c r="K77" s="53">
        <f t="shared" si="1"/>
        <v>9.0779999999999994</v>
      </c>
      <c r="L77" s="50" t="s">
        <v>91</v>
      </c>
      <c r="M77" s="54" t="str">
        <f>VLOOKUP(L77,Packaging!$B$3:$C$21,2,0)</f>
        <v>400 X 240 X 130</v>
      </c>
      <c r="N77" s="47"/>
      <c r="O77" s="47">
        <v>1</v>
      </c>
      <c r="P77" s="47" t="s">
        <v>55</v>
      </c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18" customHeight="1">
      <c r="A78" s="44" t="s">
        <v>284</v>
      </c>
      <c r="B78" s="47" t="s">
        <v>285</v>
      </c>
      <c r="C78" s="46" t="s">
        <v>286</v>
      </c>
      <c r="D78" s="47" t="s">
        <v>52</v>
      </c>
      <c r="E78" s="48">
        <v>36</v>
      </c>
      <c r="F78" s="49"/>
      <c r="G78" s="49">
        <f t="shared" si="0"/>
        <v>91</v>
      </c>
      <c r="H78" s="50" t="s">
        <v>53</v>
      </c>
      <c r="I78" s="51">
        <v>766</v>
      </c>
      <c r="J78" s="52">
        <v>198.8</v>
      </c>
      <c r="K78" s="53">
        <f t="shared" si="1"/>
        <v>7.9228000000000005</v>
      </c>
      <c r="L78" s="50" t="s">
        <v>72</v>
      </c>
      <c r="M78" s="54" t="str">
        <f>VLOOKUP(L78,Packaging!$B$3:$C$21,2,0)</f>
        <v>390 X 350 X 280</v>
      </c>
      <c r="N78" s="47"/>
      <c r="O78" s="47">
        <v>2</v>
      </c>
      <c r="P78" s="47" t="s">
        <v>55</v>
      </c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18" customHeight="1">
      <c r="A79" s="44" t="s">
        <v>287</v>
      </c>
      <c r="B79" s="47" t="s">
        <v>288</v>
      </c>
      <c r="C79" s="46" t="s">
        <v>289</v>
      </c>
      <c r="D79" s="47" t="s">
        <v>52</v>
      </c>
      <c r="E79" s="48">
        <v>36</v>
      </c>
      <c r="F79" s="49"/>
      <c r="G79" s="49">
        <f t="shared" si="0"/>
        <v>91</v>
      </c>
      <c r="H79" s="50" t="s">
        <v>53</v>
      </c>
      <c r="I79" s="51">
        <v>766</v>
      </c>
      <c r="J79" s="52">
        <v>198.8</v>
      </c>
      <c r="K79" s="53">
        <f t="shared" si="1"/>
        <v>7.9228000000000005</v>
      </c>
      <c r="L79" s="50" t="s">
        <v>72</v>
      </c>
      <c r="M79" s="54" t="str">
        <f>VLOOKUP(L79,Packaging!$B$3:$C$21,2,0)</f>
        <v>390 X 350 X 280</v>
      </c>
      <c r="N79" s="47" t="s">
        <v>290</v>
      </c>
      <c r="O79" s="47">
        <v>2</v>
      </c>
      <c r="P79" s="47" t="s">
        <v>55</v>
      </c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18" customHeight="1">
      <c r="A80" s="44" t="s">
        <v>291</v>
      </c>
      <c r="B80" s="47" t="s">
        <v>292</v>
      </c>
      <c r="C80" s="46" t="s">
        <v>293</v>
      </c>
      <c r="D80" s="47" t="s">
        <v>52</v>
      </c>
      <c r="E80" s="48">
        <v>54</v>
      </c>
      <c r="F80" s="49"/>
      <c r="G80" s="49">
        <f t="shared" si="0"/>
        <v>91</v>
      </c>
      <c r="H80" s="50" t="s">
        <v>53</v>
      </c>
      <c r="I80" s="51">
        <v>766</v>
      </c>
      <c r="J80" s="52">
        <v>128</v>
      </c>
      <c r="K80" s="53">
        <f t="shared" si="1"/>
        <v>7.6779999999999999</v>
      </c>
      <c r="L80" s="50" t="s">
        <v>72</v>
      </c>
      <c r="M80" s="54" t="str">
        <f>VLOOKUP(L80,Packaging!$B$3:$C$21,2,0)</f>
        <v>390 X 350 X 280</v>
      </c>
      <c r="N80" s="47"/>
      <c r="O80" s="47">
        <v>2</v>
      </c>
      <c r="P80" s="47" t="s">
        <v>55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18" customHeight="1">
      <c r="A81" s="44" t="s">
        <v>294</v>
      </c>
      <c r="B81" s="47" t="s">
        <v>295</v>
      </c>
      <c r="C81" s="46" t="s">
        <v>296</v>
      </c>
      <c r="D81" s="47" t="s">
        <v>52</v>
      </c>
      <c r="E81" s="48">
        <v>54</v>
      </c>
      <c r="F81" s="49"/>
      <c r="G81" s="49">
        <f t="shared" si="0"/>
        <v>91</v>
      </c>
      <c r="H81" s="50" t="s">
        <v>53</v>
      </c>
      <c r="I81" s="51">
        <v>766</v>
      </c>
      <c r="J81" s="52">
        <v>128</v>
      </c>
      <c r="K81" s="53">
        <f t="shared" si="1"/>
        <v>7.6779999999999999</v>
      </c>
      <c r="L81" s="50" t="s">
        <v>72</v>
      </c>
      <c r="M81" s="54" t="str">
        <f>VLOOKUP(L81,Packaging!$B$3:$C$21,2,0)</f>
        <v>390 X 350 X 280</v>
      </c>
      <c r="N81" s="47"/>
      <c r="O81" s="47">
        <v>2</v>
      </c>
      <c r="P81" s="47" t="s">
        <v>55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18" customHeight="1">
      <c r="A82" s="44" t="s">
        <v>297</v>
      </c>
      <c r="B82" s="47" t="s">
        <v>298</v>
      </c>
      <c r="C82" s="46" t="s">
        <v>299</v>
      </c>
      <c r="D82" s="47" t="s">
        <v>52</v>
      </c>
      <c r="E82" s="48">
        <v>54</v>
      </c>
      <c r="F82" s="49"/>
      <c r="G82" s="49">
        <f t="shared" si="0"/>
        <v>91</v>
      </c>
      <c r="H82" s="50" t="s">
        <v>53</v>
      </c>
      <c r="I82" s="51">
        <v>766</v>
      </c>
      <c r="J82" s="52">
        <v>128</v>
      </c>
      <c r="K82" s="53">
        <f t="shared" si="1"/>
        <v>7.6779999999999999</v>
      </c>
      <c r="L82" s="50" t="s">
        <v>72</v>
      </c>
      <c r="M82" s="54" t="str">
        <f>VLOOKUP(L82,Packaging!$B$3:$C$21,2,0)</f>
        <v>390 X 350 X 280</v>
      </c>
      <c r="N82" s="47"/>
      <c r="O82" s="47">
        <v>2</v>
      </c>
      <c r="P82" s="47" t="s">
        <v>55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18" customHeight="1">
      <c r="A83" s="44" t="s">
        <v>300</v>
      </c>
      <c r="B83" s="45" t="s">
        <v>301</v>
      </c>
      <c r="C83" s="46" t="s">
        <v>302</v>
      </c>
      <c r="D83" s="47" t="s">
        <v>52</v>
      </c>
      <c r="E83" s="48">
        <v>300</v>
      </c>
      <c r="F83" s="49"/>
      <c r="G83" s="49">
        <f t="shared" si="0"/>
        <v>91</v>
      </c>
      <c r="H83" s="50" t="s">
        <v>53</v>
      </c>
      <c r="I83" s="51">
        <v>280</v>
      </c>
      <c r="J83" s="52">
        <v>22</v>
      </c>
      <c r="K83" s="53">
        <f t="shared" si="1"/>
        <v>6.88</v>
      </c>
      <c r="L83" s="50" t="s">
        <v>54</v>
      </c>
      <c r="M83" s="54" t="str">
        <f>VLOOKUP(L83,Packaging!$B$3:$C$21,2,0)</f>
        <v>290 X 200 X 140</v>
      </c>
      <c r="N83" s="47"/>
      <c r="O83" s="47">
        <v>30</v>
      </c>
      <c r="P83" s="47" t="s">
        <v>55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18" customHeight="1">
      <c r="A84" s="44" t="s">
        <v>303</v>
      </c>
      <c r="B84" s="47" t="s">
        <v>304</v>
      </c>
      <c r="C84" s="46" t="s">
        <v>305</v>
      </c>
      <c r="D84" s="47" t="s">
        <v>52</v>
      </c>
      <c r="E84" s="48">
        <v>100</v>
      </c>
      <c r="F84" s="49"/>
      <c r="G84" s="49">
        <f t="shared" si="0"/>
        <v>91</v>
      </c>
      <c r="H84" s="50" t="s">
        <v>53</v>
      </c>
      <c r="I84" s="51">
        <v>280</v>
      </c>
      <c r="J84" s="52">
        <v>110</v>
      </c>
      <c r="K84" s="53">
        <f t="shared" si="1"/>
        <v>11.28</v>
      </c>
      <c r="L84" s="50" t="s">
        <v>54</v>
      </c>
      <c r="M84" s="54" t="str">
        <f>VLOOKUP(L84,Packaging!$B$3:$C$21,2,0)</f>
        <v>290 X 200 X 140</v>
      </c>
      <c r="N84" s="47"/>
      <c r="O84" s="47">
        <v>5</v>
      </c>
      <c r="P84" s="47" t="s">
        <v>55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18" customHeight="1">
      <c r="A85" s="44" t="s">
        <v>306</v>
      </c>
      <c r="B85" s="47" t="s">
        <v>307</v>
      </c>
      <c r="C85" s="46" t="s">
        <v>308</v>
      </c>
      <c r="D85" s="47" t="s">
        <v>52</v>
      </c>
      <c r="E85" s="48">
        <v>1000</v>
      </c>
      <c r="F85" s="49"/>
      <c r="G85" s="49">
        <f t="shared" si="0"/>
        <v>91</v>
      </c>
      <c r="H85" s="50" t="s">
        <v>53</v>
      </c>
      <c r="I85" s="51">
        <v>280</v>
      </c>
      <c r="J85" s="52">
        <v>10</v>
      </c>
      <c r="K85" s="53">
        <f t="shared" si="1"/>
        <v>10.28</v>
      </c>
      <c r="L85" s="50" t="s">
        <v>54</v>
      </c>
      <c r="M85" s="54" t="str">
        <f>VLOOKUP(L85,Packaging!$B$3:$C$21,2,0)</f>
        <v>290 X 200 X 140</v>
      </c>
      <c r="N85" s="47"/>
      <c r="O85" s="47">
        <v>25</v>
      </c>
      <c r="P85" s="47" t="s">
        <v>55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18" customHeight="1">
      <c r="A86" s="44" t="s">
        <v>309</v>
      </c>
      <c r="B86" s="47" t="s">
        <v>310</v>
      </c>
      <c r="C86" s="46" t="s">
        <v>311</v>
      </c>
      <c r="D86" s="47" t="s">
        <v>52</v>
      </c>
      <c r="E86" s="48">
        <v>400</v>
      </c>
      <c r="F86" s="49"/>
      <c r="G86" s="49">
        <f t="shared" si="0"/>
        <v>91</v>
      </c>
      <c r="H86" s="50" t="s">
        <v>53</v>
      </c>
      <c r="I86" s="51">
        <v>280</v>
      </c>
      <c r="J86" s="52">
        <v>21</v>
      </c>
      <c r="K86" s="53">
        <f t="shared" si="1"/>
        <v>8.68</v>
      </c>
      <c r="L86" s="50" t="s">
        <v>54</v>
      </c>
      <c r="M86" s="54" t="str">
        <f>VLOOKUP(L86,Packaging!$B$3:$C$21,2,0)</f>
        <v>290 X 200 X 140</v>
      </c>
      <c r="N86" s="47"/>
      <c r="O86" s="47">
        <v>10</v>
      </c>
      <c r="P86" s="47" t="s">
        <v>55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18" customHeight="1">
      <c r="A87" s="44" t="s">
        <v>312</v>
      </c>
      <c r="B87" s="47" t="s">
        <v>313</v>
      </c>
      <c r="C87" s="46" t="s">
        <v>314</v>
      </c>
      <c r="D87" s="47" t="s">
        <v>52</v>
      </c>
      <c r="E87" s="48">
        <v>200</v>
      </c>
      <c r="F87" s="49"/>
      <c r="G87" s="49">
        <f t="shared" si="0"/>
        <v>91</v>
      </c>
      <c r="H87" s="50" t="s">
        <v>53</v>
      </c>
      <c r="I87" s="51">
        <v>278</v>
      </c>
      <c r="J87" s="52">
        <v>33.799999999999997</v>
      </c>
      <c r="K87" s="53">
        <f t="shared" si="1"/>
        <v>7.0379999999999994</v>
      </c>
      <c r="L87" s="61" t="s">
        <v>161</v>
      </c>
      <c r="M87" s="54" t="str">
        <f>VLOOKUP(L87,Packaging!$B$3:$C$21,2,0)</f>
        <v>360 X 270 X 128</v>
      </c>
      <c r="N87" s="47"/>
      <c r="O87" s="47">
        <v>10</v>
      </c>
      <c r="P87" s="47" t="s">
        <v>55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18" customHeight="1">
      <c r="A88" s="44" t="s">
        <v>315</v>
      </c>
      <c r="B88" s="47" t="s">
        <v>316</v>
      </c>
      <c r="C88" s="46" t="s">
        <v>317</v>
      </c>
      <c r="D88" s="47" t="s">
        <v>52</v>
      </c>
      <c r="E88" s="48">
        <v>200</v>
      </c>
      <c r="F88" s="49"/>
      <c r="G88" s="49">
        <f t="shared" si="0"/>
        <v>91</v>
      </c>
      <c r="H88" s="50" t="s">
        <v>53</v>
      </c>
      <c r="I88" s="51">
        <v>278</v>
      </c>
      <c r="J88" s="52">
        <v>40</v>
      </c>
      <c r="K88" s="53">
        <f t="shared" si="1"/>
        <v>8.2780000000000005</v>
      </c>
      <c r="L88" s="61" t="s">
        <v>161</v>
      </c>
      <c r="M88" s="54" t="str">
        <f>VLOOKUP(L88,Packaging!$B$3:$C$21,2,0)</f>
        <v>360 X 270 X 128</v>
      </c>
      <c r="N88" s="47"/>
      <c r="O88" s="47">
        <v>10</v>
      </c>
      <c r="P88" s="47" t="s">
        <v>55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18" customHeight="1">
      <c r="A89" s="44" t="s">
        <v>318</v>
      </c>
      <c r="B89" s="47" t="s">
        <v>319</v>
      </c>
      <c r="C89" s="46" t="s">
        <v>320</v>
      </c>
      <c r="D89" s="47" t="s">
        <v>52</v>
      </c>
      <c r="E89" s="48">
        <v>150</v>
      </c>
      <c r="F89" s="49"/>
      <c r="G89" s="49">
        <f t="shared" si="0"/>
        <v>91</v>
      </c>
      <c r="H89" s="50" t="s">
        <v>53</v>
      </c>
      <c r="I89" s="51">
        <v>280</v>
      </c>
      <c r="J89" s="52">
        <v>32</v>
      </c>
      <c r="K89" s="53">
        <f t="shared" si="1"/>
        <v>5.08</v>
      </c>
      <c r="L89" s="50" t="s">
        <v>54</v>
      </c>
      <c r="M89" s="54" t="str">
        <f>VLOOKUP(L89,Packaging!$B$3:$C$21,2,0)</f>
        <v>290 X 200 X 140</v>
      </c>
      <c r="N89" s="47" t="s">
        <v>321</v>
      </c>
      <c r="O89" s="47">
        <v>10</v>
      </c>
      <c r="P89" s="47" t="s">
        <v>55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18" customHeight="1">
      <c r="A90" s="44" t="s">
        <v>322</v>
      </c>
      <c r="B90" s="47" t="s">
        <v>323</v>
      </c>
      <c r="C90" s="46" t="s">
        <v>324</v>
      </c>
      <c r="D90" s="47" t="s">
        <v>52</v>
      </c>
      <c r="E90" s="48">
        <v>150</v>
      </c>
      <c r="F90" s="49"/>
      <c r="G90" s="49">
        <f t="shared" si="0"/>
        <v>91</v>
      </c>
      <c r="H90" s="50" t="s">
        <v>53</v>
      </c>
      <c r="I90" s="51">
        <v>280</v>
      </c>
      <c r="J90" s="52">
        <v>45</v>
      </c>
      <c r="K90" s="53">
        <f t="shared" si="1"/>
        <v>7.03</v>
      </c>
      <c r="L90" s="50" t="s">
        <v>54</v>
      </c>
      <c r="M90" s="54" t="str">
        <f>VLOOKUP(L90,Packaging!$B$3:$C$21,2,0)</f>
        <v>290 X 200 X 140</v>
      </c>
      <c r="N90" s="47"/>
      <c r="O90" s="47">
        <v>10</v>
      </c>
      <c r="P90" s="47" t="s">
        <v>55</v>
      </c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" customHeight="1">
      <c r="A91" s="44" t="s">
        <v>325</v>
      </c>
      <c r="B91" s="45" t="s">
        <v>326</v>
      </c>
      <c r="C91" s="46" t="s">
        <v>327</v>
      </c>
      <c r="D91" s="47" t="s">
        <v>52</v>
      </c>
      <c r="E91" s="48">
        <v>96</v>
      </c>
      <c r="F91" s="49"/>
      <c r="G91" s="49">
        <f t="shared" si="0"/>
        <v>91</v>
      </c>
      <c r="H91" s="50" t="s">
        <v>53</v>
      </c>
      <c r="I91" s="51">
        <v>278</v>
      </c>
      <c r="J91" s="52">
        <v>118</v>
      </c>
      <c r="K91" s="53">
        <f t="shared" si="1"/>
        <v>11.606</v>
      </c>
      <c r="L91" s="50" t="s">
        <v>161</v>
      </c>
      <c r="M91" s="54" t="str">
        <f>VLOOKUP(L91,Packaging!$B$3:$C$21,2,0)</f>
        <v>360 X 270 X 128</v>
      </c>
      <c r="N91" s="47"/>
      <c r="O91" s="47">
        <v>8</v>
      </c>
      <c r="P91" s="47" t="s">
        <v>55</v>
      </c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18" customHeight="1">
      <c r="A92" s="44" t="s">
        <v>328</v>
      </c>
      <c r="B92" s="47" t="s">
        <v>329</v>
      </c>
      <c r="C92" s="46" t="s">
        <v>330</v>
      </c>
      <c r="D92" s="47" t="s">
        <v>52</v>
      </c>
      <c r="E92" s="48">
        <v>200</v>
      </c>
      <c r="F92" s="49"/>
      <c r="G92" s="49">
        <f t="shared" si="0"/>
        <v>91</v>
      </c>
      <c r="H92" s="50" t="s">
        <v>53</v>
      </c>
      <c r="I92" s="51">
        <v>280</v>
      </c>
      <c r="J92" s="52">
        <v>90</v>
      </c>
      <c r="K92" s="53">
        <f t="shared" si="1"/>
        <v>18.28</v>
      </c>
      <c r="L92" s="50" t="s">
        <v>54</v>
      </c>
      <c r="M92" s="54" t="str">
        <f>VLOOKUP(L92,Packaging!$B$3:$C$21,2,0)</f>
        <v>290 X 200 X 140</v>
      </c>
      <c r="N92" s="47"/>
      <c r="O92" s="47">
        <v>20</v>
      </c>
      <c r="P92" s="47" t="s">
        <v>55</v>
      </c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18" customHeight="1">
      <c r="A93" s="44" t="s">
        <v>331</v>
      </c>
      <c r="B93" s="62" t="s">
        <v>332</v>
      </c>
      <c r="C93" s="57" t="s">
        <v>333</v>
      </c>
      <c r="D93" s="62" t="s">
        <v>52</v>
      </c>
      <c r="E93" s="48">
        <v>32</v>
      </c>
      <c r="F93" s="49"/>
      <c r="G93" s="49">
        <f t="shared" si="0"/>
        <v>91</v>
      </c>
      <c r="H93" s="50" t="s">
        <v>53</v>
      </c>
      <c r="I93" s="51">
        <v>766</v>
      </c>
      <c r="J93" s="52">
        <v>126.6</v>
      </c>
      <c r="K93" s="53">
        <f t="shared" si="1"/>
        <v>4.8171999999999997</v>
      </c>
      <c r="L93" s="50" t="s">
        <v>72</v>
      </c>
      <c r="M93" s="54" t="str">
        <f>VLOOKUP(L93,Packaging!$B$3:$C$21,2,0)</f>
        <v>390 X 350 X 280</v>
      </c>
      <c r="N93" s="62"/>
      <c r="O93" s="47">
        <v>2</v>
      </c>
      <c r="P93" s="47" t="s">
        <v>55</v>
      </c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spans="1:26" ht="18" customHeight="1">
      <c r="A94" s="44" t="s">
        <v>334</v>
      </c>
      <c r="B94" s="45" t="s">
        <v>335</v>
      </c>
      <c r="C94" s="46" t="s">
        <v>336</v>
      </c>
      <c r="D94" s="47" t="s">
        <v>52</v>
      </c>
      <c r="E94" s="48">
        <v>300</v>
      </c>
      <c r="F94" s="49"/>
      <c r="G94" s="49">
        <f t="shared" si="0"/>
        <v>91</v>
      </c>
      <c r="H94" s="50" t="s">
        <v>53</v>
      </c>
      <c r="I94" s="51">
        <v>280</v>
      </c>
      <c r="J94" s="52">
        <v>46.6</v>
      </c>
      <c r="K94" s="53">
        <f t="shared" si="1"/>
        <v>14.26</v>
      </c>
      <c r="L94" s="50" t="s">
        <v>274</v>
      </c>
      <c r="M94" s="54" t="str">
        <f>VLOOKUP(L94,Packaging!$B$3:$C$21,2,0)</f>
        <v>290 X 200 X 100</v>
      </c>
      <c r="N94" s="47"/>
      <c r="O94" s="47">
        <v>25</v>
      </c>
      <c r="P94" s="47" t="s">
        <v>55</v>
      </c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" customHeight="1">
      <c r="A95" s="44" t="s">
        <v>337</v>
      </c>
      <c r="B95" s="47" t="s">
        <v>338</v>
      </c>
      <c r="C95" s="46" t="s">
        <v>339</v>
      </c>
      <c r="D95" s="47" t="s">
        <v>52</v>
      </c>
      <c r="E95" s="48">
        <v>300</v>
      </c>
      <c r="F95" s="49"/>
      <c r="G95" s="49">
        <f t="shared" si="0"/>
        <v>91</v>
      </c>
      <c r="H95" s="50" t="s">
        <v>53</v>
      </c>
      <c r="I95" s="51">
        <v>280</v>
      </c>
      <c r="J95" s="52">
        <v>46.6</v>
      </c>
      <c r="K95" s="53">
        <f t="shared" si="1"/>
        <v>14.26</v>
      </c>
      <c r="L95" s="50" t="s">
        <v>274</v>
      </c>
      <c r="M95" s="54" t="str">
        <f>VLOOKUP(L95,Packaging!$B$3:$C$21,2,0)</f>
        <v>290 X 200 X 100</v>
      </c>
      <c r="N95" s="47" t="s">
        <v>340</v>
      </c>
      <c r="O95" s="47">
        <v>25</v>
      </c>
      <c r="P95" s="47" t="s">
        <v>55</v>
      </c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" customHeight="1">
      <c r="A96" s="44" t="s">
        <v>341</v>
      </c>
      <c r="B96" s="45" t="s">
        <v>342</v>
      </c>
      <c r="C96" s="46" t="s">
        <v>343</v>
      </c>
      <c r="D96" s="47" t="s">
        <v>52</v>
      </c>
      <c r="E96" s="48">
        <v>12</v>
      </c>
      <c r="F96" s="49"/>
      <c r="G96" s="49">
        <f t="shared" si="0"/>
        <v>91</v>
      </c>
      <c r="H96" s="50" t="s">
        <v>53</v>
      </c>
      <c r="I96" s="51">
        <v>430</v>
      </c>
      <c r="J96" s="52">
        <v>419.6</v>
      </c>
      <c r="K96" s="53">
        <f t="shared" si="1"/>
        <v>5.4652000000000012</v>
      </c>
      <c r="L96" s="50" t="s">
        <v>83</v>
      </c>
      <c r="M96" s="54" t="str">
        <f>VLOOKUP(L96,Packaging!$B$3:$C$21,2,0)</f>
        <v>560 X 175 X 155</v>
      </c>
      <c r="N96" s="47"/>
      <c r="O96" s="47">
        <v>1</v>
      </c>
      <c r="P96" s="47" t="s">
        <v>55</v>
      </c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18" customHeight="1">
      <c r="A97" s="44" t="s">
        <v>344</v>
      </c>
      <c r="B97" s="47" t="s">
        <v>345</v>
      </c>
      <c r="C97" s="46" t="s">
        <v>346</v>
      </c>
      <c r="D97" s="47" t="s">
        <v>52</v>
      </c>
      <c r="E97" s="48">
        <v>240</v>
      </c>
      <c r="F97" s="49"/>
      <c r="G97" s="49">
        <f t="shared" si="0"/>
        <v>91</v>
      </c>
      <c r="H97" s="50" t="s">
        <v>53</v>
      </c>
      <c r="I97" s="51">
        <v>280</v>
      </c>
      <c r="J97" s="52">
        <v>14.8</v>
      </c>
      <c r="K97" s="53">
        <f t="shared" si="1"/>
        <v>3.8319999999999999</v>
      </c>
      <c r="L97" s="50" t="s">
        <v>54</v>
      </c>
      <c r="M97" s="54" t="str">
        <f>VLOOKUP(L97,Packaging!$B$3:$C$21,2,0)</f>
        <v>290 X 200 X 140</v>
      </c>
      <c r="N97" s="47"/>
      <c r="O97" s="47">
        <v>10</v>
      </c>
      <c r="P97" s="47" t="s">
        <v>55</v>
      </c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18" customHeight="1">
      <c r="A98" s="44" t="s">
        <v>347</v>
      </c>
      <c r="B98" s="47" t="s">
        <v>348</v>
      </c>
      <c r="C98" s="46" t="s">
        <v>349</v>
      </c>
      <c r="D98" s="47" t="s">
        <v>52</v>
      </c>
      <c r="E98" s="48">
        <v>600</v>
      </c>
      <c r="F98" s="49"/>
      <c r="G98" s="49">
        <f t="shared" si="0"/>
        <v>91</v>
      </c>
      <c r="H98" s="50" t="s">
        <v>53</v>
      </c>
      <c r="I98" s="51">
        <v>280</v>
      </c>
      <c r="J98" s="52">
        <v>20</v>
      </c>
      <c r="K98" s="53">
        <f t="shared" si="1"/>
        <v>12.28</v>
      </c>
      <c r="L98" s="50" t="s">
        <v>54</v>
      </c>
      <c r="M98" s="54" t="str">
        <f>VLOOKUP(L98,Packaging!$B$3:$C$21,2,0)</f>
        <v>290 X 200 X 140</v>
      </c>
      <c r="N98" s="47"/>
      <c r="O98" s="47">
        <v>100</v>
      </c>
      <c r="P98" s="47" t="s">
        <v>55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18" customHeight="1">
      <c r="A99" s="44" t="s">
        <v>350</v>
      </c>
      <c r="B99" s="47" t="s">
        <v>351</v>
      </c>
      <c r="C99" s="46" t="s">
        <v>352</v>
      </c>
      <c r="D99" s="47" t="s">
        <v>52</v>
      </c>
      <c r="E99" s="48">
        <v>600</v>
      </c>
      <c r="F99" s="49"/>
      <c r="G99" s="49">
        <f t="shared" si="0"/>
        <v>91</v>
      </c>
      <c r="H99" s="50" t="s">
        <v>53</v>
      </c>
      <c r="I99" s="51">
        <v>280</v>
      </c>
      <c r="J99" s="52">
        <v>20</v>
      </c>
      <c r="K99" s="53">
        <f t="shared" si="1"/>
        <v>12.28</v>
      </c>
      <c r="L99" s="50" t="s">
        <v>54</v>
      </c>
      <c r="M99" s="54" t="str">
        <f>VLOOKUP(L99,Packaging!$B$3:$C$21,2,0)</f>
        <v>290 X 200 X 140</v>
      </c>
      <c r="N99" s="47"/>
      <c r="O99" s="47">
        <v>100</v>
      </c>
      <c r="P99" s="47" t="s">
        <v>55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18" customHeight="1">
      <c r="A100" s="44" t="s">
        <v>353</v>
      </c>
      <c r="B100" s="47" t="s">
        <v>354</v>
      </c>
      <c r="C100" s="46" t="s">
        <v>355</v>
      </c>
      <c r="D100" s="47" t="s">
        <v>52</v>
      </c>
      <c r="E100" s="48">
        <v>1000</v>
      </c>
      <c r="F100" s="49"/>
      <c r="G100" s="49">
        <f t="shared" si="0"/>
        <v>91</v>
      </c>
      <c r="H100" s="50" t="s">
        <v>53</v>
      </c>
      <c r="I100" s="51">
        <v>280</v>
      </c>
      <c r="J100" s="52">
        <v>8.6</v>
      </c>
      <c r="K100" s="53">
        <f t="shared" si="1"/>
        <v>8.8800000000000008</v>
      </c>
      <c r="L100" s="50" t="s">
        <v>54</v>
      </c>
      <c r="M100" s="54" t="str">
        <f>VLOOKUP(L100,Packaging!$B$3:$C$21,2,0)</f>
        <v>290 X 200 X 140</v>
      </c>
      <c r="N100" s="47"/>
      <c r="O100" s="47">
        <v>250</v>
      </c>
      <c r="P100" s="47" t="s">
        <v>55</v>
      </c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18" customHeight="1">
      <c r="A101" s="44" t="s">
        <v>356</v>
      </c>
      <c r="B101" s="47" t="s">
        <v>357</v>
      </c>
      <c r="C101" s="46" t="s">
        <v>358</v>
      </c>
      <c r="D101" s="47" t="s">
        <v>52</v>
      </c>
      <c r="E101" s="48">
        <v>1000</v>
      </c>
      <c r="F101" s="49"/>
      <c r="G101" s="49">
        <f t="shared" si="0"/>
        <v>91</v>
      </c>
      <c r="H101" s="50" t="s">
        <v>53</v>
      </c>
      <c r="I101" s="51">
        <v>280</v>
      </c>
      <c r="J101" s="52">
        <v>14</v>
      </c>
      <c r="K101" s="53">
        <f t="shared" si="1"/>
        <v>14.28</v>
      </c>
      <c r="L101" s="50" t="s">
        <v>54</v>
      </c>
      <c r="M101" s="54" t="str">
        <f>VLOOKUP(L101,Packaging!$B$3:$C$21,2,0)</f>
        <v>290 X 200 X 140</v>
      </c>
      <c r="N101" s="47"/>
      <c r="O101" s="47">
        <v>250</v>
      </c>
      <c r="P101" s="47" t="s">
        <v>55</v>
      </c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" customHeight="1">
      <c r="A102" s="44" t="s">
        <v>359</v>
      </c>
      <c r="B102" s="45" t="s">
        <v>360</v>
      </c>
      <c r="C102" s="46" t="s">
        <v>361</v>
      </c>
      <c r="D102" s="47" t="s">
        <v>52</v>
      </c>
      <c r="E102" s="48">
        <v>90</v>
      </c>
      <c r="F102" s="49"/>
      <c r="G102" s="49">
        <f t="shared" si="0"/>
        <v>91</v>
      </c>
      <c r="H102" s="50" t="s">
        <v>53</v>
      </c>
      <c r="I102" s="51">
        <v>280</v>
      </c>
      <c r="J102" s="52">
        <v>36</v>
      </c>
      <c r="K102" s="53">
        <f t="shared" si="1"/>
        <v>3.52</v>
      </c>
      <c r="L102" s="50" t="s">
        <v>54</v>
      </c>
      <c r="M102" s="54" t="str">
        <f>VLOOKUP(L102,Packaging!$B$3:$C$21,2,0)</f>
        <v>290 X 200 X 140</v>
      </c>
      <c r="N102" s="47"/>
      <c r="O102" s="47">
        <v>10</v>
      </c>
      <c r="P102" s="47" t="s">
        <v>55</v>
      </c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" customHeight="1">
      <c r="A103" s="44" t="s">
        <v>362</v>
      </c>
      <c r="B103" s="45" t="s">
        <v>363</v>
      </c>
      <c r="C103" s="46" t="s">
        <v>364</v>
      </c>
      <c r="D103" s="47" t="s">
        <v>52</v>
      </c>
      <c r="E103" s="48">
        <v>90</v>
      </c>
      <c r="F103" s="49"/>
      <c r="G103" s="49">
        <f t="shared" si="0"/>
        <v>91</v>
      </c>
      <c r="H103" s="50" t="s">
        <v>53</v>
      </c>
      <c r="I103" s="51">
        <v>280</v>
      </c>
      <c r="J103" s="52">
        <v>36</v>
      </c>
      <c r="K103" s="53">
        <f t="shared" si="1"/>
        <v>3.52</v>
      </c>
      <c r="L103" s="50" t="s">
        <v>54</v>
      </c>
      <c r="M103" s="54" t="str">
        <f>VLOOKUP(L103,Packaging!$B$3:$C$21,2,0)</f>
        <v>290 X 200 X 140</v>
      </c>
      <c r="N103" s="47"/>
      <c r="O103" s="47">
        <v>10</v>
      </c>
      <c r="P103" s="47" t="s">
        <v>55</v>
      </c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18" customHeight="1">
      <c r="A104" s="44" t="s">
        <v>365</v>
      </c>
      <c r="B104" s="45" t="s">
        <v>366</v>
      </c>
      <c r="C104" s="46" t="s">
        <v>367</v>
      </c>
      <c r="D104" s="47" t="s">
        <v>52</v>
      </c>
      <c r="E104" s="48">
        <v>90</v>
      </c>
      <c r="F104" s="49"/>
      <c r="G104" s="49">
        <f t="shared" si="0"/>
        <v>91</v>
      </c>
      <c r="H104" s="50" t="s">
        <v>53</v>
      </c>
      <c r="I104" s="51">
        <v>280</v>
      </c>
      <c r="J104" s="52">
        <v>34.4</v>
      </c>
      <c r="K104" s="53">
        <f t="shared" si="1"/>
        <v>3.3759999999999999</v>
      </c>
      <c r="L104" s="50" t="s">
        <v>54</v>
      </c>
      <c r="M104" s="54" t="str">
        <f>VLOOKUP(L104,Packaging!$B$3:$C$21,2,0)</f>
        <v>290 X 200 X 140</v>
      </c>
      <c r="N104" s="47"/>
      <c r="O104" s="47">
        <v>10</v>
      </c>
      <c r="P104" s="47" t="s">
        <v>55</v>
      </c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18" customHeight="1">
      <c r="A105" s="44" t="s">
        <v>368</v>
      </c>
      <c r="B105" s="45" t="s">
        <v>369</v>
      </c>
      <c r="C105" s="46" t="s">
        <v>370</v>
      </c>
      <c r="D105" s="47" t="s">
        <v>52</v>
      </c>
      <c r="E105" s="48">
        <v>90</v>
      </c>
      <c r="F105" s="49"/>
      <c r="G105" s="49">
        <f t="shared" si="0"/>
        <v>91</v>
      </c>
      <c r="H105" s="50" t="s">
        <v>53</v>
      </c>
      <c r="I105" s="51">
        <v>280</v>
      </c>
      <c r="J105" s="52">
        <v>34.4</v>
      </c>
      <c r="K105" s="53">
        <f t="shared" si="1"/>
        <v>3.3759999999999999</v>
      </c>
      <c r="L105" s="50" t="s">
        <v>54</v>
      </c>
      <c r="M105" s="54" t="str">
        <f>VLOOKUP(L105,Packaging!$B$3:$C$21,2,0)</f>
        <v>290 X 200 X 140</v>
      </c>
      <c r="N105" s="47"/>
      <c r="O105" s="47">
        <v>10</v>
      </c>
      <c r="P105" s="47" t="s">
        <v>55</v>
      </c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18" customHeight="1">
      <c r="A106" s="44" t="s">
        <v>371</v>
      </c>
      <c r="B106" s="47" t="s">
        <v>372</v>
      </c>
      <c r="C106" s="46" t="s">
        <v>373</v>
      </c>
      <c r="D106" s="47" t="s">
        <v>52</v>
      </c>
      <c r="E106" s="48">
        <v>450</v>
      </c>
      <c r="F106" s="49"/>
      <c r="G106" s="49">
        <f t="shared" si="0"/>
        <v>91</v>
      </c>
      <c r="H106" s="50" t="s">
        <v>53</v>
      </c>
      <c r="I106" s="51">
        <v>244</v>
      </c>
      <c r="J106" s="52">
        <v>44</v>
      </c>
      <c r="K106" s="53">
        <f t="shared" si="1"/>
        <v>20.044</v>
      </c>
      <c r="L106" s="50" t="s">
        <v>274</v>
      </c>
      <c r="M106" s="54" t="str">
        <f>VLOOKUP(L106,Packaging!$B$3:$C$21,2,0)</f>
        <v>290 X 200 X 100</v>
      </c>
      <c r="N106" s="47"/>
      <c r="O106" s="47">
        <v>25</v>
      </c>
      <c r="P106" s="47" t="s">
        <v>55</v>
      </c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18" customHeight="1">
      <c r="A107" s="44" t="s">
        <v>374</v>
      </c>
      <c r="B107" s="47" t="s">
        <v>375</v>
      </c>
      <c r="C107" s="46" t="s">
        <v>376</v>
      </c>
      <c r="D107" s="47" t="s">
        <v>52</v>
      </c>
      <c r="E107" s="48">
        <v>450</v>
      </c>
      <c r="F107" s="49"/>
      <c r="G107" s="49">
        <f t="shared" si="0"/>
        <v>91</v>
      </c>
      <c r="H107" s="50" t="s">
        <v>53</v>
      </c>
      <c r="I107" s="51">
        <v>244</v>
      </c>
      <c r="J107" s="52">
        <v>44</v>
      </c>
      <c r="K107" s="53">
        <f t="shared" si="1"/>
        <v>20.044</v>
      </c>
      <c r="L107" s="50" t="s">
        <v>274</v>
      </c>
      <c r="M107" s="54" t="str">
        <f>VLOOKUP(L107,Packaging!$B$3:$C$21,2,0)</f>
        <v>290 X 200 X 100</v>
      </c>
      <c r="N107" s="47"/>
      <c r="O107" s="47">
        <v>25</v>
      </c>
      <c r="P107" s="47" t="s">
        <v>55</v>
      </c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18" customHeight="1">
      <c r="A108" s="44" t="s">
        <v>377</v>
      </c>
      <c r="B108" s="47" t="s">
        <v>378</v>
      </c>
      <c r="C108" s="46" t="s">
        <v>379</v>
      </c>
      <c r="D108" s="47" t="s">
        <v>52</v>
      </c>
      <c r="E108" s="48">
        <v>1000</v>
      </c>
      <c r="F108" s="49"/>
      <c r="G108" s="49">
        <f t="shared" si="0"/>
        <v>91</v>
      </c>
      <c r="H108" s="50" t="s">
        <v>53</v>
      </c>
      <c r="I108" s="51">
        <v>280</v>
      </c>
      <c r="J108" s="52">
        <v>5.8</v>
      </c>
      <c r="K108" s="53">
        <f t="shared" si="1"/>
        <v>6.08</v>
      </c>
      <c r="L108" s="50" t="s">
        <v>54</v>
      </c>
      <c r="M108" s="54" t="str">
        <f>VLOOKUP(L108,Packaging!$B$3:$C$21,2,0)</f>
        <v>290 X 200 X 140</v>
      </c>
      <c r="N108" s="47"/>
      <c r="O108" s="47">
        <v>25</v>
      </c>
      <c r="P108" s="47" t="s">
        <v>55</v>
      </c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18" customHeight="1">
      <c r="A109" s="44" t="s">
        <v>380</v>
      </c>
      <c r="B109" s="47" t="s">
        <v>381</v>
      </c>
      <c r="C109" s="46" t="s">
        <v>382</v>
      </c>
      <c r="D109" s="47" t="s">
        <v>52</v>
      </c>
      <c r="E109" s="48">
        <v>48</v>
      </c>
      <c r="F109" s="49"/>
      <c r="G109" s="49">
        <f t="shared" si="0"/>
        <v>91</v>
      </c>
      <c r="H109" s="50" t="s">
        <v>53</v>
      </c>
      <c r="I109" s="51">
        <v>278</v>
      </c>
      <c r="J109" s="52">
        <v>38.799999999999997</v>
      </c>
      <c r="K109" s="53">
        <f t="shared" si="1"/>
        <v>2.1403999999999996</v>
      </c>
      <c r="L109" s="50" t="s">
        <v>161</v>
      </c>
      <c r="M109" s="54" t="str">
        <f>VLOOKUP(L109,Packaging!$B$3:$C$21,2,0)</f>
        <v>360 X 270 X 128</v>
      </c>
      <c r="N109" s="47"/>
      <c r="O109" s="47">
        <v>2</v>
      </c>
      <c r="P109" s="47" t="s">
        <v>55</v>
      </c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18" customHeight="1">
      <c r="A110" s="44" t="s">
        <v>383</v>
      </c>
      <c r="B110" s="47" t="s">
        <v>384</v>
      </c>
      <c r="C110" s="46" t="s">
        <v>385</v>
      </c>
      <c r="D110" s="47" t="s">
        <v>52</v>
      </c>
      <c r="E110" s="48">
        <v>68</v>
      </c>
      <c r="F110" s="49"/>
      <c r="G110" s="49">
        <f t="shared" si="0"/>
        <v>91</v>
      </c>
      <c r="H110" s="50" t="s">
        <v>53</v>
      </c>
      <c r="I110" s="51">
        <v>766</v>
      </c>
      <c r="J110" s="52">
        <v>163.6</v>
      </c>
      <c r="K110" s="53">
        <f t="shared" si="1"/>
        <v>11.890799999999999</v>
      </c>
      <c r="L110" s="50" t="s">
        <v>72</v>
      </c>
      <c r="M110" s="54" t="str">
        <f>VLOOKUP(L110,Packaging!$B$3:$C$21,2,0)</f>
        <v>390 X 350 X 280</v>
      </c>
      <c r="N110" s="47"/>
      <c r="O110" s="47">
        <v>2</v>
      </c>
      <c r="P110" s="47" t="s">
        <v>55</v>
      </c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18" customHeight="1">
      <c r="A111" s="44" t="s">
        <v>386</v>
      </c>
      <c r="B111" s="47" t="s">
        <v>387</v>
      </c>
      <c r="C111" s="46" t="s">
        <v>388</v>
      </c>
      <c r="D111" s="47" t="s">
        <v>52</v>
      </c>
      <c r="E111" s="48">
        <v>68</v>
      </c>
      <c r="F111" s="49"/>
      <c r="G111" s="49">
        <f t="shared" si="0"/>
        <v>91</v>
      </c>
      <c r="H111" s="50" t="s">
        <v>53</v>
      </c>
      <c r="I111" s="51">
        <v>766</v>
      </c>
      <c r="J111" s="52">
        <v>163.6</v>
      </c>
      <c r="K111" s="53">
        <f t="shared" si="1"/>
        <v>11.890799999999999</v>
      </c>
      <c r="L111" s="50" t="s">
        <v>72</v>
      </c>
      <c r="M111" s="54" t="str">
        <f>VLOOKUP(L111,Packaging!$B$3:$C$21,2,0)</f>
        <v>390 X 350 X 280</v>
      </c>
      <c r="N111" s="47" t="s">
        <v>389</v>
      </c>
      <c r="O111" s="47">
        <v>2</v>
      </c>
      <c r="P111" s="47" t="s">
        <v>55</v>
      </c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18" customHeight="1">
      <c r="A112" s="44" t="s">
        <v>390</v>
      </c>
      <c r="B112" s="47" t="s">
        <v>391</v>
      </c>
      <c r="C112" s="46" t="s">
        <v>392</v>
      </c>
      <c r="D112" s="47" t="s">
        <v>52</v>
      </c>
      <c r="E112" s="48">
        <v>68</v>
      </c>
      <c r="F112" s="49"/>
      <c r="G112" s="49">
        <f t="shared" si="0"/>
        <v>91</v>
      </c>
      <c r="H112" s="50" t="s">
        <v>53</v>
      </c>
      <c r="I112" s="51">
        <v>766</v>
      </c>
      <c r="J112" s="52">
        <v>163.6</v>
      </c>
      <c r="K112" s="53">
        <f t="shared" si="1"/>
        <v>11.890799999999999</v>
      </c>
      <c r="L112" s="50" t="s">
        <v>72</v>
      </c>
      <c r="M112" s="54" t="str">
        <f>VLOOKUP(L112,Packaging!$B$3:$C$21,2,0)</f>
        <v>390 X 350 X 280</v>
      </c>
      <c r="N112" s="47"/>
      <c r="O112" s="47">
        <v>2</v>
      </c>
      <c r="P112" s="47" t="s">
        <v>55</v>
      </c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18" customHeight="1">
      <c r="A113" s="44" t="s">
        <v>393</v>
      </c>
      <c r="B113" s="47" t="s">
        <v>394</v>
      </c>
      <c r="C113" s="46" t="s">
        <v>395</v>
      </c>
      <c r="D113" s="47" t="s">
        <v>52</v>
      </c>
      <c r="E113" s="48">
        <v>68</v>
      </c>
      <c r="F113" s="49"/>
      <c r="G113" s="49">
        <f t="shared" si="0"/>
        <v>91</v>
      </c>
      <c r="H113" s="50" t="s">
        <v>53</v>
      </c>
      <c r="I113" s="51">
        <v>766</v>
      </c>
      <c r="J113" s="52">
        <v>163.6</v>
      </c>
      <c r="K113" s="53">
        <f t="shared" si="1"/>
        <v>11.890799999999999</v>
      </c>
      <c r="L113" s="50" t="s">
        <v>72</v>
      </c>
      <c r="M113" s="54" t="str">
        <f>VLOOKUP(L113,Packaging!$B$3:$C$21,2,0)</f>
        <v>390 X 350 X 280</v>
      </c>
      <c r="N113" s="47" t="s">
        <v>396</v>
      </c>
      <c r="O113" s="47">
        <v>2</v>
      </c>
      <c r="P113" s="47" t="s">
        <v>55</v>
      </c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18" customHeight="1">
      <c r="A114" s="44" t="s">
        <v>397</v>
      </c>
      <c r="B114" s="47" t="s">
        <v>398</v>
      </c>
      <c r="C114" s="46" t="s">
        <v>399</v>
      </c>
      <c r="D114" s="47" t="s">
        <v>52</v>
      </c>
      <c r="E114" s="48">
        <v>36</v>
      </c>
      <c r="F114" s="49"/>
      <c r="G114" s="49">
        <f t="shared" si="0"/>
        <v>91</v>
      </c>
      <c r="H114" s="50" t="s">
        <v>53</v>
      </c>
      <c r="I114" s="51">
        <v>280</v>
      </c>
      <c r="J114" s="52">
        <v>308.2</v>
      </c>
      <c r="K114" s="53">
        <f t="shared" si="1"/>
        <v>11.3752</v>
      </c>
      <c r="L114" s="50" t="s">
        <v>54</v>
      </c>
      <c r="M114" s="54" t="str">
        <f>VLOOKUP(L114,Packaging!$B$3:$C$21,2,0)</f>
        <v>290 X 200 X 140</v>
      </c>
      <c r="N114" s="47"/>
      <c r="O114" s="47">
        <v>1</v>
      </c>
      <c r="P114" s="47" t="s">
        <v>55</v>
      </c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18" customHeight="1">
      <c r="A115" s="44" t="s">
        <v>400</v>
      </c>
      <c r="B115" s="47" t="s">
        <v>401</v>
      </c>
      <c r="C115" s="46" t="s">
        <v>402</v>
      </c>
      <c r="D115" s="47" t="s">
        <v>52</v>
      </c>
      <c r="E115" s="48">
        <v>36</v>
      </c>
      <c r="F115" s="49"/>
      <c r="G115" s="49">
        <f t="shared" si="0"/>
        <v>91</v>
      </c>
      <c r="H115" s="50" t="s">
        <v>53</v>
      </c>
      <c r="I115" s="51">
        <v>280</v>
      </c>
      <c r="J115" s="52">
        <v>308.2</v>
      </c>
      <c r="K115" s="53">
        <f t="shared" si="1"/>
        <v>11.3752</v>
      </c>
      <c r="L115" s="50" t="s">
        <v>54</v>
      </c>
      <c r="M115" s="54" t="str">
        <f>VLOOKUP(L115,Packaging!$B$3:$C$21,2,0)</f>
        <v>290 X 200 X 140</v>
      </c>
      <c r="N115" s="47"/>
      <c r="O115" s="47">
        <v>1</v>
      </c>
      <c r="P115" s="47" t="s">
        <v>55</v>
      </c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18" customHeight="1">
      <c r="A116" s="44" t="s">
        <v>403</v>
      </c>
      <c r="B116" s="47" t="s">
        <v>404</v>
      </c>
      <c r="C116" s="46" t="s">
        <v>405</v>
      </c>
      <c r="D116" s="47" t="s">
        <v>52</v>
      </c>
      <c r="E116" s="48">
        <v>180</v>
      </c>
      <c r="F116" s="49"/>
      <c r="G116" s="49">
        <f t="shared" si="0"/>
        <v>91</v>
      </c>
      <c r="H116" s="50" t="s">
        <v>53</v>
      </c>
      <c r="I116" s="51">
        <v>378</v>
      </c>
      <c r="J116" s="52">
        <v>92</v>
      </c>
      <c r="K116" s="53">
        <f t="shared" si="1"/>
        <v>16.937999999999999</v>
      </c>
      <c r="L116" s="50" t="s">
        <v>91</v>
      </c>
      <c r="M116" s="54" t="str">
        <f>VLOOKUP(L116,Packaging!$B$3:$C$21,2,0)</f>
        <v>400 X 240 X 130</v>
      </c>
      <c r="N116" s="47"/>
      <c r="O116" s="47">
        <v>30</v>
      </c>
      <c r="P116" s="47" t="s">
        <v>55</v>
      </c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18" customHeight="1">
      <c r="A117" s="44" t="s">
        <v>406</v>
      </c>
      <c r="B117" s="47" t="s">
        <v>407</v>
      </c>
      <c r="C117" s="46" t="s">
        <v>408</v>
      </c>
      <c r="D117" s="47" t="s">
        <v>52</v>
      </c>
      <c r="E117" s="48">
        <v>500</v>
      </c>
      <c r="F117" s="49"/>
      <c r="G117" s="49">
        <f t="shared" si="0"/>
        <v>91</v>
      </c>
      <c r="H117" s="50" t="s">
        <v>53</v>
      </c>
      <c r="I117" s="51">
        <v>280</v>
      </c>
      <c r="J117" s="52">
        <v>17.399999999999999</v>
      </c>
      <c r="K117" s="53">
        <f t="shared" si="1"/>
        <v>8.98</v>
      </c>
      <c r="L117" s="50" t="s">
        <v>54</v>
      </c>
      <c r="M117" s="54" t="str">
        <f>VLOOKUP(L117,Packaging!$B$3:$C$21,2,0)</f>
        <v>290 X 200 X 140</v>
      </c>
      <c r="N117" s="47"/>
      <c r="O117" s="47">
        <v>100</v>
      </c>
      <c r="P117" s="47" t="s">
        <v>55</v>
      </c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18" customHeight="1">
      <c r="A118" s="44" t="s">
        <v>409</v>
      </c>
      <c r="B118" s="47" t="s">
        <v>410</v>
      </c>
      <c r="C118" s="46" t="s">
        <v>411</v>
      </c>
      <c r="D118" s="47" t="s">
        <v>52</v>
      </c>
      <c r="E118" s="48">
        <v>1000</v>
      </c>
      <c r="F118" s="49"/>
      <c r="G118" s="49">
        <f t="shared" si="0"/>
        <v>91</v>
      </c>
      <c r="H118" s="50" t="s">
        <v>53</v>
      </c>
      <c r="I118" s="51">
        <v>280</v>
      </c>
      <c r="J118" s="52">
        <v>7.2</v>
      </c>
      <c r="K118" s="53">
        <f t="shared" si="1"/>
        <v>7.48</v>
      </c>
      <c r="L118" s="50" t="s">
        <v>54</v>
      </c>
      <c r="M118" s="54" t="str">
        <f>VLOOKUP(L118,Packaging!$B$3:$C$21,2,0)</f>
        <v>290 X 200 X 140</v>
      </c>
      <c r="N118" s="47"/>
      <c r="O118" s="47">
        <v>50</v>
      </c>
      <c r="P118" s="47" t="s">
        <v>55</v>
      </c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18" customHeight="1">
      <c r="A119" s="44" t="s">
        <v>412</v>
      </c>
      <c r="B119" s="47" t="s">
        <v>413</v>
      </c>
      <c r="C119" s="46" t="s">
        <v>414</v>
      </c>
      <c r="D119" s="47" t="s">
        <v>52</v>
      </c>
      <c r="E119" s="48">
        <v>300</v>
      </c>
      <c r="F119" s="49"/>
      <c r="G119" s="49">
        <f t="shared" si="0"/>
        <v>91</v>
      </c>
      <c r="H119" s="50" t="s">
        <v>53</v>
      </c>
      <c r="I119" s="51">
        <v>280</v>
      </c>
      <c r="J119" s="52">
        <v>15</v>
      </c>
      <c r="K119" s="53">
        <f t="shared" si="1"/>
        <v>4.78</v>
      </c>
      <c r="L119" s="50" t="s">
        <v>54</v>
      </c>
      <c r="M119" s="54" t="str">
        <f>VLOOKUP(L119,Packaging!$B$3:$C$21,2,0)</f>
        <v>290 X 200 X 140</v>
      </c>
      <c r="N119" s="47"/>
      <c r="O119" s="47">
        <v>20</v>
      </c>
      <c r="P119" s="47" t="s">
        <v>55</v>
      </c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18" customHeight="1">
      <c r="A120" s="44" t="s">
        <v>415</v>
      </c>
      <c r="B120" s="47" t="s">
        <v>416</v>
      </c>
      <c r="C120" s="46" t="s">
        <v>417</v>
      </c>
      <c r="D120" s="47" t="s">
        <v>52</v>
      </c>
      <c r="E120" s="48">
        <v>112</v>
      </c>
      <c r="F120" s="49"/>
      <c r="G120" s="49">
        <f t="shared" si="0"/>
        <v>91</v>
      </c>
      <c r="H120" s="50" t="s">
        <v>53</v>
      </c>
      <c r="I120" s="51">
        <v>280</v>
      </c>
      <c r="J120" s="52">
        <v>93</v>
      </c>
      <c r="K120" s="53">
        <f t="shared" si="1"/>
        <v>10.696</v>
      </c>
      <c r="L120" s="50" t="s">
        <v>54</v>
      </c>
      <c r="M120" s="54" t="str">
        <f>VLOOKUP(L120,Packaging!$B$3:$C$21,2,0)</f>
        <v>290 X 200 X 140</v>
      </c>
      <c r="N120" s="47"/>
      <c r="O120" s="47">
        <v>1</v>
      </c>
      <c r="P120" s="47" t="s">
        <v>55</v>
      </c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18" customHeight="1">
      <c r="A121" s="44" t="s">
        <v>418</v>
      </c>
      <c r="B121" s="47" t="s">
        <v>419</v>
      </c>
      <c r="C121" s="46" t="s">
        <v>420</v>
      </c>
      <c r="D121" s="47" t="s">
        <v>52</v>
      </c>
      <c r="E121" s="48">
        <v>300</v>
      </c>
      <c r="F121" s="49"/>
      <c r="G121" s="49">
        <f t="shared" si="0"/>
        <v>91</v>
      </c>
      <c r="H121" s="50" t="s">
        <v>53</v>
      </c>
      <c r="I121" s="51">
        <v>244</v>
      </c>
      <c r="J121" s="52">
        <v>28</v>
      </c>
      <c r="K121" s="53">
        <f t="shared" si="1"/>
        <v>8.6440000000000001</v>
      </c>
      <c r="L121" s="50" t="s">
        <v>274</v>
      </c>
      <c r="M121" s="54" t="str">
        <f>VLOOKUP(L121,Packaging!$B$3:$C$21,2,0)</f>
        <v>290 X 200 X 100</v>
      </c>
      <c r="N121" s="47"/>
      <c r="O121" s="47">
        <v>10</v>
      </c>
      <c r="P121" s="47" t="s">
        <v>55</v>
      </c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" customHeight="1">
      <c r="A122" s="44" t="s">
        <v>421</v>
      </c>
      <c r="B122" s="45" t="s">
        <v>422</v>
      </c>
      <c r="C122" s="46" t="s">
        <v>423</v>
      </c>
      <c r="D122" s="47" t="s">
        <v>52</v>
      </c>
      <c r="E122" s="48">
        <v>8</v>
      </c>
      <c r="F122" s="49"/>
      <c r="G122" s="49">
        <f t="shared" si="0"/>
        <v>91</v>
      </c>
      <c r="H122" s="50" t="s">
        <v>53</v>
      </c>
      <c r="I122" s="51">
        <v>378</v>
      </c>
      <c r="J122" s="52">
        <v>388.2</v>
      </c>
      <c r="K122" s="53">
        <f t="shared" si="1"/>
        <v>3.4836</v>
      </c>
      <c r="L122" s="50" t="s">
        <v>91</v>
      </c>
      <c r="M122" s="54" t="str">
        <f>VLOOKUP(L122,Packaging!$B$3:$C$21,2,0)</f>
        <v>400 X 240 X 130</v>
      </c>
      <c r="N122" s="47"/>
      <c r="O122" s="47">
        <v>2</v>
      </c>
      <c r="P122" s="47" t="s">
        <v>55</v>
      </c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" customHeight="1">
      <c r="A123" s="44" t="s">
        <v>424</v>
      </c>
      <c r="B123" s="47" t="s">
        <v>425</v>
      </c>
      <c r="C123" s="46" t="s">
        <v>426</v>
      </c>
      <c r="D123" s="47" t="s">
        <v>52</v>
      </c>
      <c r="E123" s="48">
        <v>1000</v>
      </c>
      <c r="F123" s="49"/>
      <c r="G123" s="49">
        <f t="shared" si="0"/>
        <v>91</v>
      </c>
      <c r="H123" s="50" t="s">
        <v>53</v>
      </c>
      <c r="I123" s="51">
        <v>280</v>
      </c>
      <c r="J123" s="52">
        <v>10.199999999999999</v>
      </c>
      <c r="K123" s="53">
        <f t="shared" si="1"/>
        <v>10.48</v>
      </c>
      <c r="L123" s="50" t="s">
        <v>54</v>
      </c>
      <c r="M123" s="54" t="str">
        <f>VLOOKUP(L123,Packaging!$B$3:$C$21,2,0)</f>
        <v>290 X 200 X 140</v>
      </c>
      <c r="N123" s="47"/>
      <c r="O123" s="47">
        <v>100</v>
      </c>
      <c r="P123" s="47" t="s">
        <v>55</v>
      </c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" customHeight="1">
      <c r="A124" s="44" t="s">
        <v>427</v>
      </c>
      <c r="B124" s="45" t="s">
        <v>428</v>
      </c>
      <c r="C124" s="46" t="s">
        <v>429</v>
      </c>
      <c r="D124" s="47" t="s">
        <v>52</v>
      </c>
      <c r="E124" s="48">
        <v>80</v>
      </c>
      <c r="F124" s="49"/>
      <c r="G124" s="49">
        <f t="shared" si="0"/>
        <v>91</v>
      </c>
      <c r="H124" s="50" t="s">
        <v>53</v>
      </c>
      <c r="I124" s="51">
        <v>280</v>
      </c>
      <c r="J124" s="52">
        <v>92.14</v>
      </c>
      <c r="K124" s="53">
        <f t="shared" si="1"/>
        <v>7.6512000000000002</v>
      </c>
      <c r="L124" s="50" t="s">
        <v>54</v>
      </c>
      <c r="M124" s="54" t="str">
        <f>VLOOKUP(L124,Packaging!$B$3:$C$21,2,0)</f>
        <v>290 X 200 X 140</v>
      </c>
      <c r="N124" s="47"/>
      <c r="O124" s="47">
        <v>10</v>
      </c>
      <c r="P124" s="47" t="s">
        <v>55</v>
      </c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" customHeight="1">
      <c r="A125" s="44" t="s">
        <v>430</v>
      </c>
      <c r="B125" s="45" t="s">
        <v>431</v>
      </c>
      <c r="C125" s="46" t="s">
        <v>432</v>
      </c>
      <c r="D125" s="47" t="s">
        <v>52</v>
      </c>
      <c r="E125" s="48">
        <v>80</v>
      </c>
      <c r="F125" s="49"/>
      <c r="G125" s="49">
        <f t="shared" si="0"/>
        <v>91</v>
      </c>
      <c r="H125" s="50" t="s">
        <v>53</v>
      </c>
      <c r="I125" s="51">
        <v>280</v>
      </c>
      <c r="J125" s="52">
        <v>91.6</v>
      </c>
      <c r="K125" s="53">
        <f t="shared" si="1"/>
        <v>7.6079999999999997</v>
      </c>
      <c r="L125" s="50" t="s">
        <v>54</v>
      </c>
      <c r="M125" s="54" t="str">
        <f>VLOOKUP(L125,Packaging!$B$3:$C$21,2,0)</f>
        <v>290 X 200 X 140</v>
      </c>
      <c r="N125" s="47"/>
      <c r="O125" s="47">
        <v>10</v>
      </c>
      <c r="P125" s="47" t="s">
        <v>55</v>
      </c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" customHeight="1">
      <c r="A126" s="44" t="s">
        <v>433</v>
      </c>
      <c r="B126" s="45" t="s">
        <v>434</v>
      </c>
      <c r="C126" s="46" t="s">
        <v>435</v>
      </c>
      <c r="D126" s="47" t="s">
        <v>52</v>
      </c>
      <c r="E126" s="48">
        <v>32</v>
      </c>
      <c r="F126" s="49"/>
      <c r="G126" s="49">
        <f t="shared" si="0"/>
        <v>91</v>
      </c>
      <c r="H126" s="50" t="s">
        <v>53</v>
      </c>
      <c r="I126" s="51">
        <v>378</v>
      </c>
      <c r="J126" s="52">
        <v>212.2</v>
      </c>
      <c r="K126" s="53">
        <f t="shared" si="1"/>
        <v>7.1683999999999992</v>
      </c>
      <c r="L126" s="50" t="s">
        <v>91</v>
      </c>
      <c r="M126" s="54" t="str">
        <f>VLOOKUP(L126,Packaging!$B$3:$C$21,2,0)</f>
        <v>400 X 240 X 130</v>
      </c>
      <c r="N126" s="47"/>
      <c r="O126" s="47">
        <v>1</v>
      </c>
      <c r="P126" s="47" t="s">
        <v>55</v>
      </c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18" customHeight="1">
      <c r="A127" s="44" t="s">
        <v>436</v>
      </c>
      <c r="B127" s="45" t="s">
        <v>437</v>
      </c>
      <c r="C127" s="46" t="s">
        <v>438</v>
      </c>
      <c r="D127" s="47" t="s">
        <v>52</v>
      </c>
      <c r="E127" s="48">
        <v>32</v>
      </c>
      <c r="F127" s="49"/>
      <c r="G127" s="49">
        <f t="shared" si="0"/>
        <v>91</v>
      </c>
      <c r="H127" s="50" t="s">
        <v>53</v>
      </c>
      <c r="I127" s="51">
        <v>378</v>
      </c>
      <c r="J127" s="52">
        <v>212.2</v>
      </c>
      <c r="K127" s="53">
        <f t="shared" si="1"/>
        <v>7.1683999999999992</v>
      </c>
      <c r="L127" s="50" t="s">
        <v>91</v>
      </c>
      <c r="M127" s="54" t="str">
        <f>VLOOKUP(L127,Packaging!$B$3:$C$21,2,0)</f>
        <v>400 X 240 X 130</v>
      </c>
      <c r="N127" s="47"/>
      <c r="O127" s="47">
        <v>1</v>
      </c>
      <c r="P127" s="47" t="s">
        <v>55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18" customHeight="1">
      <c r="A128" s="44" t="s">
        <v>439</v>
      </c>
      <c r="B128" s="45" t="s">
        <v>440</v>
      </c>
      <c r="C128" s="46" t="s">
        <v>441</v>
      </c>
      <c r="D128" s="47" t="s">
        <v>52</v>
      </c>
      <c r="E128" s="48">
        <v>160</v>
      </c>
      <c r="F128" s="49"/>
      <c r="G128" s="49">
        <f t="shared" si="0"/>
        <v>91</v>
      </c>
      <c r="H128" s="50" t="s">
        <v>53</v>
      </c>
      <c r="I128" s="51">
        <v>278</v>
      </c>
      <c r="J128" s="52">
        <v>24.6</v>
      </c>
      <c r="K128" s="53">
        <f t="shared" si="1"/>
        <v>4.2140000000000004</v>
      </c>
      <c r="L128" s="50" t="s">
        <v>161</v>
      </c>
      <c r="M128" s="54" t="str">
        <f>VLOOKUP(L128,Packaging!$B$3:$C$21,2,0)</f>
        <v>360 X 270 X 128</v>
      </c>
      <c r="N128" s="47"/>
      <c r="O128" s="47">
        <v>16</v>
      </c>
      <c r="P128" s="47" t="s">
        <v>55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18" customHeight="1">
      <c r="A129" s="44" t="s">
        <v>442</v>
      </c>
      <c r="B129" s="47" t="s">
        <v>443</v>
      </c>
      <c r="C129" s="46" t="s">
        <v>444</v>
      </c>
      <c r="D129" s="47" t="s">
        <v>52</v>
      </c>
      <c r="E129" s="48">
        <v>500</v>
      </c>
      <c r="F129" s="49"/>
      <c r="G129" s="49">
        <f t="shared" si="0"/>
        <v>91</v>
      </c>
      <c r="H129" s="50" t="s">
        <v>53</v>
      </c>
      <c r="I129" s="51">
        <v>280</v>
      </c>
      <c r="J129" s="52">
        <v>13.4</v>
      </c>
      <c r="K129" s="53">
        <f t="shared" si="1"/>
        <v>6.98</v>
      </c>
      <c r="L129" s="50" t="s">
        <v>54</v>
      </c>
      <c r="M129" s="54" t="str">
        <f>VLOOKUP(L129,Packaging!$B$3:$C$21,2,0)</f>
        <v>290 X 200 X 140</v>
      </c>
      <c r="N129" s="47"/>
      <c r="O129" s="47">
        <v>50</v>
      </c>
      <c r="P129" s="47" t="s">
        <v>55</v>
      </c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18" customHeight="1">
      <c r="A130" s="44" t="s">
        <v>445</v>
      </c>
      <c r="B130" s="45" t="s">
        <v>446</v>
      </c>
      <c r="C130" s="46" t="s">
        <v>447</v>
      </c>
      <c r="D130" s="47" t="s">
        <v>52</v>
      </c>
      <c r="E130" s="48">
        <v>40</v>
      </c>
      <c r="F130" s="49"/>
      <c r="G130" s="49">
        <f t="shared" si="0"/>
        <v>91</v>
      </c>
      <c r="H130" s="50" t="s">
        <v>53</v>
      </c>
      <c r="I130" s="51">
        <v>378</v>
      </c>
      <c r="J130" s="52">
        <v>414.2</v>
      </c>
      <c r="K130" s="53">
        <f t="shared" si="1"/>
        <v>16.946000000000002</v>
      </c>
      <c r="L130" s="50" t="s">
        <v>91</v>
      </c>
      <c r="M130" s="54" t="str">
        <f>VLOOKUP(L130,Packaging!$B$3:$C$21,2,0)</f>
        <v>400 X 240 X 130</v>
      </c>
      <c r="N130" s="47"/>
      <c r="O130" s="47">
        <v>1</v>
      </c>
      <c r="P130" s="47" t="s">
        <v>55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18" customHeight="1">
      <c r="A131" s="44" t="s">
        <v>448</v>
      </c>
      <c r="B131" s="47" t="s">
        <v>449</v>
      </c>
      <c r="C131" s="46" t="s">
        <v>450</v>
      </c>
      <c r="D131" s="47" t="s">
        <v>52</v>
      </c>
      <c r="E131" s="48">
        <v>40</v>
      </c>
      <c r="F131" s="49"/>
      <c r="G131" s="49">
        <f t="shared" si="0"/>
        <v>91</v>
      </c>
      <c r="H131" s="50" t="s">
        <v>53</v>
      </c>
      <c r="I131" s="51">
        <v>378</v>
      </c>
      <c r="J131" s="52">
        <v>422.8</v>
      </c>
      <c r="K131" s="53">
        <f t="shared" si="1"/>
        <v>17.29</v>
      </c>
      <c r="L131" s="50" t="s">
        <v>91</v>
      </c>
      <c r="M131" s="54" t="str">
        <f>VLOOKUP(L131,Packaging!$B$3:$C$21,2,0)</f>
        <v>400 X 240 X 130</v>
      </c>
      <c r="N131" s="47"/>
      <c r="O131" s="47">
        <v>1</v>
      </c>
      <c r="P131" s="47" t="s">
        <v>55</v>
      </c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" customHeight="1">
      <c r="A132" s="44" t="s">
        <v>451</v>
      </c>
      <c r="B132" s="45" t="s">
        <v>452</v>
      </c>
      <c r="C132" s="46" t="s">
        <v>453</v>
      </c>
      <c r="D132" s="47" t="s">
        <v>52</v>
      </c>
      <c r="E132" s="48">
        <v>40</v>
      </c>
      <c r="F132" s="49"/>
      <c r="G132" s="49">
        <f t="shared" si="0"/>
        <v>91</v>
      </c>
      <c r="H132" s="50" t="s">
        <v>53</v>
      </c>
      <c r="I132" s="51">
        <v>378</v>
      </c>
      <c r="J132" s="52">
        <v>414.2</v>
      </c>
      <c r="K132" s="53">
        <f t="shared" si="1"/>
        <v>16.946000000000002</v>
      </c>
      <c r="L132" s="50" t="s">
        <v>91</v>
      </c>
      <c r="M132" s="54" t="str">
        <f>VLOOKUP(L132,Packaging!$B$3:$C$21,2,0)</f>
        <v>400 X 240 X 130</v>
      </c>
      <c r="N132" s="47"/>
      <c r="O132" s="47">
        <v>1</v>
      </c>
      <c r="P132" s="47" t="s">
        <v>55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18" customHeight="1">
      <c r="A133" s="44" t="s">
        <v>454</v>
      </c>
      <c r="B133" s="47" t="s">
        <v>455</v>
      </c>
      <c r="C133" s="46" t="s">
        <v>456</v>
      </c>
      <c r="D133" s="47" t="s">
        <v>52</v>
      </c>
      <c r="E133" s="48">
        <v>40</v>
      </c>
      <c r="F133" s="49"/>
      <c r="G133" s="49">
        <f t="shared" si="0"/>
        <v>91</v>
      </c>
      <c r="H133" s="50" t="s">
        <v>53</v>
      </c>
      <c r="I133" s="51">
        <v>378</v>
      </c>
      <c r="J133" s="52">
        <v>422.8</v>
      </c>
      <c r="K133" s="53">
        <f t="shared" si="1"/>
        <v>17.29</v>
      </c>
      <c r="L133" s="50" t="s">
        <v>91</v>
      </c>
      <c r="M133" s="54" t="str">
        <f>VLOOKUP(L133,Packaging!$B$3:$C$21,2,0)</f>
        <v>400 X 240 X 130</v>
      </c>
      <c r="N133" s="47"/>
      <c r="O133" s="47">
        <v>1</v>
      </c>
      <c r="P133" s="47" t="s">
        <v>55</v>
      </c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18" customHeight="1">
      <c r="A134" s="44" t="s">
        <v>457</v>
      </c>
      <c r="B134" s="45" t="s">
        <v>458</v>
      </c>
      <c r="C134" s="46" t="s">
        <v>459</v>
      </c>
      <c r="D134" s="47" t="s">
        <v>52</v>
      </c>
      <c r="E134" s="48">
        <v>1000</v>
      </c>
      <c r="F134" s="49"/>
      <c r="G134" s="49">
        <f t="shared" si="0"/>
        <v>91</v>
      </c>
      <c r="H134" s="50" t="s">
        <v>53</v>
      </c>
      <c r="I134" s="51">
        <v>280</v>
      </c>
      <c r="J134" s="52">
        <v>33.6</v>
      </c>
      <c r="K134" s="53">
        <f t="shared" si="1"/>
        <v>33.880000000000003</v>
      </c>
      <c r="L134" s="50" t="s">
        <v>54</v>
      </c>
      <c r="M134" s="54" t="str">
        <f>VLOOKUP(L134,Packaging!$B$3:$C$21,2,0)</f>
        <v>290 X 200 X 140</v>
      </c>
      <c r="N134" s="47" t="s">
        <v>460</v>
      </c>
      <c r="O134" s="47">
        <v>20</v>
      </c>
      <c r="P134" s="47" t="s">
        <v>55</v>
      </c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18" customHeight="1">
      <c r="A135" s="44" t="s">
        <v>461</v>
      </c>
      <c r="B135" s="47" t="s">
        <v>462</v>
      </c>
      <c r="C135" s="46" t="s">
        <v>463</v>
      </c>
      <c r="D135" s="47" t="s">
        <v>52</v>
      </c>
      <c r="E135" s="48">
        <v>1000</v>
      </c>
      <c r="F135" s="49"/>
      <c r="G135" s="49">
        <f t="shared" si="0"/>
        <v>91</v>
      </c>
      <c r="H135" s="50" t="s">
        <v>53</v>
      </c>
      <c r="I135" s="51">
        <v>280</v>
      </c>
      <c r="J135" s="52">
        <v>23.6</v>
      </c>
      <c r="K135" s="53">
        <f t="shared" si="1"/>
        <v>23.88</v>
      </c>
      <c r="L135" s="50" t="s">
        <v>54</v>
      </c>
      <c r="M135" s="54" t="str">
        <f>VLOOKUP(L135,Packaging!$B$3:$C$21,2,0)</f>
        <v>290 X 200 X 140</v>
      </c>
      <c r="N135" s="47"/>
      <c r="O135" s="47">
        <v>25</v>
      </c>
      <c r="P135" s="47" t="s">
        <v>55</v>
      </c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18" customHeight="1">
      <c r="A136" s="44" t="s">
        <v>464</v>
      </c>
      <c r="B136" s="47" t="s">
        <v>465</v>
      </c>
      <c r="C136" s="46" t="s">
        <v>466</v>
      </c>
      <c r="D136" s="47" t="s">
        <v>52</v>
      </c>
      <c r="E136" s="48">
        <v>1000</v>
      </c>
      <c r="F136" s="49"/>
      <c r="G136" s="49">
        <f t="shared" si="0"/>
        <v>91</v>
      </c>
      <c r="H136" s="50" t="s">
        <v>53</v>
      </c>
      <c r="I136" s="51">
        <v>280</v>
      </c>
      <c r="J136" s="52">
        <v>21.6</v>
      </c>
      <c r="K136" s="53">
        <f t="shared" si="1"/>
        <v>21.88</v>
      </c>
      <c r="L136" s="50" t="s">
        <v>54</v>
      </c>
      <c r="M136" s="54" t="str">
        <f>VLOOKUP(L136,Packaging!$B$3:$C$21,2,0)</f>
        <v>290 X 200 X 140</v>
      </c>
      <c r="N136" s="47"/>
      <c r="O136" s="47">
        <v>25</v>
      </c>
      <c r="P136" s="47" t="s">
        <v>55</v>
      </c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" customHeight="1">
      <c r="A137" s="44" t="s">
        <v>467</v>
      </c>
      <c r="B137" s="47" t="s">
        <v>468</v>
      </c>
      <c r="C137" s="46" t="s">
        <v>469</v>
      </c>
      <c r="D137" s="47" t="s">
        <v>52</v>
      </c>
      <c r="E137" s="48">
        <v>250</v>
      </c>
      <c r="F137" s="49"/>
      <c r="G137" s="49">
        <f t="shared" si="0"/>
        <v>91</v>
      </c>
      <c r="H137" s="50" t="s">
        <v>53</v>
      </c>
      <c r="I137" s="51">
        <v>280</v>
      </c>
      <c r="J137" s="52">
        <v>62.4</v>
      </c>
      <c r="K137" s="53">
        <f t="shared" si="1"/>
        <v>15.88</v>
      </c>
      <c r="L137" s="50" t="s">
        <v>54</v>
      </c>
      <c r="M137" s="54" t="str">
        <f>VLOOKUP(L137,Packaging!$B$3:$C$21,2,0)</f>
        <v>290 X 200 X 140</v>
      </c>
      <c r="N137" s="47"/>
      <c r="O137" s="47">
        <v>25</v>
      </c>
      <c r="P137" s="47" t="s">
        <v>55</v>
      </c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" customHeight="1">
      <c r="A138" s="44" t="s">
        <v>470</v>
      </c>
      <c r="B138" s="62" t="s">
        <v>471</v>
      </c>
      <c r="C138" s="57" t="s">
        <v>472</v>
      </c>
      <c r="D138" s="62" t="s">
        <v>52</v>
      </c>
      <c r="E138" s="48">
        <v>1000</v>
      </c>
      <c r="F138" s="49"/>
      <c r="G138" s="49">
        <f t="shared" si="0"/>
        <v>91</v>
      </c>
      <c r="H138" s="50" t="s">
        <v>53</v>
      </c>
      <c r="I138" s="51">
        <v>280</v>
      </c>
      <c r="J138" s="52">
        <v>10.8</v>
      </c>
      <c r="K138" s="53">
        <f t="shared" si="1"/>
        <v>11.08</v>
      </c>
      <c r="L138" s="50" t="s">
        <v>54</v>
      </c>
      <c r="M138" s="54" t="str">
        <f>VLOOKUP(L138,Packaging!$B$3:$C$21,2,0)</f>
        <v>290 X 200 X 140</v>
      </c>
      <c r="N138" s="62"/>
      <c r="O138" s="47">
        <v>20</v>
      </c>
      <c r="P138" s="47" t="s">
        <v>55</v>
      </c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" customHeight="1">
      <c r="A139" s="44" t="s">
        <v>473</v>
      </c>
      <c r="B139" s="47" t="s">
        <v>474</v>
      </c>
      <c r="C139" s="46" t="s">
        <v>475</v>
      </c>
      <c r="D139" s="47" t="s">
        <v>52</v>
      </c>
      <c r="E139" s="48">
        <v>450</v>
      </c>
      <c r="F139" s="49"/>
      <c r="G139" s="49">
        <f t="shared" si="0"/>
        <v>91</v>
      </c>
      <c r="H139" s="50" t="s">
        <v>53</v>
      </c>
      <c r="I139" s="51">
        <v>244</v>
      </c>
      <c r="J139" s="52">
        <v>40.799999999999997</v>
      </c>
      <c r="K139" s="53">
        <f t="shared" si="1"/>
        <v>18.603999999999999</v>
      </c>
      <c r="L139" s="50" t="s">
        <v>274</v>
      </c>
      <c r="M139" s="54" t="str">
        <f>VLOOKUP(L139,Packaging!$B$3:$C$21,2,0)</f>
        <v>290 X 200 X 100</v>
      </c>
      <c r="N139" s="47"/>
      <c r="O139" s="47">
        <v>25</v>
      </c>
      <c r="P139" s="47" t="s">
        <v>55</v>
      </c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" customHeight="1">
      <c r="A140" s="44" t="s">
        <v>476</v>
      </c>
      <c r="B140" s="47" t="s">
        <v>477</v>
      </c>
      <c r="C140" s="46" t="s">
        <v>478</v>
      </c>
      <c r="D140" s="47" t="s">
        <v>52</v>
      </c>
      <c r="E140" s="48">
        <v>450</v>
      </c>
      <c r="F140" s="49"/>
      <c r="G140" s="49">
        <f t="shared" si="0"/>
        <v>91</v>
      </c>
      <c r="H140" s="50" t="s">
        <v>53</v>
      </c>
      <c r="I140" s="51">
        <v>244</v>
      </c>
      <c r="J140" s="52">
        <v>40.799999999999997</v>
      </c>
      <c r="K140" s="53">
        <f t="shared" si="1"/>
        <v>18.603999999999999</v>
      </c>
      <c r="L140" s="50" t="s">
        <v>274</v>
      </c>
      <c r="M140" s="54" t="str">
        <f>VLOOKUP(L140,Packaging!$B$3:$C$21,2,0)</f>
        <v>290 X 200 X 100</v>
      </c>
      <c r="N140" s="47"/>
      <c r="O140" s="47">
        <v>25</v>
      </c>
      <c r="P140" s="47" t="s">
        <v>55</v>
      </c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" customHeight="1">
      <c r="A141" s="44" t="s">
        <v>479</v>
      </c>
      <c r="B141" s="47" t="s">
        <v>480</v>
      </c>
      <c r="C141" s="46" t="s">
        <v>481</v>
      </c>
      <c r="D141" s="47" t="s">
        <v>52</v>
      </c>
      <c r="E141" s="48">
        <v>1000</v>
      </c>
      <c r="F141" s="49"/>
      <c r="G141" s="49">
        <f t="shared" si="0"/>
        <v>91</v>
      </c>
      <c r="H141" s="50" t="s">
        <v>53</v>
      </c>
      <c r="I141" s="51">
        <v>280</v>
      </c>
      <c r="J141" s="52">
        <v>101.8</v>
      </c>
      <c r="K141" s="53">
        <f t="shared" si="1"/>
        <v>102.08</v>
      </c>
      <c r="L141" s="50" t="s">
        <v>54</v>
      </c>
      <c r="M141" s="54" t="str">
        <f>VLOOKUP(L141,Packaging!$B$3:$C$21,2,0)</f>
        <v>290 X 200 X 140</v>
      </c>
      <c r="N141" s="47"/>
      <c r="O141" s="47">
        <v>10</v>
      </c>
      <c r="P141" s="47" t="s">
        <v>55</v>
      </c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" customHeight="1">
      <c r="A142" s="44" t="s">
        <v>482</v>
      </c>
      <c r="B142" s="45" t="s">
        <v>483</v>
      </c>
      <c r="C142" s="46" t="s">
        <v>484</v>
      </c>
      <c r="D142" s="47" t="s">
        <v>52</v>
      </c>
      <c r="E142" s="48">
        <v>56</v>
      </c>
      <c r="F142" s="49"/>
      <c r="G142" s="49">
        <f t="shared" si="0"/>
        <v>91</v>
      </c>
      <c r="H142" s="50" t="s">
        <v>53</v>
      </c>
      <c r="I142" s="51">
        <v>280</v>
      </c>
      <c r="J142" s="52">
        <v>72</v>
      </c>
      <c r="K142" s="53">
        <f t="shared" si="1"/>
        <v>4.3120000000000003</v>
      </c>
      <c r="L142" s="50" t="s">
        <v>54</v>
      </c>
      <c r="M142" s="54" t="str">
        <f>VLOOKUP(L142,Packaging!$B$3:$C$21,2,0)</f>
        <v>290 X 200 X 140</v>
      </c>
      <c r="N142" s="47"/>
      <c r="O142" s="47">
        <v>7</v>
      </c>
      <c r="P142" s="47" t="s">
        <v>55</v>
      </c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" customHeight="1">
      <c r="A143" s="44" t="s">
        <v>485</v>
      </c>
      <c r="B143" s="45" t="s">
        <v>486</v>
      </c>
      <c r="C143" s="46" t="s">
        <v>487</v>
      </c>
      <c r="D143" s="47" t="s">
        <v>52</v>
      </c>
      <c r="E143" s="48">
        <v>2000</v>
      </c>
      <c r="F143" s="49"/>
      <c r="G143" s="49">
        <f t="shared" si="0"/>
        <v>91</v>
      </c>
      <c r="H143" s="50" t="s">
        <v>53</v>
      </c>
      <c r="I143" s="51">
        <v>280</v>
      </c>
      <c r="J143" s="52">
        <v>0.2</v>
      </c>
      <c r="K143" s="53">
        <f t="shared" si="1"/>
        <v>0.68</v>
      </c>
      <c r="L143" s="50" t="s">
        <v>54</v>
      </c>
      <c r="M143" s="54" t="str">
        <f>VLOOKUP(L143,Packaging!$B$3:$C$21,2,0)</f>
        <v>290 X 200 X 140</v>
      </c>
      <c r="N143" s="47"/>
      <c r="O143" s="47">
        <v>100</v>
      </c>
      <c r="P143" s="47" t="s">
        <v>55</v>
      </c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" customHeight="1">
      <c r="A144" s="44" t="s">
        <v>488</v>
      </c>
      <c r="B144" s="45" t="s">
        <v>489</v>
      </c>
      <c r="C144" s="46" t="s">
        <v>490</v>
      </c>
      <c r="D144" s="47" t="s">
        <v>52</v>
      </c>
      <c r="E144" s="48">
        <v>60</v>
      </c>
      <c r="F144" s="49"/>
      <c r="G144" s="49">
        <f t="shared" si="0"/>
        <v>91</v>
      </c>
      <c r="H144" s="50" t="s">
        <v>53</v>
      </c>
      <c r="I144" s="51">
        <v>244</v>
      </c>
      <c r="J144" s="52">
        <v>224.8</v>
      </c>
      <c r="K144" s="53">
        <f t="shared" si="1"/>
        <v>13.731999999999999</v>
      </c>
      <c r="L144" s="50" t="s">
        <v>274</v>
      </c>
      <c r="M144" s="54" t="str">
        <f>VLOOKUP(L144,Packaging!$B$3:$C$21,2,0)</f>
        <v>290 X 200 X 100</v>
      </c>
      <c r="N144" s="47"/>
      <c r="O144" s="47">
        <v>1</v>
      </c>
      <c r="P144" s="47" t="s">
        <v>55</v>
      </c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" customHeight="1">
      <c r="A145" s="44" t="s">
        <v>491</v>
      </c>
      <c r="B145" s="45" t="s">
        <v>492</v>
      </c>
      <c r="C145" s="46" t="s">
        <v>493</v>
      </c>
      <c r="D145" s="47" t="s">
        <v>52</v>
      </c>
      <c r="E145" s="48">
        <v>450</v>
      </c>
      <c r="F145" s="49"/>
      <c r="G145" s="49">
        <f t="shared" si="0"/>
        <v>91</v>
      </c>
      <c r="H145" s="50" t="s">
        <v>53</v>
      </c>
      <c r="I145" s="51">
        <v>280</v>
      </c>
      <c r="J145" s="52">
        <v>40.200000000000003</v>
      </c>
      <c r="K145" s="53">
        <f t="shared" si="1"/>
        <v>18.37</v>
      </c>
      <c r="L145" s="50" t="s">
        <v>54</v>
      </c>
      <c r="M145" s="54" t="str">
        <f>VLOOKUP(L145,Packaging!$B$3:$C$21,2,0)</f>
        <v>290 X 200 X 140</v>
      </c>
      <c r="N145" s="47"/>
      <c r="O145" s="47">
        <v>75</v>
      </c>
      <c r="P145" s="47" t="s">
        <v>55</v>
      </c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" customHeight="1">
      <c r="A146" s="44" t="s">
        <v>494</v>
      </c>
      <c r="B146" s="45" t="s">
        <v>495</v>
      </c>
      <c r="C146" s="46" t="s">
        <v>496</v>
      </c>
      <c r="D146" s="47" t="s">
        <v>52</v>
      </c>
      <c r="E146" s="48">
        <v>40</v>
      </c>
      <c r="F146" s="49"/>
      <c r="G146" s="49">
        <f t="shared" si="0"/>
        <v>91</v>
      </c>
      <c r="H146" s="50" t="s">
        <v>53</v>
      </c>
      <c r="I146" s="51">
        <v>278</v>
      </c>
      <c r="J146" s="52">
        <v>106.8</v>
      </c>
      <c r="K146" s="53">
        <f t="shared" si="1"/>
        <v>4.55</v>
      </c>
      <c r="L146" s="50" t="s">
        <v>161</v>
      </c>
      <c r="M146" s="54" t="str">
        <f>VLOOKUP(L146,Packaging!$B$3:$C$21,2,0)</f>
        <v>360 X 270 X 128</v>
      </c>
      <c r="N146" s="47"/>
      <c r="O146" s="47">
        <v>1</v>
      </c>
      <c r="P146" s="47" t="s">
        <v>55</v>
      </c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" customHeight="1">
      <c r="A147" s="44" t="s">
        <v>497</v>
      </c>
      <c r="B147" s="45" t="s">
        <v>498</v>
      </c>
      <c r="C147" s="46" t="s">
        <v>499</v>
      </c>
      <c r="D147" s="47" t="s">
        <v>52</v>
      </c>
      <c r="E147" s="48">
        <v>200</v>
      </c>
      <c r="F147" s="49"/>
      <c r="G147" s="49">
        <f t="shared" si="0"/>
        <v>91</v>
      </c>
      <c r="H147" s="50" t="s">
        <v>53</v>
      </c>
      <c r="I147" s="51">
        <v>278</v>
      </c>
      <c r="J147" s="52">
        <v>72</v>
      </c>
      <c r="K147" s="53">
        <f t="shared" si="1"/>
        <v>14.678000000000001</v>
      </c>
      <c r="L147" s="50" t="s">
        <v>161</v>
      </c>
      <c r="M147" s="54" t="str">
        <f>VLOOKUP(L147,Packaging!$B$3:$C$21,2,0)</f>
        <v>360 X 270 X 128</v>
      </c>
      <c r="N147" s="47"/>
      <c r="O147" s="47">
        <v>10</v>
      </c>
      <c r="P147" s="47" t="s">
        <v>55</v>
      </c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" customHeight="1">
      <c r="A148" s="44" t="s">
        <v>500</v>
      </c>
      <c r="B148" s="45" t="s">
        <v>501</v>
      </c>
      <c r="C148" s="46" t="s">
        <v>502</v>
      </c>
      <c r="D148" s="47" t="s">
        <v>52</v>
      </c>
      <c r="E148" s="48">
        <v>750</v>
      </c>
      <c r="F148" s="49"/>
      <c r="G148" s="49">
        <f t="shared" si="0"/>
        <v>91</v>
      </c>
      <c r="H148" s="50" t="s">
        <v>53</v>
      </c>
      <c r="I148" s="51">
        <v>280</v>
      </c>
      <c r="J148" s="52">
        <v>11.2</v>
      </c>
      <c r="K148" s="53">
        <f t="shared" si="1"/>
        <v>8.68</v>
      </c>
      <c r="L148" s="50" t="s">
        <v>54</v>
      </c>
      <c r="M148" s="54" t="str">
        <f>VLOOKUP(L148,Packaging!$B$3:$C$21,2,0)</f>
        <v>290 X 200 X 140</v>
      </c>
      <c r="N148" s="47"/>
      <c r="O148" s="47">
        <v>50</v>
      </c>
      <c r="P148" s="47" t="s">
        <v>55</v>
      </c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" customHeight="1">
      <c r="A149" s="44" t="s">
        <v>503</v>
      </c>
      <c r="B149" s="45" t="s">
        <v>504</v>
      </c>
      <c r="C149" s="46" t="s">
        <v>505</v>
      </c>
      <c r="D149" s="47" t="s">
        <v>52</v>
      </c>
      <c r="E149" s="48">
        <v>800</v>
      </c>
      <c r="F149" s="49"/>
      <c r="G149" s="49">
        <f t="shared" si="0"/>
        <v>91</v>
      </c>
      <c r="H149" s="50" t="s">
        <v>53</v>
      </c>
      <c r="I149" s="51">
        <v>280</v>
      </c>
      <c r="J149" s="52">
        <v>10.8</v>
      </c>
      <c r="K149" s="53">
        <f t="shared" si="1"/>
        <v>8.92</v>
      </c>
      <c r="L149" s="50" t="s">
        <v>54</v>
      </c>
      <c r="M149" s="54" t="str">
        <f>VLOOKUP(L149,Packaging!$B$3:$C$21,2,0)</f>
        <v>290 X 200 X 140</v>
      </c>
      <c r="N149" s="47"/>
      <c r="O149" s="47">
        <v>100</v>
      </c>
      <c r="P149" s="47" t="s">
        <v>55</v>
      </c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" customHeight="1">
      <c r="A150" s="44" t="s">
        <v>506</v>
      </c>
      <c r="B150" s="45" t="s">
        <v>507</v>
      </c>
      <c r="C150" s="46" t="s">
        <v>508</v>
      </c>
      <c r="D150" s="47" t="s">
        <v>52</v>
      </c>
      <c r="E150" s="48">
        <v>400</v>
      </c>
      <c r="F150" s="49"/>
      <c r="G150" s="49">
        <f t="shared" si="0"/>
        <v>91</v>
      </c>
      <c r="H150" s="50" t="s">
        <v>53</v>
      </c>
      <c r="I150" s="51">
        <v>280</v>
      </c>
      <c r="J150" s="52">
        <v>28.6</v>
      </c>
      <c r="K150" s="53">
        <f t="shared" si="1"/>
        <v>11.72</v>
      </c>
      <c r="L150" s="50" t="s">
        <v>54</v>
      </c>
      <c r="M150" s="54" t="str">
        <f>VLOOKUP(L150,Packaging!$B$3:$C$21,2,0)</f>
        <v>290 X 200 X 140</v>
      </c>
      <c r="N150" s="47"/>
      <c r="O150" s="47">
        <v>50</v>
      </c>
      <c r="P150" s="47" t="s">
        <v>55</v>
      </c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" customHeight="1">
      <c r="A151" s="44" t="s">
        <v>509</v>
      </c>
      <c r="B151" s="45" t="s">
        <v>510</v>
      </c>
      <c r="C151" s="46" t="s">
        <v>511</v>
      </c>
      <c r="D151" s="47" t="s">
        <v>52</v>
      </c>
      <c r="E151" s="48">
        <v>60</v>
      </c>
      <c r="F151" s="49"/>
      <c r="G151" s="49">
        <f t="shared" si="0"/>
        <v>91</v>
      </c>
      <c r="H151" s="50" t="s">
        <v>53</v>
      </c>
      <c r="I151" s="51">
        <v>280</v>
      </c>
      <c r="J151" s="52">
        <v>261.39999999999998</v>
      </c>
      <c r="K151" s="53">
        <f t="shared" si="1"/>
        <v>15.963999999999999</v>
      </c>
      <c r="L151" s="50" t="s">
        <v>54</v>
      </c>
      <c r="M151" s="54" t="str">
        <f>VLOOKUP(L151,Packaging!$B$3:$C$21,2,0)</f>
        <v>290 X 200 X 140</v>
      </c>
      <c r="N151" s="47"/>
      <c r="O151" s="47">
        <v>1</v>
      </c>
      <c r="P151" s="47" t="s">
        <v>55</v>
      </c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" customHeight="1">
      <c r="A152" s="44" t="s">
        <v>512</v>
      </c>
      <c r="B152" s="45" t="s">
        <v>513</v>
      </c>
      <c r="C152" s="46" t="s">
        <v>514</v>
      </c>
      <c r="D152" s="47" t="s">
        <v>52</v>
      </c>
      <c r="E152" s="48">
        <v>22</v>
      </c>
      <c r="F152" s="49"/>
      <c r="G152" s="49">
        <f t="shared" si="0"/>
        <v>91</v>
      </c>
      <c r="H152" s="50" t="s">
        <v>53</v>
      </c>
      <c r="I152" s="51">
        <v>430</v>
      </c>
      <c r="J152" s="52">
        <v>700.8</v>
      </c>
      <c r="K152" s="53">
        <f t="shared" si="1"/>
        <v>15.847599999999998</v>
      </c>
      <c r="L152" s="50" t="s">
        <v>83</v>
      </c>
      <c r="M152" s="54" t="str">
        <f>VLOOKUP(L152,Packaging!$B$3:$C$21,2,0)</f>
        <v>560 X 175 X 155</v>
      </c>
      <c r="N152" s="47"/>
      <c r="O152" s="47">
        <v>1</v>
      </c>
      <c r="P152" s="47" t="s">
        <v>55</v>
      </c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" customHeight="1">
      <c r="A153" s="44" t="s">
        <v>515</v>
      </c>
      <c r="B153" s="45" t="s">
        <v>516</v>
      </c>
      <c r="C153" s="46" t="s">
        <v>517</v>
      </c>
      <c r="D153" s="47" t="s">
        <v>52</v>
      </c>
      <c r="E153" s="48">
        <v>16</v>
      </c>
      <c r="F153" s="49"/>
      <c r="G153" s="49">
        <f t="shared" si="0"/>
        <v>91</v>
      </c>
      <c r="H153" s="50" t="s">
        <v>53</v>
      </c>
      <c r="I153" s="51">
        <v>430</v>
      </c>
      <c r="J153" s="52">
        <v>896.4</v>
      </c>
      <c r="K153" s="53">
        <f t="shared" si="1"/>
        <v>14.772399999999999</v>
      </c>
      <c r="L153" s="50" t="s">
        <v>83</v>
      </c>
      <c r="M153" s="54" t="str">
        <f>VLOOKUP(L153,Packaging!$B$3:$C$21,2,0)</f>
        <v>560 X 175 X 155</v>
      </c>
      <c r="N153" s="47"/>
      <c r="O153" s="47">
        <v>1</v>
      </c>
      <c r="P153" s="47" t="s">
        <v>55</v>
      </c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" customHeight="1">
      <c r="A154" s="44" t="s">
        <v>518</v>
      </c>
      <c r="B154" s="45" t="s">
        <v>519</v>
      </c>
      <c r="C154" s="46" t="s">
        <v>520</v>
      </c>
      <c r="D154" s="47" t="s">
        <v>52</v>
      </c>
      <c r="E154" s="48">
        <v>22</v>
      </c>
      <c r="F154" s="49"/>
      <c r="G154" s="49">
        <f t="shared" si="0"/>
        <v>91</v>
      </c>
      <c r="H154" s="50" t="s">
        <v>53</v>
      </c>
      <c r="I154" s="51">
        <v>430</v>
      </c>
      <c r="J154" s="52">
        <v>450</v>
      </c>
      <c r="K154" s="53">
        <f t="shared" si="1"/>
        <v>10.33</v>
      </c>
      <c r="L154" s="50" t="s">
        <v>83</v>
      </c>
      <c r="M154" s="54" t="str">
        <f>VLOOKUP(L154,Packaging!$B$3:$C$21,2,0)</f>
        <v>560 X 175 X 155</v>
      </c>
      <c r="N154" s="47"/>
      <c r="O154" s="47">
        <v>1</v>
      </c>
      <c r="P154" s="47" t="s">
        <v>55</v>
      </c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" customHeight="1">
      <c r="A155" s="44" t="s">
        <v>521</v>
      </c>
      <c r="B155" s="45" t="s">
        <v>522</v>
      </c>
      <c r="C155" s="46" t="s">
        <v>523</v>
      </c>
      <c r="D155" s="47" t="s">
        <v>52</v>
      </c>
      <c r="E155" s="48">
        <v>250</v>
      </c>
      <c r="F155" s="49"/>
      <c r="G155" s="49">
        <f t="shared" si="0"/>
        <v>91</v>
      </c>
      <c r="H155" s="50" t="s">
        <v>53</v>
      </c>
      <c r="I155" s="51">
        <v>280</v>
      </c>
      <c r="J155" s="52">
        <v>34.6</v>
      </c>
      <c r="K155" s="53">
        <f t="shared" si="1"/>
        <v>8.93</v>
      </c>
      <c r="L155" s="50" t="s">
        <v>54</v>
      </c>
      <c r="M155" s="54" t="str">
        <f>VLOOKUP(L155,Packaging!$B$3:$C$21,2,0)</f>
        <v>290 X 200 X 140</v>
      </c>
      <c r="N155" s="47"/>
      <c r="O155" s="47">
        <v>5</v>
      </c>
      <c r="P155" s="47" t="s">
        <v>55</v>
      </c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" customHeight="1">
      <c r="A156" s="44" t="s">
        <v>524</v>
      </c>
      <c r="B156" s="45" t="s">
        <v>525</v>
      </c>
      <c r="C156" s="46" t="s">
        <v>526</v>
      </c>
      <c r="D156" s="47" t="s">
        <v>52</v>
      </c>
      <c r="E156" s="48">
        <v>80</v>
      </c>
      <c r="F156" s="49"/>
      <c r="G156" s="49">
        <f t="shared" si="0"/>
        <v>91</v>
      </c>
      <c r="H156" s="50" t="s">
        <v>53</v>
      </c>
      <c r="I156" s="51">
        <v>278</v>
      </c>
      <c r="J156" s="52">
        <v>45</v>
      </c>
      <c r="K156" s="53">
        <f t="shared" si="1"/>
        <v>3.8780000000000001</v>
      </c>
      <c r="L156" s="50" t="s">
        <v>161</v>
      </c>
      <c r="M156" s="54" t="str">
        <f>VLOOKUP(L156,Packaging!$B$3:$C$21,2,0)</f>
        <v>360 X 270 X 128</v>
      </c>
      <c r="N156" s="47"/>
      <c r="O156" s="47">
        <v>8</v>
      </c>
      <c r="P156" s="47" t="s">
        <v>55</v>
      </c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" customHeight="1">
      <c r="A157" s="44" t="s">
        <v>527</v>
      </c>
      <c r="B157" s="45" t="s">
        <v>528</v>
      </c>
      <c r="C157" s="46" t="s">
        <v>529</v>
      </c>
      <c r="D157" s="47" t="s">
        <v>52</v>
      </c>
      <c r="E157" s="48">
        <v>200</v>
      </c>
      <c r="F157" s="49"/>
      <c r="G157" s="49">
        <f t="shared" si="0"/>
        <v>91</v>
      </c>
      <c r="H157" s="50" t="s">
        <v>53</v>
      </c>
      <c r="I157" s="51">
        <v>378</v>
      </c>
      <c r="J157" s="52">
        <v>50</v>
      </c>
      <c r="K157" s="53">
        <f t="shared" si="1"/>
        <v>10.378</v>
      </c>
      <c r="L157" s="50" t="s">
        <v>91</v>
      </c>
      <c r="M157" s="54" t="str">
        <f>VLOOKUP(L157,Packaging!$B$3:$C$21,2,0)</f>
        <v>400 X 240 X 130</v>
      </c>
      <c r="N157" s="47"/>
      <c r="O157" s="47">
        <v>5</v>
      </c>
      <c r="P157" s="47" t="s">
        <v>55</v>
      </c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" customHeight="1">
      <c r="A158" s="44" t="s">
        <v>530</v>
      </c>
      <c r="B158" s="45" t="s">
        <v>531</v>
      </c>
      <c r="C158" s="46" t="s">
        <v>532</v>
      </c>
      <c r="D158" s="47" t="s">
        <v>52</v>
      </c>
      <c r="E158" s="48">
        <v>70</v>
      </c>
      <c r="F158" s="49"/>
      <c r="G158" s="49">
        <f t="shared" si="0"/>
        <v>91</v>
      </c>
      <c r="H158" s="50" t="s">
        <v>53</v>
      </c>
      <c r="I158" s="51">
        <v>280</v>
      </c>
      <c r="J158" s="52">
        <v>178.2</v>
      </c>
      <c r="K158" s="53">
        <f t="shared" si="1"/>
        <v>12.754</v>
      </c>
      <c r="L158" s="50" t="s">
        <v>54</v>
      </c>
      <c r="M158" s="54" t="str">
        <f>VLOOKUP(L158,Packaging!$B$3:$C$21,2,0)</f>
        <v>290 X 200 X 140</v>
      </c>
      <c r="N158" s="47"/>
      <c r="O158" s="47">
        <v>1</v>
      </c>
      <c r="P158" s="47" t="s">
        <v>55</v>
      </c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" customHeight="1">
      <c r="A159" s="44" t="s">
        <v>533</v>
      </c>
      <c r="B159" s="45" t="s">
        <v>534</v>
      </c>
      <c r="C159" s="46" t="s">
        <v>535</v>
      </c>
      <c r="D159" s="47" t="s">
        <v>52</v>
      </c>
      <c r="E159" s="48">
        <v>24</v>
      </c>
      <c r="F159" s="49"/>
      <c r="G159" s="49">
        <f t="shared" si="0"/>
        <v>91</v>
      </c>
      <c r="H159" s="50" t="s">
        <v>53</v>
      </c>
      <c r="I159" s="51">
        <v>278</v>
      </c>
      <c r="J159" s="52">
        <v>90</v>
      </c>
      <c r="K159" s="53">
        <f t="shared" si="1"/>
        <v>2.4380000000000002</v>
      </c>
      <c r="L159" s="50" t="s">
        <v>161</v>
      </c>
      <c r="M159" s="54" t="str">
        <f>VLOOKUP(L159,Packaging!$B$3:$C$21,2,0)</f>
        <v>360 X 270 X 128</v>
      </c>
      <c r="N159" s="47"/>
      <c r="O159" s="47">
        <v>1</v>
      </c>
      <c r="P159" s="47" t="s">
        <v>55</v>
      </c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" customHeight="1">
      <c r="A160" s="44" t="s">
        <v>536</v>
      </c>
      <c r="B160" s="45" t="s">
        <v>537</v>
      </c>
      <c r="C160" s="46" t="s">
        <v>538</v>
      </c>
      <c r="D160" s="47" t="s">
        <v>52</v>
      </c>
      <c r="E160" s="48">
        <v>44</v>
      </c>
      <c r="F160" s="49"/>
      <c r="G160" s="49">
        <f t="shared" si="0"/>
        <v>91</v>
      </c>
      <c r="H160" s="50" t="s">
        <v>53</v>
      </c>
      <c r="I160" s="51">
        <v>378</v>
      </c>
      <c r="J160" s="52">
        <v>129.6</v>
      </c>
      <c r="K160" s="53">
        <f t="shared" si="1"/>
        <v>6.0804</v>
      </c>
      <c r="L160" s="50" t="s">
        <v>91</v>
      </c>
      <c r="M160" s="54" t="str">
        <f>VLOOKUP(L160,Packaging!$B$3:$C$21,2,0)</f>
        <v>400 X 240 X 130</v>
      </c>
      <c r="N160" s="47"/>
      <c r="O160" s="47">
        <v>4</v>
      </c>
      <c r="P160" s="47" t="s">
        <v>55</v>
      </c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" customHeight="1">
      <c r="A161" s="44" t="s">
        <v>539</v>
      </c>
      <c r="B161" s="45" t="s">
        <v>540</v>
      </c>
      <c r="C161" s="46" t="s">
        <v>541</v>
      </c>
      <c r="D161" s="47" t="s">
        <v>52</v>
      </c>
      <c r="E161" s="48">
        <v>200</v>
      </c>
      <c r="F161" s="49"/>
      <c r="G161" s="49">
        <f t="shared" si="0"/>
        <v>91</v>
      </c>
      <c r="H161" s="50" t="s">
        <v>53</v>
      </c>
      <c r="I161" s="51">
        <v>280</v>
      </c>
      <c r="J161" s="52">
        <v>20.399999999999999</v>
      </c>
      <c r="K161" s="53">
        <f t="shared" si="1"/>
        <v>4.3600000000000003</v>
      </c>
      <c r="L161" s="50" t="s">
        <v>54</v>
      </c>
      <c r="M161" s="54" t="str">
        <f>VLOOKUP(L161,Packaging!$B$3:$C$21,2,0)</f>
        <v>290 X 200 X 140</v>
      </c>
      <c r="N161" s="47"/>
      <c r="O161" s="47">
        <v>10</v>
      </c>
      <c r="P161" s="47" t="s">
        <v>55</v>
      </c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" customHeight="1">
      <c r="A162" s="44" t="s">
        <v>542</v>
      </c>
      <c r="B162" s="45" t="s">
        <v>543</v>
      </c>
      <c r="C162" s="46" t="s">
        <v>544</v>
      </c>
      <c r="D162" s="47" t="s">
        <v>52</v>
      </c>
      <c r="E162" s="48">
        <v>40</v>
      </c>
      <c r="F162" s="49"/>
      <c r="G162" s="49">
        <f t="shared" si="0"/>
        <v>91</v>
      </c>
      <c r="H162" s="50" t="s">
        <v>53</v>
      </c>
      <c r="I162" s="51">
        <v>378</v>
      </c>
      <c r="J162" s="52">
        <v>253.2</v>
      </c>
      <c r="K162" s="53">
        <f t="shared" si="1"/>
        <v>10.506</v>
      </c>
      <c r="L162" s="50" t="s">
        <v>91</v>
      </c>
      <c r="M162" s="54" t="str">
        <f>VLOOKUP(L162,Packaging!$B$3:$C$21,2,0)</f>
        <v>400 X 240 X 130</v>
      </c>
      <c r="N162" s="47"/>
      <c r="O162" s="47">
        <v>4</v>
      </c>
      <c r="P162" s="47" t="s">
        <v>55</v>
      </c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" customHeight="1">
      <c r="A163" s="44" t="s">
        <v>545</v>
      </c>
      <c r="B163" s="47" t="s">
        <v>546</v>
      </c>
      <c r="C163" s="46" t="s">
        <v>547</v>
      </c>
      <c r="D163" s="47" t="s">
        <v>52</v>
      </c>
      <c r="E163" s="48">
        <v>140</v>
      </c>
      <c r="F163" s="49"/>
      <c r="G163" s="49">
        <f t="shared" si="0"/>
        <v>91</v>
      </c>
      <c r="H163" s="50" t="s">
        <v>53</v>
      </c>
      <c r="I163" s="51">
        <v>280</v>
      </c>
      <c r="J163" s="52">
        <v>18.2</v>
      </c>
      <c r="K163" s="53">
        <f t="shared" si="1"/>
        <v>2.8279999999999998</v>
      </c>
      <c r="L163" s="50" t="s">
        <v>54</v>
      </c>
      <c r="M163" s="54" t="str">
        <f>VLOOKUP(L163,Packaging!$B$3:$C$21,2,0)</f>
        <v>290 X 200 X 140</v>
      </c>
      <c r="N163" s="47"/>
      <c r="O163" s="47">
        <v>2</v>
      </c>
      <c r="P163" s="47" t="s">
        <v>55</v>
      </c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" customHeight="1">
      <c r="A164" s="44" t="s">
        <v>548</v>
      </c>
      <c r="B164" s="47" t="s">
        <v>549</v>
      </c>
      <c r="C164" s="46" t="s">
        <v>550</v>
      </c>
      <c r="D164" s="47" t="s">
        <v>52</v>
      </c>
      <c r="E164" s="48">
        <v>140</v>
      </c>
      <c r="F164" s="49"/>
      <c r="G164" s="49">
        <f t="shared" si="0"/>
        <v>91</v>
      </c>
      <c r="H164" s="50" t="s">
        <v>53</v>
      </c>
      <c r="I164" s="51">
        <v>280</v>
      </c>
      <c r="J164" s="52">
        <v>18</v>
      </c>
      <c r="K164" s="53">
        <f t="shared" si="1"/>
        <v>2.8</v>
      </c>
      <c r="L164" s="50" t="s">
        <v>54</v>
      </c>
      <c r="M164" s="54" t="str">
        <f>VLOOKUP(L164,Packaging!$B$3:$C$21,2,0)</f>
        <v>290 X 200 X 140</v>
      </c>
      <c r="N164" s="47"/>
      <c r="O164" s="47">
        <v>2</v>
      </c>
      <c r="P164" s="47" t="s">
        <v>55</v>
      </c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" customHeight="1">
      <c r="A165" s="44" t="s">
        <v>551</v>
      </c>
      <c r="B165" s="45" t="s">
        <v>552</v>
      </c>
      <c r="C165" s="46" t="s">
        <v>553</v>
      </c>
      <c r="D165" s="47" t="s">
        <v>52</v>
      </c>
      <c r="E165" s="48">
        <v>36</v>
      </c>
      <c r="F165" s="49"/>
      <c r="G165" s="49">
        <f t="shared" si="0"/>
        <v>91</v>
      </c>
      <c r="H165" s="50" t="s">
        <v>53</v>
      </c>
      <c r="I165" s="51">
        <v>280</v>
      </c>
      <c r="J165" s="52">
        <v>267.60000000000002</v>
      </c>
      <c r="K165" s="53">
        <f t="shared" si="1"/>
        <v>9.9136000000000006</v>
      </c>
      <c r="L165" s="50" t="s">
        <v>54</v>
      </c>
      <c r="M165" s="54" t="str">
        <f>VLOOKUP(L165,Packaging!$B$3:$C$21,2,0)</f>
        <v>290 X 200 X 140</v>
      </c>
      <c r="N165" s="47"/>
      <c r="O165" s="47">
        <v>2</v>
      </c>
      <c r="P165" s="47" t="s">
        <v>55</v>
      </c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" customHeight="1">
      <c r="A166" s="44" t="s">
        <v>554</v>
      </c>
      <c r="B166" s="45" t="s">
        <v>555</v>
      </c>
      <c r="C166" s="46" t="s">
        <v>556</v>
      </c>
      <c r="D166" s="47" t="s">
        <v>52</v>
      </c>
      <c r="E166" s="48">
        <v>36</v>
      </c>
      <c r="F166" s="49"/>
      <c r="G166" s="49">
        <f t="shared" si="0"/>
        <v>91</v>
      </c>
      <c r="H166" s="50" t="s">
        <v>53</v>
      </c>
      <c r="I166" s="51">
        <v>280</v>
      </c>
      <c r="J166" s="52">
        <v>267.60000000000002</v>
      </c>
      <c r="K166" s="53">
        <f t="shared" si="1"/>
        <v>9.9136000000000006</v>
      </c>
      <c r="L166" s="50" t="s">
        <v>54</v>
      </c>
      <c r="M166" s="54" t="str">
        <f>VLOOKUP(L166,Packaging!$B$3:$C$21,2,0)</f>
        <v>290 X 200 X 140</v>
      </c>
      <c r="N166" s="47"/>
      <c r="O166" s="47">
        <v>2</v>
      </c>
      <c r="P166" s="47" t="s">
        <v>55</v>
      </c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" customHeight="1">
      <c r="A167" s="44" t="s">
        <v>557</v>
      </c>
      <c r="B167" s="45" t="s">
        <v>558</v>
      </c>
      <c r="C167" s="46" t="s">
        <v>559</v>
      </c>
      <c r="D167" s="47" t="s">
        <v>52</v>
      </c>
      <c r="E167" s="48">
        <v>180</v>
      </c>
      <c r="F167" s="49"/>
      <c r="G167" s="49">
        <f t="shared" si="0"/>
        <v>91</v>
      </c>
      <c r="H167" s="50" t="s">
        <v>53</v>
      </c>
      <c r="I167" s="51">
        <v>280</v>
      </c>
      <c r="J167" s="52">
        <v>31.8</v>
      </c>
      <c r="K167" s="53">
        <f t="shared" si="1"/>
        <v>6.0039999999999996</v>
      </c>
      <c r="L167" s="50" t="s">
        <v>54</v>
      </c>
      <c r="M167" s="54" t="str">
        <f>VLOOKUP(L167,Packaging!$B$3:$C$21,2,0)</f>
        <v>290 X 200 X 140</v>
      </c>
      <c r="N167" s="47"/>
      <c r="O167" s="47">
        <v>30</v>
      </c>
      <c r="P167" s="47" t="s">
        <v>55</v>
      </c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" customHeight="1">
      <c r="A168" s="44" t="s">
        <v>560</v>
      </c>
      <c r="B168" s="45" t="s">
        <v>561</v>
      </c>
      <c r="C168" s="46" t="s">
        <v>562</v>
      </c>
      <c r="D168" s="47" t="s">
        <v>52</v>
      </c>
      <c r="E168" s="48">
        <v>800</v>
      </c>
      <c r="F168" s="49"/>
      <c r="G168" s="49">
        <f t="shared" si="0"/>
        <v>91</v>
      </c>
      <c r="H168" s="50" t="s">
        <v>53</v>
      </c>
      <c r="I168" s="51">
        <v>280</v>
      </c>
      <c r="J168" s="52">
        <v>11.8</v>
      </c>
      <c r="K168" s="53">
        <f t="shared" si="1"/>
        <v>9.7200000000000006</v>
      </c>
      <c r="L168" s="50" t="s">
        <v>54</v>
      </c>
      <c r="M168" s="54" t="str">
        <f>VLOOKUP(L168,Packaging!$B$3:$C$21,2,0)</f>
        <v>290 X 200 X 140</v>
      </c>
      <c r="N168" s="47"/>
      <c r="O168" s="47">
        <v>100</v>
      </c>
      <c r="P168" s="47" t="s">
        <v>55</v>
      </c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" customHeight="1">
      <c r="A169" s="44" t="s">
        <v>563</v>
      </c>
      <c r="B169" s="45" t="s">
        <v>564</v>
      </c>
      <c r="C169" s="46" t="s">
        <v>565</v>
      </c>
      <c r="D169" s="47" t="s">
        <v>52</v>
      </c>
      <c r="E169" s="48">
        <v>5</v>
      </c>
      <c r="F169" s="49"/>
      <c r="G169" s="49">
        <f t="shared" si="0"/>
        <v>91</v>
      </c>
      <c r="H169" s="50" t="s">
        <v>53</v>
      </c>
      <c r="I169" s="51">
        <v>1216</v>
      </c>
      <c r="J169" s="52">
        <v>1642.2</v>
      </c>
      <c r="K169" s="53">
        <f t="shared" si="1"/>
        <v>9.4269999999999996</v>
      </c>
      <c r="L169" s="50" t="s">
        <v>566</v>
      </c>
      <c r="M169" s="54" t="str">
        <f>VLOOKUP(L169,Packaging!$B$3:$C$21,2,0)</f>
        <v>455 X 445 X 375</v>
      </c>
      <c r="N169" s="47"/>
      <c r="O169" s="62">
        <v>1</v>
      </c>
      <c r="P169" s="47" t="s">
        <v>55</v>
      </c>
      <c r="Q169" s="64"/>
      <c r="R169" s="64"/>
      <c r="S169" s="64"/>
      <c r="T169" s="64"/>
      <c r="U169" s="64"/>
      <c r="V169" s="64"/>
      <c r="W169" s="64"/>
      <c r="X169" s="64"/>
      <c r="Y169" s="64"/>
      <c r="Z169" s="64"/>
    </row>
    <row r="170" spans="1:26" ht="18" customHeight="1">
      <c r="A170" s="44" t="s">
        <v>567</v>
      </c>
      <c r="B170" s="62">
        <v>926675</v>
      </c>
      <c r="C170" s="46" t="s">
        <v>568</v>
      </c>
      <c r="D170" s="47" t="s">
        <v>569</v>
      </c>
      <c r="E170" s="48">
        <v>1000</v>
      </c>
      <c r="F170" s="49"/>
      <c r="G170" s="49">
        <f t="shared" si="0"/>
        <v>91</v>
      </c>
      <c r="H170" s="47" t="s">
        <v>570</v>
      </c>
      <c r="I170" s="51">
        <v>280</v>
      </c>
      <c r="J170" s="52">
        <v>14.8</v>
      </c>
      <c r="K170" s="53">
        <f t="shared" si="1"/>
        <v>15.08</v>
      </c>
      <c r="L170" s="50" t="s">
        <v>54</v>
      </c>
      <c r="M170" s="54" t="str">
        <f>VLOOKUP(L170,Packaging!$B$3:$C$21,2,0)</f>
        <v>290 X 200 X 140</v>
      </c>
      <c r="N170" s="47"/>
      <c r="O170" s="47">
        <v>20</v>
      </c>
      <c r="P170" s="47" t="s">
        <v>55</v>
      </c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18" customHeight="1">
      <c r="A171" s="44" t="s">
        <v>571</v>
      </c>
      <c r="B171" s="62">
        <v>926680</v>
      </c>
      <c r="C171" s="46" t="s">
        <v>572</v>
      </c>
      <c r="D171" s="47" t="s">
        <v>569</v>
      </c>
      <c r="E171" s="48">
        <v>1000</v>
      </c>
      <c r="F171" s="49"/>
      <c r="G171" s="49">
        <f t="shared" si="0"/>
        <v>91</v>
      </c>
      <c r="H171" s="47" t="s">
        <v>570</v>
      </c>
      <c r="I171" s="51">
        <v>280</v>
      </c>
      <c r="J171" s="52">
        <v>14.8</v>
      </c>
      <c r="K171" s="53">
        <f t="shared" si="1"/>
        <v>15.08</v>
      </c>
      <c r="L171" s="50" t="s">
        <v>54</v>
      </c>
      <c r="M171" s="54" t="str">
        <f>VLOOKUP(L171,Packaging!$B$3:$C$21,2,0)</f>
        <v>290 X 200 X 140</v>
      </c>
      <c r="N171" s="47"/>
      <c r="O171" s="47">
        <v>20</v>
      </c>
      <c r="P171" s="47" t="s">
        <v>55</v>
      </c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18" customHeight="1">
      <c r="A172" s="44" t="s">
        <v>573</v>
      </c>
      <c r="B172" s="62">
        <v>940685</v>
      </c>
      <c r="C172" s="46" t="s">
        <v>574</v>
      </c>
      <c r="D172" s="47" t="s">
        <v>569</v>
      </c>
      <c r="E172" s="48">
        <v>1000</v>
      </c>
      <c r="F172" s="49"/>
      <c r="G172" s="49">
        <f t="shared" si="0"/>
        <v>91</v>
      </c>
      <c r="H172" s="47" t="s">
        <v>575</v>
      </c>
      <c r="I172" s="51">
        <v>280</v>
      </c>
      <c r="J172" s="52">
        <v>13.4</v>
      </c>
      <c r="K172" s="53">
        <f t="shared" si="1"/>
        <v>13.68</v>
      </c>
      <c r="L172" s="50" t="s">
        <v>54</v>
      </c>
      <c r="M172" s="54" t="str">
        <f>VLOOKUP(L172,Packaging!$B$3:$C$21,2,0)</f>
        <v>290 X 200 X 140</v>
      </c>
      <c r="N172" s="47"/>
      <c r="O172" s="47">
        <v>200</v>
      </c>
      <c r="P172" s="47" t="s">
        <v>55</v>
      </c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18" customHeight="1">
      <c r="A173" s="44" t="s">
        <v>576</v>
      </c>
      <c r="B173" s="62">
        <v>948914</v>
      </c>
      <c r="C173" s="46" t="s">
        <v>577</v>
      </c>
      <c r="D173" s="47" t="s">
        <v>569</v>
      </c>
      <c r="E173" s="48">
        <v>600</v>
      </c>
      <c r="F173" s="49"/>
      <c r="G173" s="49">
        <f t="shared" si="0"/>
        <v>91</v>
      </c>
      <c r="H173" s="47" t="s">
        <v>578</v>
      </c>
      <c r="I173" s="51">
        <v>280</v>
      </c>
      <c r="J173" s="52">
        <v>11.2</v>
      </c>
      <c r="K173" s="53">
        <f t="shared" si="1"/>
        <v>7</v>
      </c>
      <c r="L173" s="50" t="s">
        <v>54</v>
      </c>
      <c r="M173" s="54" t="str">
        <f>VLOOKUP(L173,Packaging!$B$3:$C$21,2,0)</f>
        <v>290 X 200 X 140</v>
      </c>
      <c r="N173" s="47"/>
      <c r="O173" s="47">
        <v>150</v>
      </c>
      <c r="P173" s="47" t="s">
        <v>55</v>
      </c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18" customHeight="1">
      <c r="A174" s="44" t="s">
        <v>579</v>
      </c>
      <c r="B174" s="47">
        <v>950261</v>
      </c>
      <c r="C174" s="46" t="s">
        <v>580</v>
      </c>
      <c r="D174" s="47" t="s">
        <v>569</v>
      </c>
      <c r="E174" s="48">
        <v>800</v>
      </c>
      <c r="F174" s="49"/>
      <c r="G174" s="49">
        <f t="shared" si="0"/>
        <v>91</v>
      </c>
      <c r="H174" s="47" t="s">
        <v>581</v>
      </c>
      <c r="I174" s="51">
        <v>280</v>
      </c>
      <c r="J174" s="52">
        <v>20</v>
      </c>
      <c r="K174" s="53">
        <f t="shared" si="1"/>
        <v>16.28</v>
      </c>
      <c r="L174" s="50" t="s">
        <v>54</v>
      </c>
      <c r="M174" s="54" t="str">
        <f>VLOOKUP(L174,Packaging!$B$3:$C$21,2,0)</f>
        <v>290 X 200 X 140</v>
      </c>
      <c r="N174" s="47"/>
      <c r="O174" s="47">
        <v>100</v>
      </c>
      <c r="P174" s="47" t="s">
        <v>55</v>
      </c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18" customHeight="1">
      <c r="A175" s="44" t="s">
        <v>582</v>
      </c>
      <c r="B175" s="47">
        <v>461077</v>
      </c>
      <c r="C175" s="46" t="s">
        <v>583</v>
      </c>
      <c r="D175" s="47" t="s">
        <v>569</v>
      </c>
      <c r="E175" s="48">
        <v>1000</v>
      </c>
      <c r="F175" s="49"/>
      <c r="G175" s="49">
        <f t="shared" si="0"/>
        <v>91</v>
      </c>
      <c r="H175" s="47" t="s">
        <v>53</v>
      </c>
      <c r="I175" s="51">
        <v>280</v>
      </c>
      <c r="J175" s="52">
        <v>4.8</v>
      </c>
      <c r="K175" s="53">
        <f t="shared" si="1"/>
        <v>5.08</v>
      </c>
      <c r="L175" s="50" t="s">
        <v>54</v>
      </c>
      <c r="M175" s="54" t="str">
        <f>VLOOKUP(L175,Packaging!$B$3:$C$21,2,0)</f>
        <v>290 X 200 X 140</v>
      </c>
      <c r="N175" s="47"/>
      <c r="O175" s="47">
        <v>250</v>
      </c>
      <c r="P175" s="47" t="s">
        <v>55</v>
      </c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18" customHeight="1">
      <c r="A176" s="44" t="s">
        <v>584</v>
      </c>
      <c r="B176" s="47">
        <v>949478</v>
      </c>
      <c r="C176" s="46" t="s">
        <v>585</v>
      </c>
      <c r="D176" s="47" t="s">
        <v>569</v>
      </c>
      <c r="E176" s="48">
        <v>1000</v>
      </c>
      <c r="F176" s="49"/>
      <c r="G176" s="49">
        <f t="shared" si="0"/>
        <v>91</v>
      </c>
      <c r="H176" s="65" t="s">
        <v>586</v>
      </c>
      <c r="I176" s="51"/>
      <c r="J176" s="52">
        <v>6.2</v>
      </c>
      <c r="K176" s="53">
        <f t="shared" si="1"/>
        <v>6.2</v>
      </c>
      <c r="L176" s="47"/>
      <c r="M176" s="54" t="e">
        <f>VLOOKUP(L176,Packaging!$B$3:$C$21,2,0)</f>
        <v>#N/A</v>
      </c>
      <c r="N176" s="47"/>
      <c r="O176" s="47"/>
      <c r="P176" s="47" t="s">
        <v>55</v>
      </c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18" customHeight="1">
      <c r="A177" s="44" t="s">
        <v>587</v>
      </c>
      <c r="B177" s="47">
        <v>947864</v>
      </c>
      <c r="C177" s="46" t="s">
        <v>580</v>
      </c>
      <c r="D177" s="47" t="s">
        <v>569</v>
      </c>
      <c r="E177" s="48">
        <v>540</v>
      </c>
      <c r="F177" s="49"/>
      <c r="G177" s="49">
        <f t="shared" si="0"/>
        <v>91</v>
      </c>
      <c r="H177" s="47" t="s">
        <v>588</v>
      </c>
      <c r="I177" s="51">
        <v>280</v>
      </c>
      <c r="J177" s="52">
        <v>42</v>
      </c>
      <c r="K177" s="53">
        <f t="shared" si="1"/>
        <v>22.96</v>
      </c>
      <c r="L177" s="50" t="s">
        <v>54</v>
      </c>
      <c r="M177" s="54" t="str">
        <f>VLOOKUP(L177,Packaging!$B$3:$C$21,2,0)</f>
        <v>290 X 200 X 140</v>
      </c>
      <c r="N177" s="47"/>
      <c r="O177" s="47">
        <v>20</v>
      </c>
      <c r="P177" s="47" t="s">
        <v>55</v>
      </c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18" customHeight="1">
      <c r="A178" s="44" t="s">
        <v>589</v>
      </c>
      <c r="B178" s="47">
        <v>944755</v>
      </c>
      <c r="C178" s="46" t="s">
        <v>590</v>
      </c>
      <c r="D178" s="47" t="s">
        <v>569</v>
      </c>
      <c r="E178" s="48">
        <v>1000</v>
      </c>
      <c r="F178" s="49"/>
      <c r="G178" s="49">
        <f t="shared" si="0"/>
        <v>91</v>
      </c>
      <c r="H178" s="47" t="s">
        <v>591</v>
      </c>
      <c r="I178" s="51">
        <v>280</v>
      </c>
      <c r="J178" s="52">
        <v>6.8</v>
      </c>
      <c r="K178" s="53">
        <f t="shared" si="1"/>
        <v>7.08</v>
      </c>
      <c r="L178" s="50" t="s">
        <v>54</v>
      </c>
      <c r="M178" s="54" t="str">
        <f>VLOOKUP(L178,Packaging!$B$3:$C$21,2,0)</f>
        <v>290 X 200 X 140</v>
      </c>
      <c r="N178" s="47"/>
      <c r="O178" s="47"/>
      <c r="P178" s="47" t="s">
        <v>55</v>
      </c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18" customHeight="1">
      <c r="A179" s="44" t="s">
        <v>592</v>
      </c>
      <c r="B179" s="66">
        <v>932975</v>
      </c>
      <c r="C179" s="46" t="s">
        <v>593</v>
      </c>
      <c r="D179" s="47" t="s">
        <v>569</v>
      </c>
      <c r="E179" s="48">
        <v>700</v>
      </c>
      <c r="F179" s="49"/>
      <c r="G179" s="49">
        <f t="shared" si="0"/>
        <v>91</v>
      </c>
      <c r="H179" s="47" t="s">
        <v>594</v>
      </c>
      <c r="I179" s="51">
        <v>280</v>
      </c>
      <c r="J179" s="52">
        <v>12.4</v>
      </c>
      <c r="K179" s="53">
        <f t="shared" si="1"/>
        <v>8.9600000000000009</v>
      </c>
      <c r="L179" s="50" t="s">
        <v>54</v>
      </c>
      <c r="M179" s="54" t="str">
        <f>VLOOKUP(L179,Packaging!$B$3:$C$21,2,0)</f>
        <v>290 X 200 X 140</v>
      </c>
      <c r="N179" s="47"/>
      <c r="O179" s="47">
        <v>100</v>
      </c>
      <c r="P179" s="47" t="s">
        <v>55</v>
      </c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18" customHeight="1">
      <c r="A180" s="44" t="s">
        <v>595</v>
      </c>
      <c r="B180" s="47">
        <v>934155</v>
      </c>
      <c r="C180" s="46" t="s">
        <v>596</v>
      </c>
      <c r="D180" s="47" t="s">
        <v>569</v>
      </c>
      <c r="E180" s="48">
        <v>450</v>
      </c>
      <c r="F180" s="49"/>
      <c r="G180" s="49">
        <f t="shared" si="0"/>
        <v>91</v>
      </c>
      <c r="H180" s="47" t="s">
        <v>597</v>
      </c>
      <c r="I180" s="51">
        <v>278</v>
      </c>
      <c r="J180" s="52">
        <v>29.4</v>
      </c>
      <c r="K180" s="53">
        <f t="shared" si="1"/>
        <v>13.507999999999999</v>
      </c>
      <c r="L180" s="61" t="s">
        <v>161</v>
      </c>
      <c r="M180" s="54" t="str">
        <f>VLOOKUP(L180,Packaging!$B$3:$C$21,2,0)</f>
        <v>360 X 270 X 128</v>
      </c>
      <c r="N180" s="47"/>
      <c r="O180" s="47">
        <v>10</v>
      </c>
      <c r="P180" s="47" t="s">
        <v>55</v>
      </c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18" customHeight="1">
      <c r="A181" s="44" t="s">
        <v>598</v>
      </c>
      <c r="B181" s="47">
        <v>926820</v>
      </c>
      <c r="C181" s="46" t="s">
        <v>599</v>
      </c>
      <c r="D181" s="47" t="s">
        <v>569</v>
      </c>
      <c r="E181" s="48">
        <v>720</v>
      </c>
      <c r="F181" s="49"/>
      <c r="G181" s="49">
        <f t="shared" si="0"/>
        <v>91</v>
      </c>
      <c r="H181" s="47" t="s">
        <v>600</v>
      </c>
      <c r="I181" s="51">
        <v>278</v>
      </c>
      <c r="J181" s="52">
        <v>24.8</v>
      </c>
      <c r="K181" s="53">
        <f t="shared" si="1"/>
        <v>18.134</v>
      </c>
      <c r="L181" s="50" t="s">
        <v>274</v>
      </c>
      <c r="M181" s="54" t="str">
        <f>VLOOKUP(L181,Packaging!$B$3:$C$21,2,0)</f>
        <v>290 X 200 X 100</v>
      </c>
      <c r="N181" s="47"/>
      <c r="O181" s="47">
        <v>15</v>
      </c>
      <c r="P181" s="47" t="s">
        <v>55</v>
      </c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18" customHeight="1">
      <c r="A182" s="44" t="s">
        <v>601</v>
      </c>
      <c r="B182" s="47">
        <v>947929</v>
      </c>
      <c r="C182" s="46" t="s">
        <v>602</v>
      </c>
      <c r="D182" s="47" t="s">
        <v>569</v>
      </c>
      <c r="E182" s="48">
        <v>440</v>
      </c>
      <c r="F182" s="49"/>
      <c r="G182" s="49">
        <f t="shared" si="0"/>
        <v>91</v>
      </c>
      <c r="H182" s="47" t="s">
        <v>603</v>
      </c>
      <c r="I182" s="51">
        <v>280</v>
      </c>
      <c r="J182" s="52">
        <v>25.2</v>
      </c>
      <c r="K182" s="53">
        <f t="shared" si="1"/>
        <v>11.368</v>
      </c>
      <c r="L182" s="50" t="s">
        <v>54</v>
      </c>
      <c r="M182" s="54" t="str">
        <f>VLOOKUP(L182,Packaging!$B$3:$C$21,2,0)</f>
        <v>290 X 200 X 140</v>
      </c>
      <c r="N182" s="47"/>
      <c r="O182" s="47">
        <v>44</v>
      </c>
      <c r="P182" s="47" t="s">
        <v>55</v>
      </c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18" customHeight="1">
      <c r="A183" s="44" t="s">
        <v>604</v>
      </c>
      <c r="B183" s="47">
        <v>947930</v>
      </c>
      <c r="C183" s="46" t="s">
        <v>605</v>
      </c>
      <c r="D183" s="47" t="s">
        <v>569</v>
      </c>
      <c r="E183" s="48">
        <v>450</v>
      </c>
      <c r="F183" s="49"/>
      <c r="G183" s="49">
        <f t="shared" si="0"/>
        <v>91</v>
      </c>
      <c r="H183" s="47" t="s">
        <v>606</v>
      </c>
      <c r="I183" s="51">
        <v>280</v>
      </c>
      <c r="J183" s="52">
        <v>23</v>
      </c>
      <c r="K183" s="53">
        <f t="shared" si="1"/>
        <v>10.63</v>
      </c>
      <c r="L183" s="50" t="s">
        <v>54</v>
      </c>
      <c r="M183" s="54" t="str">
        <f>VLOOKUP(L183,Packaging!$B$3:$C$21,2,0)</f>
        <v>290 X 200 X 140</v>
      </c>
      <c r="N183" s="47"/>
      <c r="O183" s="47">
        <v>75</v>
      </c>
      <c r="P183" s="47" t="s">
        <v>55</v>
      </c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18" customHeight="1">
      <c r="A184" s="44" t="s">
        <v>607</v>
      </c>
      <c r="B184" s="47">
        <v>949667</v>
      </c>
      <c r="C184" s="46" t="s">
        <v>580</v>
      </c>
      <c r="D184" s="47" t="s">
        <v>569</v>
      </c>
      <c r="E184" s="48">
        <v>300</v>
      </c>
      <c r="F184" s="49"/>
      <c r="G184" s="49">
        <f t="shared" si="0"/>
        <v>91</v>
      </c>
      <c r="H184" s="47" t="s">
        <v>608</v>
      </c>
      <c r="I184" s="51">
        <v>280</v>
      </c>
      <c r="J184" s="52">
        <v>74</v>
      </c>
      <c r="K184" s="53">
        <f t="shared" si="1"/>
        <v>22.48</v>
      </c>
      <c r="L184" s="50" t="s">
        <v>54</v>
      </c>
      <c r="M184" s="54" t="str">
        <f>VLOOKUP(L184,Packaging!$B$3:$C$21,2,0)</f>
        <v>290 X 200 X 140</v>
      </c>
      <c r="N184" s="47"/>
      <c r="O184" s="47">
        <v>25</v>
      </c>
      <c r="P184" s="47" t="s">
        <v>55</v>
      </c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18" customHeight="1">
      <c r="A185" s="44" t="s">
        <v>609</v>
      </c>
      <c r="B185" s="47">
        <v>951103</v>
      </c>
      <c r="C185" s="46" t="s">
        <v>610</v>
      </c>
      <c r="D185" s="47" t="s">
        <v>569</v>
      </c>
      <c r="E185" s="48">
        <v>352</v>
      </c>
      <c r="F185" s="49"/>
      <c r="G185" s="49">
        <f t="shared" si="0"/>
        <v>91</v>
      </c>
      <c r="H185" s="47" t="s">
        <v>611</v>
      </c>
      <c r="I185" s="51">
        <v>280</v>
      </c>
      <c r="J185" s="52">
        <v>27.6</v>
      </c>
      <c r="K185" s="53">
        <f t="shared" si="1"/>
        <v>9.9952000000000005</v>
      </c>
      <c r="L185" s="50" t="s">
        <v>54</v>
      </c>
      <c r="M185" s="54" t="str">
        <f>VLOOKUP(L185,Packaging!$B$3:$C$21,2,0)</f>
        <v>290 X 200 X 140</v>
      </c>
      <c r="N185" s="47"/>
      <c r="O185" s="47">
        <v>44</v>
      </c>
      <c r="P185" s="47" t="s">
        <v>55</v>
      </c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18" customHeight="1">
      <c r="A186" s="44" t="s">
        <v>612</v>
      </c>
      <c r="B186" s="47">
        <v>951104</v>
      </c>
      <c r="C186" s="46" t="s">
        <v>613</v>
      </c>
      <c r="D186" s="47" t="s">
        <v>569</v>
      </c>
      <c r="E186" s="48">
        <v>450</v>
      </c>
      <c r="F186" s="49"/>
      <c r="G186" s="49">
        <f t="shared" si="0"/>
        <v>91</v>
      </c>
      <c r="H186" s="47" t="s">
        <v>614</v>
      </c>
      <c r="I186" s="51">
        <v>280</v>
      </c>
      <c r="J186" s="52">
        <v>25.4</v>
      </c>
      <c r="K186" s="53">
        <f t="shared" si="1"/>
        <v>11.71</v>
      </c>
      <c r="L186" s="50" t="s">
        <v>54</v>
      </c>
      <c r="M186" s="54" t="str">
        <f>VLOOKUP(L186,Packaging!$B$3:$C$21,2,0)</f>
        <v>290 X 200 X 140</v>
      </c>
      <c r="N186" s="47"/>
      <c r="O186" s="47"/>
      <c r="P186" s="47" t="s">
        <v>55</v>
      </c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18" customHeight="1">
      <c r="A187" s="44" t="s">
        <v>615</v>
      </c>
      <c r="B187" s="47">
        <v>953069</v>
      </c>
      <c r="C187" s="46" t="s">
        <v>616</v>
      </c>
      <c r="D187" s="47" t="s">
        <v>569</v>
      </c>
      <c r="E187" s="48">
        <v>100</v>
      </c>
      <c r="F187" s="49"/>
      <c r="G187" s="49">
        <f t="shared" si="0"/>
        <v>91</v>
      </c>
      <c r="H187" s="47" t="s">
        <v>617</v>
      </c>
      <c r="I187" s="51">
        <v>280</v>
      </c>
      <c r="J187" s="52">
        <v>131</v>
      </c>
      <c r="K187" s="53">
        <f t="shared" si="1"/>
        <v>13.38</v>
      </c>
      <c r="L187" s="50" t="s">
        <v>54</v>
      </c>
      <c r="M187" s="54" t="str">
        <f>VLOOKUP(L187,Packaging!$B$3:$C$21,2,0)</f>
        <v>290 X 200 X 140</v>
      </c>
      <c r="N187" s="47"/>
      <c r="O187" s="47">
        <v>5</v>
      </c>
      <c r="P187" s="47" t="s">
        <v>55</v>
      </c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18" customHeight="1">
      <c r="A188" s="44" t="s">
        <v>618</v>
      </c>
      <c r="B188" s="47">
        <v>937840</v>
      </c>
      <c r="C188" s="46" t="s">
        <v>619</v>
      </c>
      <c r="D188" s="47" t="s">
        <v>569</v>
      </c>
      <c r="E188" s="48">
        <v>450</v>
      </c>
      <c r="F188" s="49"/>
      <c r="G188" s="49">
        <f t="shared" si="0"/>
        <v>91</v>
      </c>
      <c r="H188" s="47" t="s">
        <v>620</v>
      </c>
      <c r="I188" s="51">
        <v>278</v>
      </c>
      <c r="J188" s="52">
        <v>32.6</v>
      </c>
      <c r="K188" s="53">
        <f t="shared" si="1"/>
        <v>14.948</v>
      </c>
      <c r="L188" s="61" t="s">
        <v>161</v>
      </c>
      <c r="M188" s="54" t="str">
        <f>VLOOKUP(L188,Packaging!$B$3:$C$21,2,0)</f>
        <v>360 X 270 X 128</v>
      </c>
      <c r="N188" s="47"/>
      <c r="O188" s="47">
        <v>10</v>
      </c>
      <c r="P188" s="47" t="s">
        <v>55</v>
      </c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18" customHeight="1">
      <c r="A189" s="44" t="s">
        <v>621</v>
      </c>
      <c r="B189" s="47">
        <v>951716</v>
      </c>
      <c r="C189" s="46" t="s">
        <v>622</v>
      </c>
      <c r="D189" s="47" t="s">
        <v>569</v>
      </c>
      <c r="E189" s="48">
        <v>20</v>
      </c>
      <c r="F189" s="49"/>
      <c r="G189" s="49">
        <f t="shared" si="0"/>
        <v>91</v>
      </c>
      <c r="H189" s="47" t="s">
        <v>623</v>
      </c>
      <c r="I189" s="51">
        <v>280</v>
      </c>
      <c r="J189" s="52">
        <v>208.8</v>
      </c>
      <c r="K189" s="53">
        <f t="shared" si="1"/>
        <v>4.4560000000000004</v>
      </c>
      <c r="L189" s="50" t="s">
        <v>54</v>
      </c>
      <c r="M189" s="54" t="str">
        <f>VLOOKUP(L189,Packaging!$B$3:$C$21,2,0)</f>
        <v>290 X 200 X 140</v>
      </c>
      <c r="N189" s="47"/>
      <c r="O189" s="47">
        <v>2</v>
      </c>
      <c r="P189" s="47" t="s">
        <v>55</v>
      </c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18" customHeight="1">
      <c r="A190" s="44" t="s">
        <v>624</v>
      </c>
      <c r="B190" s="47">
        <v>951420</v>
      </c>
      <c r="C190" s="46" t="s">
        <v>625</v>
      </c>
      <c r="D190" s="47" t="s">
        <v>569</v>
      </c>
      <c r="E190" s="48">
        <v>1050</v>
      </c>
      <c r="F190" s="49"/>
      <c r="G190" s="49">
        <f t="shared" si="0"/>
        <v>91</v>
      </c>
      <c r="H190" s="47" t="s">
        <v>626</v>
      </c>
      <c r="I190" s="51">
        <v>280</v>
      </c>
      <c r="J190" s="52">
        <v>15</v>
      </c>
      <c r="K190" s="53">
        <f t="shared" si="1"/>
        <v>16.03</v>
      </c>
      <c r="L190" s="61" t="s">
        <v>54</v>
      </c>
      <c r="M190" s="54" t="str">
        <f>VLOOKUP(L190,Packaging!$B$3:$C$21,2,0)</f>
        <v>290 X 200 X 140</v>
      </c>
      <c r="N190" s="47"/>
      <c r="O190" s="47">
        <v>15</v>
      </c>
      <c r="P190" s="47" t="s">
        <v>55</v>
      </c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18" customHeight="1">
      <c r="A191" s="44" t="s">
        <v>627</v>
      </c>
      <c r="B191" s="47">
        <v>947833</v>
      </c>
      <c r="C191" s="46" t="s">
        <v>628</v>
      </c>
      <c r="D191" s="47" t="s">
        <v>569</v>
      </c>
      <c r="E191" s="48">
        <v>240</v>
      </c>
      <c r="F191" s="49"/>
      <c r="G191" s="49">
        <f t="shared" si="0"/>
        <v>91</v>
      </c>
      <c r="H191" s="47" t="s">
        <v>629</v>
      </c>
      <c r="I191" s="51">
        <v>280</v>
      </c>
      <c r="J191" s="52">
        <v>32.4</v>
      </c>
      <c r="K191" s="53">
        <f t="shared" si="1"/>
        <v>8.0559999999999992</v>
      </c>
      <c r="L191" s="61" t="s">
        <v>54</v>
      </c>
      <c r="M191" s="54" t="str">
        <f>VLOOKUP(L191,Packaging!$B$3:$C$21,2,0)</f>
        <v>290 X 200 X 140</v>
      </c>
      <c r="N191" s="47"/>
      <c r="O191" s="47">
        <v>5</v>
      </c>
      <c r="P191" s="47" t="s">
        <v>55</v>
      </c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18" customHeight="1">
      <c r="A192" s="44" t="s">
        <v>630</v>
      </c>
      <c r="B192" s="47">
        <v>953712</v>
      </c>
      <c r="C192" s="46" t="s">
        <v>631</v>
      </c>
      <c r="D192" s="47" t="s">
        <v>569</v>
      </c>
      <c r="E192" s="48">
        <v>240</v>
      </c>
      <c r="F192" s="49"/>
      <c r="G192" s="49">
        <f t="shared" si="0"/>
        <v>91</v>
      </c>
      <c r="H192" s="47" t="s">
        <v>632</v>
      </c>
      <c r="I192" s="51">
        <v>280</v>
      </c>
      <c r="J192" s="52">
        <v>32</v>
      </c>
      <c r="K192" s="53">
        <f t="shared" si="1"/>
        <v>7.96</v>
      </c>
      <c r="L192" s="61" t="s">
        <v>54</v>
      </c>
      <c r="M192" s="54" t="str">
        <f>VLOOKUP(L192,Packaging!$B$3:$C$21,2,0)</f>
        <v>290 X 200 X 140</v>
      </c>
      <c r="N192" s="47"/>
      <c r="O192" s="47">
        <v>40</v>
      </c>
      <c r="P192" s="47" t="s">
        <v>55</v>
      </c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18" customHeight="1">
      <c r="A193" s="44" t="s">
        <v>633</v>
      </c>
      <c r="B193" s="47">
        <v>953649</v>
      </c>
      <c r="C193" s="46" t="s">
        <v>634</v>
      </c>
      <c r="D193" s="47" t="s">
        <v>569</v>
      </c>
      <c r="E193" s="48">
        <v>600</v>
      </c>
      <c r="F193" s="49"/>
      <c r="G193" s="49">
        <f t="shared" si="0"/>
        <v>91</v>
      </c>
      <c r="H193" s="47" t="s">
        <v>635</v>
      </c>
      <c r="I193" s="51"/>
      <c r="J193" s="52">
        <v>17.399999999999999</v>
      </c>
      <c r="K193" s="53">
        <f t="shared" si="1"/>
        <v>10.44</v>
      </c>
      <c r="L193" s="61" t="s">
        <v>54</v>
      </c>
      <c r="M193" s="54" t="str">
        <f>VLOOKUP(L193,Packaging!$B$3:$C$21,2,0)</f>
        <v>290 X 200 X 140</v>
      </c>
      <c r="N193" s="47"/>
      <c r="O193" s="47">
        <v>100</v>
      </c>
      <c r="P193" s="47" t="s">
        <v>55</v>
      </c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18" customHeight="1">
      <c r="A194" s="44" t="s">
        <v>636</v>
      </c>
      <c r="B194" s="47">
        <v>953650</v>
      </c>
      <c r="C194" s="46" t="s">
        <v>637</v>
      </c>
      <c r="D194" s="47" t="s">
        <v>569</v>
      </c>
      <c r="E194" s="48">
        <v>600</v>
      </c>
      <c r="F194" s="49"/>
      <c r="G194" s="49">
        <f t="shared" si="0"/>
        <v>91</v>
      </c>
      <c r="H194" s="47" t="s">
        <v>635</v>
      </c>
      <c r="I194" s="51"/>
      <c r="J194" s="52">
        <v>17.399999999999999</v>
      </c>
      <c r="K194" s="53">
        <f t="shared" si="1"/>
        <v>10.44</v>
      </c>
      <c r="L194" s="61" t="s">
        <v>54</v>
      </c>
      <c r="M194" s="54" t="str">
        <f>VLOOKUP(L194,Packaging!$B$3:$C$21,2,0)</f>
        <v>290 X 200 X 140</v>
      </c>
      <c r="N194" s="47"/>
      <c r="O194" s="47">
        <v>100</v>
      </c>
      <c r="P194" s="47" t="s">
        <v>55</v>
      </c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18" customHeight="1">
      <c r="A195" s="44" t="s">
        <v>638</v>
      </c>
      <c r="B195" s="47">
        <v>953652</v>
      </c>
      <c r="C195" s="46" t="s">
        <v>639</v>
      </c>
      <c r="D195" s="47" t="s">
        <v>569</v>
      </c>
      <c r="E195" s="48">
        <v>600</v>
      </c>
      <c r="F195" s="49"/>
      <c r="G195" s="49">
        <f t="shared" si="0"/>
        <v>91</v>
      </c>
      <c r="H195" s="47" t="s">
        <v>640</v>
      </c>
      <c r="I195" s="51"/>
      <c r="J195" s="52">
        <v>12.6</v>
      </c>
      <c r="K195" s="53">
        <f t="shared" si="1"/>
        <v>7.56</v>
      </c>
      <c r="L195" s="47"/>
      <c r="M195" s="54" t="e">
        <f>VLOOKUP(L195,Packaging!$B$3:$C$21,2,0)</f>
        <v>#N/A</v>
      </c>
      <c r="N195" s="47"/>
      <c r="O195" s="47">
        <v>100</v>
      </c>
      <c r="P195" s="47" t="s">
        <v>55</v>
      </c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18" customHeight="1">
      <c r="A196" s="44" t="s">
        <v>641</v>
      </c>
      <c r="B196" s="47">
        <v>953653</v>
      </c>
      <c r="C196" s="46" t="s">
        <v>642</v>
      </c>
      <c r="D196" s="47" t="s">
        <v>569</v>
      </c>
      <c r="E196" s="48">
        <v>150</v>
      </c>
      <c r="F196" s="49"/>
      <c r="G196" s="49">
        <f t="shared" si="0"/>
        <v>91</v>
      </c>
      <c r="H196" s="47" t="s">
        <v>643</v>
      </c>
      <c r="I196" s="51">
        <v>280</v>
      </c>
      <c r="J196" s="52">
        <v>20.8</v>
      </c>
      <c r="K196" s="53">
        <f t="shared" si="1"/>
        <v>3.4</v>
      </c>
      <c r="L196" s="50" t="s">
        <v>54</v>
      </c>
      <c r="M196" s="54" t="str">
        <f>VLOOKUP(L196,Packaging!$B$3:$C$21,2,0)</f>
        <v>290 X 200 X 140</v>
      </c>
      <c r="N196" s="47"/>
      <c r="O196" s="47">
        <v>30</v>
      </c>
      <c r="P196" s="47" t="s">
        <v>55</v>
      </c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18" customHeight="1">
      <c r="A197" s="44" t="s">
        <v>644</v>
      </c>
      <c r="B197" s="47">
        <v>953651</v>
      </c>
      <c r="C197" s="46" t="s">
        <v>645</v>
      </c>
      <c r="D197" s="47" t="s">
        <v>569</v>
      </c>
      <c r="E197" s="48">
        <v>250</v>
      </c>
      <c r="F197" s="49"/>
      <c r="G197" s="49">
        <f t="shared" si="0"/>
        <v>91</v>
      </c>
      <c r="H197" s="47" t="s">
        <v>646</v>
      </c>
      <c r="I197" s="51"/>
      <c r="J197" s="52">
        <v>70</v>
      </c>
      <c r="K197" s="53">
        <f t="shared" si="1"/>
        <v>17.5</v>
      </c>
      <c r="L197" s="47"/>
      <c r="M197" s="54" t="e">
        <f>VLOOKUP(L197,Packaging!$B$3:$C$21,2,0)</f>
        <v>#N/A</v>
      </c>
      <c r="N197" s="47"/>
      <c r="O197" s="47"/>
      <c r="P197" s="47" t="s">
        <v>55</v>
      </c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18" customHeight="1">
      <c r="A198" s="44" t="s">
        <v>647</v>
      </c>
      <c r="B198" s="47">
        <v>947863</v>
      </c>
      <c r="C198" s="46" t="s">
        <v>648</v>
      </c>
      <c r="D198" s="47" t="s">
        <v>569</v>
      </c>
      <c r="E198" s="48">
        <v>500</v>
      </c>
      <c r="F198" s="49"/>
      <c r="G198" s="49">
        <f t="shared" si="0"/>
        <v>91</v>
      </c>
      <c r="H198" s="47" t="s">
        <v>649</v>
      </c>
      <c r="I198" s="51">
        <v>280</v>
      </c>
      <c r="J198" s="52">
        <v>42.4</v>
      </c>
      <c r="K198" s="53">
        <f t="shared" si="1"/>
        <v>21.48</v>
      </c>
      <c r="L198" s="50" t="s">
        <v>54</v>
      </c>
      <c r="M198" s="54" t="str">
        <f>VLOOKUP(L198,Packaging!$B$3:$C$21,2,0)</f>
        <v>290 X 200 X 140</v>
      </c>
      <c r="N198" s="47"/>
      <c r="O198" s="47">
        <v>100</v>
      </c>
      <c r="P198" s="47" t="s">
        <v>55</v>
      </c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18" customHeight="1">
      <c r="A199" s="44" t="s">
        <v>650</v>
      </c>
      <c r="B199" s="47">
        <v>948391</v>
      </c>
      <c r="C199" s="46" t="s">
        <v>651</v>
      </c>
      <c r="D199" s="47" t="s">
        <v>569</v>
      </c>
      <c r="E199" s="48">
        <v>540</v>
      </c>
      <c r="F199" s="49"/>
      <c r="G199" s="49">
        <f t="shared" si="0"/>
        <v>91</v>
      </c>
      <c r="H199" s="47" t="s">
        <v>652</v>
      </c>
      <c r="I199" s="51">
        <v>280</v>
      </c>
      <c r="J199" s="52">
        <v>35.4</v>
      </c>
      <c r="K199" s="53">
        <f t="shared" si="1"/>
        <v>19.396000000000001</v>
      </c>
      <c r="L199" s="50" t="s">
        <v>54</v>
      </c>
      <c r="M199" s="54" t="str">
        <f>VLOOKUP(L199,Packaging!$B$3:$C$21,2,0)</f>
        <v>290 X 200 X 140</v>
      </c>
      <c r="N199" s="47"/>
      <c r="O199" s="47">
        <v>15</v>
      </c>
      <c r="P199" s="47" t="s">
        <v>55</v>
      </c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18" customHeight="1">
      <c r="A200" s="44" t="s">
        <v>653</v>
      </c>
      <c r="B200" s="47">
        <v>948415</v>
      </c>
      <c r="C200" s="46" t="s">
        <v>654</v>
      </c>
      <c r="D200" s="47" t="s">
        <v>569</v>
      </c>
      <c r="E200" s="48">
        <v>540</v>
      </c>
      <c r="F200" s="49"/>
      <c r="G200" s="49">
        <f t="shared" si="0"/>
        <v>91</v>
      </c>
      <c r="H200" s="47" t="s">
        <v>652</v>
      </c>
      <c r="I200" s="51">
        <v>280</v>
      </c>
      <c r="J200" s="52">
        <v>35.4</v>
      </c>
      <c r="K200" s="53">
        <f t="shared" si="1"/>
        <v>19.396000000000001</v>
      </c>
      <c r="L200" s="50" t="s">
        <v>54</v>
      </c>
      <c r="M200" s="54" t="str">
        <f>VLOOKUP(L200,Packaging!$B$3:$C$21,2,0)</f>
        <v>290 X 200 X 140</v>
      </c>
      <c r="N200" s="47"/>
      <c r="O200" s="47">
        <v>15</v>
      </c>
      <c r="P200" s="47" t="s">
        <v>55</v>
      </c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18" customHeight="1">
      <c r="A201" s="44" t="s">
        <v>655</v>
      </c>
      <c r="B201" s="47">
        <v>949806</v>
      </c>
      <c r="C201" s="46" t="s">
        <v>656</v>
      </c>
      <c r="D201" s="47" t="s">
        <v>569</v>
      </c>
      <c r="E201" s="48">
        <v>10</v>
      </c>
      <c r="F201" s="49"/>
      <c r="G201" s="49">
        <f t="shared" si="0"/>
        <v>91</v>
      </c>
      <c r="H201" s="47" t="s">
        <v>657</v>
      </c>
      <c r="I201" s="51"/>
      <c r="J201" s="52">
        <v>163.9</v>
      </c>
      <c r="K201" s="53">
        <f t="shared" si="1"/>
        <v>1.639</v>
      </c>
      <c r="L201" s="47" t="s">
        <v>658</v>
      </c>
      <c r="M201" s="54" t="e">
        <f>VLOOKUP(L201,Packaging!$B$3:$C$21,2,0)</f>
        <v>#N/A</v>
      </c>
      <c r="N201" s="47" t="s">
        <v>659</v>
      </c>
      <c r="O201" s="47">
        <v>10</v>
      </c>
      <c r="P201" s="47" t="s">
        <v>55</v>
      </c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18" customHeight="1">
      <c r="A202" s="44" t="s">
        <v>660</v>
      </c>
      <c r="B202" s="47">
        <v>949809</v>
      </c>
      <c r="C202" s="46" t="s">
        <v>661</v>
      </c>
      <c r="D202" s="47" t="s">
        <v>569</v>
      </c>
      <c r="E202" s="48">
        <v>10</v>
      </c>
      <c r="F202" s="49"/>
      <c r="G202" s="49">
        <f t="shared" si="0"/>
        <v>91</v>
      </c>
      <c r="H202" s="47" t="s">
        <v>662</v>
      </c>
      <c r="I202" s="51"/>
      <c r="J202" s="52">
        <v>310.2</v>
      </c>
      <c r="K202" s="53">
        <f t="shared" si="1"/>
        <v>3.1019999999999999</v>
      </c>
      <c r="L202" s="47" t="s">
        <v>663</v>
      </c>
      <c r="M202" s="54" t="e">
        <f>VLOOKUP(L202,Packaging!$B$3:$C$21,2,0)</f>
        <v>#N/A</v>
      </c>
      <c r="N202" s="47" t="s">
        <v>659</v>
      </c>
      <c r="O202" s="47">
        <v>10</v>
      </c>
      <c r="P202" s="47" t="s">
        <v>55</v>
      </c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18" customHeight="1">
      <c r="A203" s="44" t="s">
        <v>664</v>
      </c>
      <c r="B203" s="47">
        <v>949805</v>
      </c>
      <c r="C203" s="46" t="s">
        <v>665</v>
      </c>
      <c r="D203" s="47" t="s">
        <v>569</v>
      </c>
      <c r="E203" s="48">
        <v>10</v>
      </c>
      <c r="F203" s="49"/>
      <c r="G203" s="49">
        <f t="shared" si="0"/>
        <v>91</v>
      </c>
      <c r="H203" s="47" t="s">
        <v>666</v>
      </c>
      <c r="I203" s="51"/>
      <c r="J203" s="52">
        <v>163</v>
      </c>
      <c r="K203" s="53">
        <f t="shared" si="1"/>
        <v>1.63</v>
      </c>
      <c r="L203" s="47" t="s">
        <v>663</v>
      </c>
      <c r="M203" s="54" t="e">
        <f>VLOOKUP(L203,Packaging!$B$3:$C$21,2,0)</f>
        <v>#N/A</v>
      </c>
      <c r="N203" s="47" t="s">
        <v>659</v>
      </c>
      <c r="O203" s="47">
        <v>10</v>
      </c>
      <c r="P203" s="47" t="s">
        <v>55</v>
      </c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18" customHeight="1">
      <c r="A204" s="44" t="s">
        <v>667</v>
      </c>
      <c r="B204" s="47">
        <v>953757</v>
      </c>
      <c r="C204" s="46" t="s">
        <v>668</v>
      </c>
      <c r="D204" s="47" t="s">
        <v>569</v>
      </c>
      <c r="E204" s="48"/>
      <c r="F204" s="49"/>
      <c r="G204" s="49">
        <f t="shared" si="0"/>
        <v>91</v>
      </c>
      <c r="H204" s="47" t="s">
        <v>669</v>
      </c>
      <c r="I204" s="51"/>
      <c r="J204" s="52">
        <v>44</v>
      </c>
      <c r="K204" s="53">
        <f t="shared" si="1"/>
        <v>0</v>
      </c>
      <c r="L204" s="47"/>
      <c r="M204" s="54" t="e">
        <f>VLOOKUP(L204,Packaging!$B$3:$C$21,2,0)</f>
        <v>#N/A</v>
      </c>
      <c r="N204" s="47"/>
      <c r="O204" s="47">
        <v>10</v>
      </c>
      <c r="P204" s="47" t="s">
        <v>55</v>
      </c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18" customHeight="1">
      <c r="A205" s="44" t="s">
        <v>670</v>
      </c>
      <c r="B205" s="47">
        <v>950587</v>
      </c>
      <c r="C205" s="46" t="s">
        <v>671</v>
      </c>
      <c r="D205" s="47" t="s">
        <v>569</v>
      </c>
      <c r="E205" s="48">
        <v>1000</v>
      </c>
      <c r="F205" s="49"/>
      <c r="G205" s="49">
        <f t="shared" si="0"/>
        <v>91</v>
      </c>
      <c r="H205" s="47" t="s">
        <v>672</v>
      </c>
      <c r="I205" s="51">
        <v>244</v>
      </c>
      <c r="J205" s="52">
        <v>10.8</v>
      </c>
      <c r="K205" s="53">
        <f t="shared" si="1"/>
        <v>11.044</v>
      </c>
      <c r="L205" s="61" t="s">
        <v>274</v>
      </c>
      <c r="M205" s="54" t="str">
        <f>VLOOKUP(L205,Packaging!$B$3:$C$21,2,0)</f>
        <v>290 X 200 X 100</v>
      </c>
      <c r="N205" s="47"/>
      <c r="O205" s="47">
        <v>250</v>
      </c>
      <c r="P205" s="47" t="s">
        <v>55</v>
      </c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18" customHeight="1">
      <c r="A206" s="44" t="s">
        <v>673</v>
      </c>
      <c r="B206" s="47">
        <v>950588</v>
      </c>
      <c r="C206" s="46" t="s">
        <v>674</v>
      </c>
      <c r="D206" s="47" t="s">
        <v>569</v>
      </c>
      <c r="E206" s="48">
        <v>1000</v>
      </c>
      <c r="F206" s="49"/>
      <c r="G206" s="49">
        <f t="shared" si="0"/>
        <v>91</v>
      </c>
      <c r="H206" s="47" t="s">
        <v>675</v>
      </c>
      <c r="I206" s="51">
        <v>244</v>
      </c>
      <c r="J206" s="52">
        <v>10.199999999999999</v>
      </c>
      <c r="K206" s="53">
        <f t="shared" si="1"/>
        <v>10.444000000000001</v>
      </c>
      <c r="L206" s="61" t="s">
        <v>274</v>
      </c>
      <c r="M206" s="54" t="str">
        <f>VLOOKUP(L206,Packaging!$B$3:$C$21,2,0)</f>
        <v>290 X 200 X 100</v>
      </c>
      <c r="N206" s="47"/>
      <c r="O206" s="47">
        <v>250</v>
      </c>
      <c r="P206" s="47" t="s">
        <v>55</v>
      </c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18" customHeight="1">
      <c r="A207" s="44" t="s">
        <v>676</v>
      </c>
      <c r="B207" s="47">
        <v>950589</v>
      </c>
      <c r="C207" s="46" t="s">
        <v>677</v>
      </c>
      <c r="D207" s="47" t="s">
        <v>569</v>
      </c>
      <c r="E207" s="48">
        <v>1000</v>
      </c>
      <c r="F207" s="49"/>
      <c r="G207" s="49">
        <f t="shared" si="0"/>
        <v>91</v>
      </c>
      <c r="H207" s="47" t="s">
        <v>678</v>
      </c>
      <c r="I207" s="51">
        <v>244</v>
      </c>
      <c r="J207" s="52">
        <v>8.8000000000000007</v>
      </c>
      <c r="K207" s="53">
        <f t="shared" si="1"/>
        <v>9.0440000000000005</v>
      </c>
      <c r="L207" s="61" t="s">
        <v>274</v>
      </c>
      <c r="M207" s="54" t="str">
        <f>VLOOKUP(L207,Packaging!$B$3:$C$21,2,0)</f>
        <v>290 X 200 X 100</v>
      </c>
      <c r="N207" s="47"/>
      <c r="O207" s="47">
        <v>250</v>
      </c>
      <c r="P207" s="47" t="s">
        <v>55</v>
      </c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18" customHeight="1">
      <c r="A208" s="44" t="s">
        <v>679</v>
      </c>
      <c r="B208" s="47">
        <v>950590</v>
      </c>
      <c r="C208" s="46" t="s">
        <v>680</v>
      </c>
      <c r="D208" s="47" t="s">
        <v>569</v>
      </c>
      <c r="E208" s="48">
        <v>1000</v>
      </c>
      <c r="F208" s="49"/>
      <c r="G208" s="49">
        <f t="shared" si="0"/>
        <v>91</v>
      </c>
      <c r="H208" s="47" t="s">
        <v>681</v>
      </c>
      <c r="I208" s="51">
        <v>244</v>
      </c>
      <c r="J208" s="52">
        <v>8.1999999999999993</v>
      </c>
      <c r="K208" s="53">
        <f t="shared" si="1"/>
        <v>8.4440000000000008</v>
      </c>
      <c r="L208" s="61" t="s">
        <v>274</v>
      </c>
      <c r="M208" s="54" t="str">
        <f>VLOOKUP(L208,Packaging!$B$3:$C$21,2,0)</f>
        <v>290 X 200 X 100</v>
      </c>
      <c r="N208" s="47"/>
      <c r="O208" s="47">
        <v>250</v>
      </c>
      <c r="P208" s="47" t="s">
        <v>55</v>
      </c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18" customHeight="1">
      <c r="A209" s="44" t="s">
        <v>682</v>
      </c>
      <c r="B209" s="47">
        <v>950591</v>
      </c>
      <c r="C209" s="46" t="s">
        <v>683</v>
      </c>
      <c r="D209" s="47" t="s">
        <v>569</v>
      </c>
      <c r="E209" s="48">
        <v>1000</v>
      </c>
      <c r="F209" s="49"/>
      <c r="G209" s="49">
        <f t="shared" si="0"/>
        <v>91</v>
      </c>
      <c r="H209" s="47" t="s">
        <v>684</v>
      </c>
      <c r="I209" s="51">
        <v>244</v>
      </c>
      <c r="J209" s="52">
        <v>8.1999999999999993</v>
      </c>
      <c r="K209" s="53">
        <f t="shared" si="1"/>
        <v>8.4440000000000008</v>
      </c>
      <c r="L209" s="61" t="s">
        <v>274</v>
      </c>
      <c r="M209" s="54" t="str">
        <f>VLOOKUP(L209,Packaging!$B$3:$C$21,2,0)</f>
        <v>290 X 200 X 100</v>
      </c>
      <c r="N209" s="47"/>
      <c r="O209" s="47">
        <v>250</v>
      </c>
      <c r="P209" s="47" t="s">
        <v>55</v>
      </c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18" customHeight="1">
      <c r="A210" s="44" t="s">
        <v>685</v>
      </c>
      <c r="B210" s="47">
        <v>952568</v>
      </c>
      <c r="C210" s="46" t="s">
        <v>686</v>
      </c>
      <c r="D210" s="47" t="s">
        <v>569</v>
      </c>
      <c r="E210" s="48">
        <v>1000</v>
      </c>
      <c r="F210" s="49"/>
      <c r="G210" s="49">
        <f t="shared" si="0"/>
        <v>91</v>
      </c>
      <c r="H210" s="47" t="s">
        <v>687</v>
      </c>
      <c r="I210" s="51">
        <v>244</v>
      </c>
      <c r="J210" s="52">
        <v>11.4</v>
      </c>
      <c r="K210" s="53">
        <f t="shared" si="1"/>
        <v>11.644</v>
      </c>
      <c r="L210" s="61" t="s">
        <v>274</v>
      </c>
      <c r="M210" s="54" t="str">
        <f>VLOOKUP(L210,Packaging!$B$3:$C$21,2,0)</f>
        <v>290 X 200 X 100</v>
      </c>
      <c r="N210" s="47"/>
      <c r="O210" s="47">
        <v>250</v>
      </c>
      <c r="P210" s="47" t="s">
        <v>55</v>
      </c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18" customHeight="1">
      <c r="A211" s="44" t="s">
        <v>688</v>
      </c>
      <c r="B211" s="47">
        <v>952566</v>
      </c>
      <c r="C211" s="46" t="s">
        <v>689</v>
      </c>
      <c r="D211" s="47" t="s">
        <v>569</v>
      </c>
      <c r="E211" s="48">
        <v>350</v>
      </c>
      <c r="F211" s="49"/>
      <c r="G211" s="49">
        <f t="shared" si="0"/>
        <v>91</v>
      </c>
      <c r="H211" s="47" t="s">
        <v>690</v>
      </c>
      <c r="I211" s="51">
        <v>280</v>
      </c>
      <c r="J211" s="52">
        <v>61.2</v>
      </c>
      <c r="K211" s="53">
        <f t="shared" si="1"/>
        <v>21.7</v>
      </c>
      <c r="L211" s="50" t="s">
        <v>54</v>
      </c>
      <c r="M211" s="54" t="str">
        <f>VLOOKUP(L211,Packaging!$B$3:$C$21,2,0)</f>
        <v>290 X 200 X 140</v>
      </c>
      <c r="N211" s="47"/>
      <c r="O211" s="47">
        <v>50</v>
      </c>
      <c r="P211" s="47" t="s">
        <v>55</v>
      </c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18" customHeight="1">
      <c r="A212" s="44" t="s">
        <v>691</v>
      </c>
      <c r="B212" s="47">
        <v>954190</v>
      </c>
      <c r="C212" s="46" t="s">
        <v>692</v>
      </c>
      <c r="D212" s="47" t="s">
        <v>569</v>
      </c>
      <c r="E212" s="48">
        <v>1000</v>
      </c>
      <c r="F212" s="49"/>
      <c r="G212" s="49">
        <f t="shared" si="0"/>
        <v>91</v>
      </c>
      <c r="H212" s="47" t="s">
        <v>693</v>
      </c>
      <c r="I212" s="51">
        <v>244</v>
      </c>
      <c r="J212" s="52">
        <v>11.6</v>
      </c>
      <c r="K212" s="53">
        <f t="shared" si="1"/>
        <v>11.843999999999999</v>
      </c>
      <c r="L212" s="61" t="s">
        <v>274</v>
      </c>
      <c r="M212" s="54" t="str">
        <f>VLOOKUP(L212,Packaging!$B$3:$C$21,2,0)</f>
        <v>290 X 200 X 100</v>
      </c>
      <c r="N212" s="47"/>
      <c r="O212" s="47">
        <v>250</v>
      </c>
      <c r="P212" s="47" t="s">
        <v>55</v>
      </c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18" customHeight="1">
      <c r="A213" s="44" t="s">
        <v>694</v>
      </c>
      <c r="B213" s="47">
        <v>954191</v>
      </c>
      <c r="C213" s="46" t="s">
        <v>695</v>
      </c>
      <c r="D213" s="47" t="s">
        <v>569</v>
      </c>
      <c r="E213" s="48">
        <v>1000</v>
      </c>
      <c r="F213" s="49"/>
      <c r="G213" s="49">
        <f t="shared" si="0"/>
        <v>91</v>
      </c>
      <c r="H213" s="47" t="s">
        <v>696</v>
      </c>
      <c r="I213" s="51">
        <v>244</v>
      </c>
      <c r="J213" s="52">
        <v>11.2</v>
      </c>
      <c r="K213" s="53">
        <f t="shared" si="1"/>
        <v>11.444000000000001</v>
      </c>
      <c r="L213" s="61" t="s">
        <v>274</v>
      </c>
      <c r="M213" s="54" t="str">
        <f>VLOOKUP(L213,Packaging!$B$3:$C$21,2,0)</f>
        <v>290 X 200 X 100</v>
      </c>
      <c r="N213" s="47"/>
      <c r="O213" s="47">
        <v>250</v>
      </c>
      <c r="P213" s="47" t="s">
        <v>55</v>
      </c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18" customHeight="1">
      <c r="A214" s="44" t="s">
        <v>697</v>
      </c>
      <c r="B214" s="47">
        <v>954192</v>
      </c>
      <c r="C214" s="46" t="s">
        <v>698</v>
      </c>
      <c r="D214" s="47" t="s">
        <v>569</v>
      </c>
      <c r="E214" s="48">
        <v>1000</v>
      </c>
      <c r="F214" s="49"/>
      <c r="G214" s="49">
        <f t="shared" si="0"/>
        <v>91</v>
      </c>
      <c r="H214" s="47" t="s">
        <v>699</v>
      </c>
      <c r="I214" s="51">
        <v>244</v>
      </c>
      <c r="J214" s="52">
        <v>10.4</v>
      </c>
      <c r="K214" s="53">
        <f t="shared" si="1"/>
        <v>10.644</v>
      </c>
      <c r="L214" s="61" t="s">
        <v>274</v>
      </c>
      <c r="M214" s="54" t="str">
        <f>VLOOKUP(L214,Packaging!$B$3:$C$21,2,0)</f>
        <v>290 X 200 X 100</v>
      </c>
      <c r="N214" s="47"/>
      <c r="O214" s="47">
        <v>250</v>
      </c>
      <c r="P214" s="47" t="s">
        <v>55</v>
      </c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18" customHeight="1">
      <c r="A215" s="44" t="s">
        <v>700</v>
      </c>
      <c r="B215" s="47">
        <v>954193</v>
      </c>
      <c r="C215" s="46" t="s">
        <v>701</v>
      </c>
      <c r="D215" s="47" t="s">
        <v>569</v>
      </c>
      <c r="E215" s="48">
        <v>1000</v>
      </c>
      <c r="F215" s="49"/>
      <c r="G215" s="49">
        <f t="shared" si="0"/>
        <v>91</v>
      </c>
      <c r="H215" s="47" t="s">
        <v>702</v>
      </c>
      <c r="I215" s="51">
        <v>244</v>
      </c>
      <c r="J215" s="52">
        <v>9.6</v>
      </c>
      <c r="K215" s="53">
        <f t="shared" si="1"/>
        <v>9.8439999999999994</v>
      </c>
      <c r="L215" s="61" t="s">
        <v>274</v>
      </c>
      <c r="M215" s="54" t="str">
        <f>VLOOKUP(L215,Packaging!$B$3:$C$21,2,0)</f>
        <v>290 X 200 X 100</v>
      </c>
      <c r="N215" s="47"/>
      <c r="O215" s="47">
        <v>250</v>
      </c>
      <c r="P215" s="47" t="s">
        <v>55</v>
      </c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18" customHeight="1">
      <c r="A216" s="44" t="s">
        <v>703</v>
      </c>
      <c r="B216" s="47">
        <v>952772</v>
      </c>
      <c r="C216" s="46" t="s">
        <v>692</v>
      </c>
      <c r="D216" s="47" t="s">
        <v>569</v>
      </c>
      <c r="E216" s="48">
        <v>1000</v>
      </c>
      <c r="F216" s="49"/>
      <c r="G216" s="49">
        <f t="shared" si="0"/>
        <v>91</v>
      </c>
      <c r="H216" s="47" t="s">
        <v>704</v>
      </c>
      <c r="I216" s="51">
        <v>244</v>
      </c>
      <c r="J216" s="52">
        <v>12.6</v>
      </c>
      <c r="K216" s="53">
        <f t="shared" si="1"/>
        <v>12.843999999999999</v>
      </c>
      <c r="L216" s="61" t="s">
        <v>274</v>
      </c>
      <c r="M216" s="54" t="str">
        <f>VLOOKUP(L216,Packaging!$B$3:$C$21,2,0)</f>
        <v>290 X 200 X 100</v>
      </c>
      <c r="N216" s="47"/>
      <c r="O216" s="47">
        <v>250</v>
      </c>
      <c r="P216" s="47" t="s">
        <v>55</v>
      </c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18" customHeight="1">
      <c r="A217" s="44" t="s">
        <v>705</v>
      </c>
      <c r="B217" s="47">
        <v>952773</v>
      </c>
      <c r="C217" s="46" t="s">
        <v>706</v>
      </c>
      <c r="D217" s="47" t="s">
        <v>569</v>
      </c>
      <c r="E217" s="48">
        <v>1000</v>
      </c>
      <c r="F217" s="49"/>
      <c r="G217" s="49">
        <f t="shared" si="0"/>
        <v>91</v>
      </c>
      <c r="H217" s="47" t="s">
        <v>707</v>
      </c>
      <c r="I217" s="51">
        <v>244</v>
      </c>
      <c r="J217" s="52">
        <v>12.4</v>
      </c>
      <c r="K217" s="53">
        <f t="shared" si="1"/>
        <v>12.644</v>
      </c>
      <c r="L217" s="61" t="s">
        <v>274</v>
      </c>
      <c r="M217" s="54" t="str">
        <f>VLOOKUP(L217,Packaging!$B$3:$C$21,2,0)</f>
        <v>290 X 200 X 100</v>
      </c>
      <c r="N217" s="47"/>
      <c r="O217" s="47">
        <v>250</v>
      </c>
      <c r="P217" s="47" t="s">
        <v>55</v>
      </c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18" customHeight="1">
      <c r="A218" s="44" t="s">
        <v>708</v>
      </c>
      <c r="B218" s="47">
        <v>952774</v>
      </c>
      <c r="C218" s="46" t="s">
        <v>698</v>
      </c>
      <c r="D218" s="47" t="s">
        <v>569</v>
      </c>
      <c r="E218" s="48">
        <v>1000</v>
      </c>
      <c r="F218" s="49"/>
      <c r="G218" s="49">
        <f t="shared" si="0"/>
        <v>91</v>
      </c>
      <c r="H218" s="47" t="s">
        <v>709</v>
      </c>
      <c r="I218" s="51">
        <v>244</v>
      </c>
      <c r="J218" s="52">
        <v>11.6</v>
      </c>
      <c r="K218" s="53">
        <f t="shared" si="1"/>
        <v>11.843999999999999</v>
      </c>
      <c r="L218" s="61" t="s">
        <v>274</v>
      </c>
      <c r="M218" s="54" t="str">
        <f>VLOOKUP(L218,Packaging!$B$3:$C$21,2,0)</f>
        <v>290 X 200 X 100</v>
      </c>
      <c r="N218" s="47"/>
      <c r="O218" s="47">
        <v>250</v>
      </c>
      <c r="P218" s="47" t="s">
        <v>55</v>
      </c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18" customHeight="1">
      <c r="A219" s="44" t="s">
        <v>710</v>
      </c>
      <c r="B219" s="47">
        <v>952775</v>
      </c>
      <c r="C219" s="46" t="s">
        <v>711</v>
      </c>
      <c r="D219" s="47" t="s">
        <v>569</v>
      </c>
      <c r="E219" s="48">
        <v>1000</v>
      </c>
      <c r="F219" s="49"/>
      <c r="G219" s="49">
        <f t="shared" si="0"/>
        <v>91</v>
      </c>
      <c r="H219" s="47" t="s">
        <v>712</v>
      </c>
      <c r="I219" s="51">
        <v>244</v>
      </c>
      <c r="J219" s="52">
        <v>10.4</v>
      </c>
      <c r="K219" s="53">
        <f t="shared" si="1"/>
        <v>10.644</v>
      </c>
      <c r="L219" s="61" t="s">
        <v>274</v>
      </c>
      <c r="M219" s="54" t="str">
        <f>VLOOKUP(L219,Packaging!$B$3:$C$21,2,0)</f>
        <v>290 X 200 X 100</v>
      </c>
      <c r="N219" s="47"/>
      <c r="O219" s="47">
        <v>250</v>
      </c>
      <c r="P219" s="47" t="s">
        <v>55</v>
      </c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18" customHeight="1">
      <c r="A220" s="44" t="s">
        <v>713</v>
      </c>
      <c r="B220" s="47">
        <v>816717</v>
      </c>
      <c r="C220" s="46" t="s">
        <v>714</v>
      </c>
      <c r="D220" s="47" t="s">
        <v>569</v>
      </c>
      <c r="E220" s="48">
        <v>800</v>
      </c>
      <c r="F220" s="49"/>
      <c r="G220" s="49">
        <f t="shared" si="0"/>
        <v>91</v>
      </c>
      <c r="H220" s="47" t="s">
        <v>715</v>
      </c>
      <c r="I220" s="51">
        <v>244</v>
      </c>
      <c r="J220" s="52">
        <v>22.2</v>
      </c>
      <c r="K220" s="53">
        <f t="shared" si="1"/>
        <v>18.004000000000001</v>
      </c>
      <c r="L220" s="61" t="s">
        <v>274</v>
      </c>
      <c r="M220" s="54" t="str">
        <f>VLOOKUP(L220,Packaging!$B$3:$C$21,2,0)</f>
        <v>290 X 200 X 100</v>
      </c>
      <c r="N220" s="47"/>
      <c r="O220" s="47">
        <v>50</v>
      </c>
      <c r="P220" s="47" t="s">
        <v>55</v>
      </c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8" customHeight="1">
      <c r="A221" s="44" t="s">
        <v>716</v>
      </c>
      <c r="B221" s="47">
        <v>816718</v>
      </c>
      <c r="C221" s="46" t="s">
        <v>717</v>
      </c>
      <c r="D221" s="47" t="s">
        <v>569</v>
      </c>
      <c r="E221" s="48">
        <v>800</v>
      </c>
      <c r="F221" s="49"/>
      <c r="G221" s="49">
        <f t="shared" si="0"/>
        <v>91</v>
      </c>
      <c r="H221" s="47" t="s">
        <v>718</v>
      </c>
      <c r="I221" s="51">
        <v>244</v>
      </c>
      <c r="J221" s="52">
        <v>20.8</v>
      </c>
      <c r="K221" s="53">
        <f t="shared" si="1"/>
        <v>16.884</v>
      </c>
      <c r="L221" s="61" t="s">
        <v>274</v>
      </c>
      <c r="M221" s="54" t="str">
        <f>VLOOKUP(L221,Packaging!$B$3:$C$21,2,0)</f>
        <v>290 X 200 X 100</v>
      </c>
      <c r="N221" s="47"/>
      <c r="O221" s="47">
        <v>50</v>
      </c>
      <c r="P221" s="47" t="s">
        <v>55</v>
      </c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18" customHeight="1">
      <c r="A222" s="44" t="s">
        <v>719</v>
      </c>
      <c r="B222" s="47">
        <v>816719</v>
      </c>
      <c r="C222" s="46" t="s">
        <v>720</v>
      </c>
      <c r="D222" s="47" t="s">
        <v>569</v>
      </c>
      <c r="E222" s="48">
        <v>800</v>
      </c>
      <c r="F222" s="49"/>
      <c r="G222" s="49">
        <f t="shared" si="0"/>
        <v>91</v>
      </c>
      <c r="H222" s="47" t="s">
        <v>721</v>
      </c>
      <c r="I222" s="51">
        <v>244</v>
      </c>
      <c r="J222" s="52">
        <v>19.2</v>
      </c>
      <c r="K222" s="53">
        <f t="shared" si="1"/>
        <v>15.603999999999999</v>
      </c>
      <c r="L222" s="61" t="s">
        <v>274</v>
      </c>
      <c r="M222" s="54" t="str">
        <f>VLOOKUP(L222,Packaging!$B$3:$C$21,2,0)</f>
        <v>290 X 200 X 100</v>
      </c>
      <c r="N222" s="47"/>
      <c r="O222" s="47">
        <v>50</v>
      </c>
      <c r="P222" s="47" t="s">
        <v>55</v>
      </c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18" customHeight="1">
      <c r="A223" s="44" t="s">
        <v>722</v>
      </c>
      <c r="B223" s="47">
        <v>818042</v>
      </c>
      <c r="C223" s="46" t="s">
        <v>723</v>
      </c>
      <c r="D223" s="47" t="s">
        <v>569</v>
      </c>
      <c r="E223" s="48">
        <v>800</v>
      </c>
      <c r="F223" s="49"/>
      <c r="G223" s="49">
        <f t="shared" si="0"/>
        <v>91</v>
      </c>
      <c r="H223" s="47" t="s">
        <v>724</v>
      </c>
      <c r="I223" s="51">
        <v>244</v>
      </c>
      <c r="J223" s="52">
        <v>27.6</v>
      </c>
      <c r="K223" s="53">
        <f t="shared" si="1"/>
        <v>22.324000000000002</v>
      </c>
      <c r="L223" s="61" t="s">
        <v>274</v>
      </c>
      <c r="M223" s="54" t="str">
        <f>VLOOKUP(L223,Packaging!$B$3:$C$21,2,0)</f>
        <v>290 X 200 X 100</v>
      </c>
      <c r="N223" s="47"/>
      <c r="O223" s="47">
        <v>50</v>
      </c>
      <c r="P223" s="47" t="s">
        <v>55</v>
      </c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18" customHeight="1">
      <c r="A224" s="44" t="s">
        <v>725</v>
      </c>
      <c r="B224" s="47">
        <v>818043</v>
      </c>
      <c r="C224" s="46" t="s">
        <v>726</v>
      </c>
      <c r="D224" s="47" t="s">
        <v>569</v>
      </c>
      <c r="E224" s="48">
        <v>800</v>
      </c>
      <c r="F224" s="49"/>
      <c r="G224" s="49">
        <f t="shared" si="0"/>
        <v>91</v>
      </c>
      <c r="H224" s="47" t="s">
        <v>727</v>
      </c>
      <c r="I224" s="51">
        <v>244</v>
      </c>
      <c r="J224" s="52">
        <v>23.6</v>
      </c>
      <c r="K224" s="53">
        <f t="shared" si="1"/>
        <v>19.123999999999999</v>
      </c>
      <c r="L224" s="61" t="s">
        <v>274</v>
      </c>
      <c r="M224" s="54" t="str">
        <f>VLOOKUP(L224,Packaging!$B$3:$C$21,2,0)</f>
        <v>290 X 200 X 100</v>
      </c>
      <c r="N224" s="47"/>
      <c r="O224" s="47">
        <v>50</v>
      </c>
      <c r="P224" s="47" t="s">
        <v>55</v>
      </c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18" customHeight="1">
      <c r="A225" s="44" t="s">
        <v>728</v>
      </c>
      <c r="B225" s="47">
        <v>818677</v>
      </c>
      <c r="C225" s="46" t="s">
        <v>729</v>
      </c>
      <c r="D225" s="47" t="s">
        <v>569</v>
      </c>
      <c r="E225" s="48">
        <v>1000</v>
      </c>
      <c r="F225" s="49"/>
      <c r="G225" s="49">
        <f t="shared" si="0"/>
        <v>91</v>
      </c>
      <c r="H225" s="47" t="s">
        <v>730</v>
      </c>
      <c r="I225" s="51">
        <v>244</v>
      </c>
      <c r="J225" s="52">
        <v>13.2</v>
      </c>
      <c r="K225" s="53">
        <f t="shared" si="1"/>
        <v>13.444000000000001</v>
      </c>
      <c r="L225" s="61" t="s">
        <v>274</v>
      </c>
      <c r="M225" s="54" t="str">
        <f>VLOOKUP(L225,Packaging!$B$3:$C$21,2,0)</f>
        <v>290 X 200 X 100</v>
      </c>
      <c r="N225" s="47"/>
      <c r="O225" s="47">
        <v>250</v>
      </c>
      <c r="P225" s="47" t="s">
        <v>55</v>
      </c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18" customHeight="1">
      <c r="A226" s="44" t="s">
        <v>731</v>
      </c>
      <c r="B226" s="47">
        <v>818678</v>
      </c>
      <c r="C226" s="46" t="s">
        <v>695</v>
      </c>
      <c r="D226" s="47" t="s">
        <v>569</v>
      </c>
      <c r="E226" s="48">
        <v>1000</v>
      </c>
      <c r="F226" s="49"/>
      <c r="G226" s="49">
        <f t="shared" si="0"/>
        <v>91</v>
      </c>
      <c r="H226" s="47" t="s">
        <v>732</v>
      </c>
      <c r="I226" s="51">
        <v>244</v>
      </c>
      <c r="J226" s="52">
        <v>12.2</v>
      </c>
      <c r="K226" s="53">
        <f t="shared" si="1"/>
        <v>12.444000000000001</v>
      </c>
      <c r="L226" s="61" t="s">
        <v>274</v>
      </c>
      <c r="M226" s="54" t="str">
        <f>VLOOKUP(L226,Packaging!$B$3:$C$21,2,0)</f>
        <v>290 X 200 X 100</v>
      </c>
      <c r="N226" s="47"/>
      <c r="O226" s="47">
        <v>250</v>
      </c>
      <c r="P226" s="47" t="s">
        <v>55</v>
      </c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18" customHeight="1">
      <c r="A227" s="44" t="s">
        <v>733</v>
      </c>
      <c r="B227" s="47">
        <v>818679</v>
      </c>
      <c r="C227" s="46" t="s">
        <v>698</v>
      </c>
      <c r="D227" s="47" t="s">
        <v>569</v>
      </c>
      <c r="E227" s="48">
        <v>1000</v>
      </c>
      <c r="F227" s="49"/>
      <c r="G227" s="49">
        <f t="shared" si="0"/>
        <v>91</v>
      </c>
      <c r="H227" s="47" t="s">
        <v>734</v>
      </c>
      <c r="I227" s="51">
        <v>244</v>
      </c>
      <c r="J227" s="52">
        <v>12</v>
      </c>
      <c r="K227" s="53">
        <f t="shared" si="1"/>
        <v>12.244</v>
      </c>
      <c r="L227" s="61" t="s">
        <v>274</v>
      </c>
      <c r="M227" s="54" t="str">
        <f>VLOOKUP(L227,Packaging!$B$3:$C$21,2,0)</f>
        <v>290 X 200 X 100</v>
      </c>
      <c r="N227" s="47"/>
      <c r="O227" s="47">
        <v>250</v>
      </c>
      <c r="P227" s="47" t="s">
        <v>55</v>
      </c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18" customHeight="1">
      <c r="A228" s="44" t="s">
        <v>735</v>
      </c>
      <c r="B228" s="47">
        <v>818680</v>
      </c>
      <c r="C228" s="46" t="s">
        <v>701</v>
      </c>
      <c r="D228" s="47" t="s">
        <v>569</v>
      </c>
      <c r="E228" s="48">
        <v>1000</v>
      </c>
      <c r="F228" s="49"/>
      <c r="G228" s="49">
        <f t="shared" si="0"/>
        <v>91</v>
      </c>
      <c r="H228" s="47" t="s">
        <v>736</v>
      </c>
      <c r="I228" s="51">
        <v>244</v>
      </c>
      <c r="J228" s="52">
        <v>10.6</v>
      </c>
      <c r="K228" s="53">
        <f t="shared" si="1"/>
        <v>10.843999999999999</v>
      </c>
      <c r="L228" s="61" t="s">
        <v>274</v>
      </c>
      <c r="M228" s="54" t="str">
        <f>VLOOKUP(L228,Packaging!$B$3:$C$21,2,0)</f>
        <v>290 X 200 X 100</v>
      </c>
      <c r="N228" s="47"/>
      <c r="O228" s="47">
        <v>250</v>
      </c>
      <c r="P228" s="47" t="s">
        <v>55</v>
      </c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18" customHeight="1">
      <c r="A229" s="44" t="s">
        <v>737</v>
      </c>
      <c r="B229" s="47">
        <v>955981</v>
      </c>
      <c r="C229" s="46" t="s">
        <v>738</v>
      </c>
      <c r="D229" s="47" t="s">
        <v>569</v>
      </c>
      <c r="E229" s="48">
        <v>1000</v>
      </c>
      <c r="F229" s="49"/>
      <c r="G229" s="49">
        <f t="shared" si="0"/>
        <v>91</v>
      </c>
      <c r="H229" s="47" t="s">
        <v>739</v>
      </c>
      <c r="I229" s="51">
        <v>280</v>
      </c>
      <c r="J229" s="52">
        <v>3.5</v>
      </c>
      <c r="K229" s="53">
        <f t="shared" si="1"/>
        <v>3.78</v>
      </c>
      <c r="L229" s="50" t="s">
        <v>54</v>
      </c>
      <c r="M229" s="54" t="str">
        <f>VLOOKUP(L229,Packaging!$B$3:$C$21,2,0)</f>
        <v>290 X 200 X 140</v>
      </c>
      <c r="N229" s="47"/>
      <c r="O229" s="47">
        <v>200</v>
      </c>
      <c r="P229" s="47" t="s">
        <v>55</v>
      </c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18" customHeight="1">
      <c r="A230" s="44" t="s">
        <v>17</v>
      </c>
      <c r="B230" s="47">
        <v>955985</v>
      </c>
      <c r="C230" s="46" t="s">
        <v>740</v>
      </c>
      <c r="D230" s="47" t="s">
        <v>569</v>
      </c>
      <c r="E230" s="48">
        <v>1000</v>
      </c>
      <c r="F230" s="49"/>
      <c r="G230" s="49">
        <f t="shared" si="0"/>
        <v>91</v>
      </c>
      <c r="H230" s="47" t="s">
        <v>741</v>
      </c>
      <c r="I230" s="51">
        <v>280</v>
      </c>
      <c r="J230" s="52">
        <v>4.2</v>
      </c>
      <c r="K230" s="53">
        <f t="shared" si="1"/>
        <v>4.4800000000000004</v>
      </c>
      <c r="L230" s="50" t="s">
        <v>54</v>
      </c>
      <c r="M230" s="54" t="str">
        <f>VLOOKUP(L230,Packaging!$B$3:$C$21,2,0)</f>
        <v>290 X 200 X 140</v>
      </c>
      <c r="N230" s="47"/>
      <c r="O230" s="47">
        <v>200</v>
      </c>
      <c r="P230" s="47" t="s">
        <v>55</v>
      </c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18" customHeight="1">
      <c r="A231" s="44" t="s">
        <v>742</v>
      </c>
      <c r="B231" s="47">
        <v>955989</v>
      </c>
      <c r="C231" s="46" t="s">
        <v>743</v>
      </c>
      <c r="D231" s="47" t="s">
        <v>569</v>
      </c>
      <c r="E231" s="48">
        <v>8</v>
      </c>
      <c r="F231" s="49"/>
      <c r="G231" s="49">
        <f t="shared" si="0"/>
        <v>91</v>
      </c>
      <c r="H231" s="47" t="s">
        <v>744</v>
      </c>
      <c r="I231" s="51"/>
      <c r="J231" s="52">
        <v>624.20000000000005</v>
      </c>
      <c r="K231" s="53">
        <f t="shared" si="1"/>
        <v>4.9936000000000007</v>
      </c>
      <c r="L231" s="47"/>
      <c r="M231" s="54" t="e">
        <f>VLOOKUP(L231,Packaging!$B$3:$C$21,2,0)</f>
        <v>#N/A</v>
      </c>
      <c r="N231" s="47"/>
      <c r="O231" s="47"/>
      <c r="P231" s="47" t="s">
        <v>55</v>
      </c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18" customHeight="1">
      <c r="A232" s="44" t="s">
        <v>745</v>
      </c>
      <c r="B232" s="47">
        <v>956052</v>
      </c>
      <c r="C232" s="46" t="s">
        <v>746</v>
      </c>
      <c r="D232" s="47" t="s">
        <v>569</v>
      </c>
      <c r="E232" s="48">
        <v>5</v>
      </c>
      <c r="F232" s="49"/>
      <c r="G232" s="49">
        <f t="shared" si="0"/>
        <v>91</v>
      </c>
      <c r="H232" s="47" t="s">
        <v>747</v>
      </c>
      <c r="I232" s="51">
        <v>766</v>
      </c>
      <c r="J232" s="52">
        <v>832.8</v>
      </c>
      <c r="K232" s="53">
        <f t="shared" si="1"/>
        <v>4.93</v>
      </c>
      <c r="L232" s="50" t="s">
        <v>72</v>
      </c>
      <c r="M232" s="54" t="str">
        <f>VLOOKUP(L232,Packaging!$B$3:$C$21,2,0)</f>
        <v>390 X 350 X 280</v>
      </c>
      <c r="N232" s="47"/>
      <c r="O232" s="47"/>
      <c r="P232" s="47" t="s">
        <v>55</v>
      </c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18" customHeight="1">
      <c r="A233" s="44" t="s">
        <v>748</v>
      </c>
      <c r="B233" s="47">
        <v>956004</v>
      </c>
      <c r="C233" s="46" t="s">
        <v>749</v>
      </c>
      <c r="D233" s="47" t="s">
        <v>569</v>
      </c>
      <c r="E233" s="48">
        <v>120</v>
      </c>
      <c r="F233" s="49"/>
      <c r="G233" s="49">
        <f t="shared" si="0"/>
        <v>91</v>
      </c>
      <c r="H233" s="47" t="s">
        <v>750</v>
      </c>
      <c r="I233" s="51">
        <v>280</v>
      </c>
      <c r="J233" s="52">
        <v>65.400000000000006</v>
      </c>
      <c r="K233" s="53">
        <f t="shared" si="1"/>
        <v>8.1280000000000001</v>
      </c>
      <c r="L233" s="50" t="s">
        <v>54</v>
      </c>
      <c r="M233" s="54" t="str">
        <f>VLOOKUP(L233,Packaging!$B$3:$C$21,2,0)</f>
        <v>290 X 200 X 140</v>
      </c>
      <c r="N233" s="47"/>
      <c r="O233" s="47">
        <v>20</v>
      </c>
      <c r="P233" s="47" t="s">
        <v>55</v>
      </c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18" customHeight="1">
      <c r="A234" s="44" t="s">
        <v>751</v>
      </c>
      <c r="B234" s="47">
        <v>956213</v>
      </c>
      <c r="C234" s="46" t="s">
        <v>752</v>
      </c>
      <c r="D234" s="47" t="s">
        <v>569</v>
      </c>
      <c r="E234" s="48" t="s">
        <v>53</v>
      </c>
      <c r="F234" s="49"/>
      <c r="G234" s="49">
        <f t="shared" si="0"/>
        <v>91</v>
      </c>
      <c r="H234" s="47" t="s">
        <v>753</v>
      </c>
      <c r="I234" s="51"/>
      <c r="J234" s="52">
        <v>4.8</v>
      </c>
      <c r="K234" s="53" t="e">
        <f t="shared" si="1"/>
        <v>#VALUE!</v>
      </c>
      <c r="L234" s="47"/>
      <c r="M234" s="54" t="e">
        <f>VLOOKUP(L234,Packaging!$B$3:$C$21,2,0)</f>
        <v>#N/A</v>
      </c>
      <c r="N234" s="47"/>
      <c r="O234" s="47"/>
      <c r="P234" s="47" t="s">
        <v>55</v>
      </c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18" customHeight="1">
      <c r="A235" s="44" t="s">
        <v>754</v>
      </c>
      <c r="B235" s="47">
        <v>956399</v>
      </c>
      <c r="C235" s="46" t="s">
        <v>755</v>
      </c>
      <c r="D235" s="47" t="s">
        <v>569</v>
      </c>
      <c r="E235" s="48">
        <v>500</v>
      </c>
      <c r="F235" s="49"/>
      <c r="G235" s="49">
        <f t="shared" si="0"/>
        <v>91</v>
      </c>
      <c r="H235" s="47" t="s">
        <v>756</v>
      </c>
      <c r="I235" s="51">
        <v>280</v>
      </c>
      <c r="J235" s="52">
        <v>30</v>
      </c>
      <c r="K235" s="53">
        <f t="shared" si="1"/>
        <v>15.28</v>
      </c>
      <c r="L235" s="50" t="s">
        <v>54</v>
      </c>
      <c r="M235" s="54" t="str">
        <f>VLOOKUP(L235,Packaging!$B$3:$C$21,2,0)</f>
        <v>290 X 200 X 140</v>
      </c>
      <c r="N235" s="47"/>
      <c r="O235" s="47"/>
      <c r="P235" s="47" t="s">
        <v>55</v>
      </c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18" customHeight="1">
      <c r="A236" s="44" t="s">
        <v>757</v>
      </c>
      <c r="B236" s="47" t="s">
        <v>758</v>
      </c>
      <c r="C236" s="46" t="s">
        <v>759</v>
      </c>
      <c r="D236" s="47" t="s">
        <v>569</v>
      </c>
      <c r="E236" s="48">
        <v>20</v>
      </c>
      <c r="F236" s="49"/>
      <c r="G236" s="49">
        <f t="shared" si="0"/>
        <v>91</v>
      </c>
      <c r="H236" s="47" t="s">
        <v>760</v>
      </c>
      <c r="I236" s="51"/>
      <c r="J236" s="52">
        <v>161</v>
      </c>
      <c r="K236" s="53">
        <f t="shared" si="1"/>
        <v>3.22</v>
      </c>
      <c r="L236" s="47"/>
      <c r="M236" s="54" t="e">
        <f>VLOOKUP(L236,Packaging!$B$3:$C$21,2,0)</f>
        <v>#N/A</v>
      </c>
      <c r="N236" s="47" t="s">
        <v>761</v>
      </c>
      <c r="O236" s="47"/>
      <c r="P236" s="47" t="s">
        <v>55</v>
      </c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18" customHeight="1">
      <c r="A237" s="44" t="s">
        <v>762</v>
      </c>
      <c r="B237" s="47" t="s">
        <v>763</v>
      </c>
      <c r="C237" s="46" t="s">
        <v>764</v>
      </c>
      <c r="D237" s="47" t="s">
        <v>569</v>
      </c>
      <c r="E237" s="48" t="s">
        <v>53</v>
      </c>
      <c r="F237" s="49"/>
      <c r="G237" s="49">
        <f t="shared" si="0"/>
        <v>91</v>
      </c>
      <c r="H237" s="47" t="s">
        <v>765</v>
      </c>
      <c r="I237" s="51">
        <v>280</v>
      </c>
      <c r="J237" s="52">
        <v>10.8</v>
      </c>
      <c r="K237" s="53" t="e">
        <f t="shared" si="1"/>
        <v>#VALUE!</v>
      </c>
      <c r="L237" s="50" t="s">
        <v>54</v>
      </c>
      <c r="M237" s="54" t="str">
        <f>VLOOKUP(L237,Packaging!$B$3:$C$21,2,0)</f>
        <v>290 X 200 X 140</v>
      </c>
      <c r="N237" s="47"/>
      <c r="O237" s="47">
        <v>20</v>
      </c>
      <c r="P237" s="47" t="s">
        <v>55</v>
      </c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18" customHeight="1">
      <c r="A238" s="44" t="s">
        <v>766</v>
      </c>
      <c r="B238" s="47">
        <v>956423</v>
      </c>
      <c r="C238" s="46" t="s">
        <v>767</v>
      </c>
      <c r="D238" s="47" t="s">
        <v>569</v>
      </c>
      <c r="E238" s="48">
        <v>1000</v>
      </c>
      <c r="F238" s="49"/>
      <c r="G238" s="49">
        <f t="shared" si="0"/>
        <v>91</v>
      </c>
      <c r="H238" s="47" t="s">
        <v>768</v>
      </c>
      <c r="I238" s="51">
        <v>244</v>
      </c>
      <c r="J238" s="52">
        <v>12.6</v>
      </c>
      <c r="K238" s="53">
        <f t="shared" si="1"/>
        <v>12.843999999999999</v>
      </c>
      <c r="L238" s="61" t="s">
        <v>274</v>
      </c>
      <c r="M238" s="54" t="str">
        <f>VLOOKUP(L238,Packaging!$B$3:$C$21,2,0)</f>
        <v>290 X 200 X 100</v>
      </c>
      <c r="N238" s="47"/>
      <c r="O238" s="47">
        <v>250</v>
      </c>
      <c r="P238" s="47" t="s">
        <v>55</v>
      </c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18" customHeight="1">
      <c r="A239" s="44" t="s">
        <v>769</v>
      </c>
      <c r="B239" s="47">
        <v>956463</v>
      </c>
      <c r="C239" s="46" t="s">
        <v>770</v>
      </c>
      <c r="D239" s="47" t="s">
        <v>569</v>
      </c>
      <c r="E239" s="48">
        <v>1000</v>
      </c>
      <c r="F239" s="49"/>
      <c r="G239" s="49">
        <f t="shared" si="0"/>
        <v>91</v>
      </c>
      <c r="H239" s="47" t="s">
        <v>771</v>
      </c>
      <c r="I239" s="51">
        <v>244</v>
      </c>
      <c r="J239" s="52">
        <v>11.6</v>
      </c>
      <c r="K239" s="53">
        <f t="shared" si="1"/>
        <v>11.843999999999999</v>
      </c>
      <c r="L239" s="61" t="s">
        <v>274</v>
      </c>
      <c r="M239" s="54" t="str">
        <f>VLOOKUP(L239,Packaging!$B$3:$C$21,2,0)</f>
        <v>290 X 200 X 100</v>
      </c>
      <c r="N239" s="47"/>
      <c r="O239" s="47">
        <v>250</v>
      </c>
      <c r="P239" s="47" t="s">
        <v>55</v>
      </c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18" customHeight="1">
      <c r="A240" s="44" t="s">
        <v>772</v>
      </c>
      <c r="B240" s="62">
        <v>3000007326</v>
      </c>
      <c r="C240" s="57" t="s">
        <v>773</v>
      </c>
      <c r="D240" s="47" t="s">
        <v>569</v>
      </c>
      <c r="E240" s="48">
        <v>60</v>
      </c>
      <c r="F240" s="49"/>
      <c r="G240" s="49">
        <f t="shared" si="0"/>
        <v>91</v>
      </c>
      <c r="H240" s="47" t="s">
        <v>774</v>
      </c>
      <c r="I240" s="51">
        <v>280</v>
      </c>
      <c r="J240" s="52">
        <v>86</v>
      </c>
      <c r="K240" s="53">
        <f t="shared" si="1"/>
        <v>5.44</v>
      </c>
      <c r="L240" s="50" t="s">
        <v>54</v>
      </c>
      <c r="M240" s="54" t="str">
        <f>VLOOKUP(L240,Packaging!$B$3:$C$21,2,0)</f>
        <v>290 X 200 X 140</v>
      </c>
      <c r="N240" s="47"/>
      <c r="O240" s="47"/>
      <c r="P240" s="47" t="s">
        <v>55</v>
      </c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18" customHeight="1">
      <c r="A241" s="44" t="s">
        <v>775</v>
      </c>
      <c r="B241" s="47" t="s">
        <v>776</v>
      </c>
      <c r="C241" s="46" t="s">
        <v>777</v>
      </c>
      <c r="D241" s="47" t="s">
        <v>569</v>
      </c>
      <c r="E241" s="48">
        <v>30</v>
      </c>
      <c r="F241" s="49"/>
      <c r="G241" s="49">
        <f t="shared" si="0"/>
        <v>91</v>
      </c>
      <c r="H241" s="47" t="s">
        <v>778</v>
      </c>
      <c r="I241" s="51">
        <v>580</v>
      </c>
      <c r="J241" s="52">
        <v>512.4</v>
      </c>
      <c r="K241" s="53">
        <f t="shared" si="1"/>
        <v>15.952</v>
      </c>
      <c r="L241" s="61" t="s">
        <v>101</v>
      </c>
      <c r="M241" s="54" t="str">
        <f>VLOOKUP(L241,Packaging!$B$3:$C$21,2,0)</f>
        <v>1380 X 150 X 80</v>
      </c>
      <c r="N241" s="47"/>
      <c r="O241" s="47"/>
      <c r="P241" s="47" t="s">
        <v>55</v>
      </c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18" customHeight="1">
      <c r="A242" s="44" t="s">
        <v>779</v>
      </c>
      <c r="B242" s="47" t="s">
        <v>780</v>
      </c>
      <c r="C242" s="46" t="s">
        <v>781</v>
      </c>
      <c r="D242" s="47" t="s">
        <v>569</v>
      </c>
      <c r="E242" s="48">
        <v>100</v>
      </c>
      <c r="F242" s="49"/>
      <c r="G242" s="49">
        <f t="shared" si="0"/>
        <v>91</v>
      </c>
      <c r="H242" s="47" t="s">
        <v>782</v>
      </c>
      <c r="I242" s="51"/>
      <c r="J242" s="52">
        <v>217.2</v>
      </c>
      <c r="K242" s="53">
        <f t="shared" si="1"/>
        <v>21.72</v>
      </c>
      <c r="L242" s="47"/>
      <c r="M242" s="54" t="e">
        <f>VLOOKUP(L242,Packaging!$B$3:$C$21,2,0)</f>
        <v>#N/A</v>
      </c>
      <c r="N242" s="47"/>
      <c r="O242" s="47">
        <v>5</v>
      </c>
      <c r="P242" s="47" t="s">
        <v>55</v>
      </c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18" customHeight="1">
      <c r="A243" s="44" t="s">
        <v>783</v>
      </c>
      <c r="B243" s="47" t="s">
        <v>784</v>
      </c>
      <c r="C243" s="46" t="s">
        <v>785</v>
      </c>
      <c r="D243" s="47" t="s">
        <v>569</v>
      </c>
      <c r="E243" s="48">
        <v>400</v>
      </c>
      <c r="F243" s="49"/>
      <c r="G243" s="49">
        <f t="shared" si="0"/>
        <v>91</v>
      </c>
      <c r="H243" s="47" t="s">
        <v>786</v>
      </c>
      <c r="I243" s="51">
        <v>378</v>
      </c>
      <c r="J243" s="52">
        <v>13.8</v>
      </c>
      <c r="K243" s="53">
        <f t="shared" si="1"/>
        <v>5.8979999999999997</v>
      </c>
      <c r="L243" s="61" t="s">
        <v>91</v>
      </c>
      <c r="M243" s="54" t="str">
        <f>VLOOKUP(L243,Packaging!$B$3:$C$21,2,0)</f>
        <v>400 X 240 X 130</v>
      </c>
      <c r="N243" s="47"/>
      <c r="O243" s="47">
        <v>50</v>
      </c>
      <c r="P243" s="47" t="s">
        <v>55</v>
      </c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18" customHeight="1">
      <c r="A244" s="44" t="s">
        <v>787</v>
      </c>
      <c r="B244" s="47" t="s">
        <v>788</v>
      </c>
      <c r="C244" s="46" t="s">
        <v>789</v>
      </c>
      <c r="D244" s="47" t="s">
        <v>569</v>
      </c>
      <c r="E244" s="48">
        <v>600</v>
      </c>
      <c r="F244" s="49"/>
      <c r="G244" s="49">
        <f t="shared" si="0"/>
        <v>91</v>
      </c>
      <c r="H244" s="47" t="s">
        <v>790</v>
      </c>
      <c r="I244" s="51"/>
      <c r="J244" s="52">
        <v>21.2</v>
      </c>
      <c r="K244" s="53">
        <f t="shared" si="1"/>
        <v>12.72</v>
      </c>
      <c r="L244" s="47"/>
      <c r="M244" s="54" t="e">
        <f>VLOOKUP(L244,Packaging!$B$3:$C$21,2,0)</f>
        <v>#N/A</v>
      </c>
      <c r="N244" s="47"/>
      <c r="O244" s="47"/>
      <c r="P244" s="47" t="s">
        <v>55</v>
      </c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18" customHeight="1">
      <c r="A245" s="44" t="s">
        <v>791</v>
      </c>
      <c r="B245" s="47" t="s">
        <v>792</v>
      </c>
      <c r="C245" s="46" t="s">
        <v>793</v>
      </c>
      <c r="D245" s="47" t="s">
        <v>569</v>
      </c>
      <c r="E245" s="48">
        <v>2000</v>
      </c>
      <c r="F245" s="49"/>
      <c r="G245" s="49">
        <f t="shared" si="0"/>
        <v>91</v>
      </c>
      <c r="H245" s="47" t="s">
        <v>794</v>
      </c>
      <c r="I245" s="51">
        <v>280</v>
      </c>
      <c r="J245" s="52">
        <v>1.6</v>
      </c>
      <c r="K245" s="53">
        <f t="shared" si="1"/>
        <v>3.48</v>
      </c>
      <c r="L245" s="61" t="s">
        <v>54</v>
      </c>
      <c r="M245" s="54" t="str">
        <f>VLOOKUP(L245,Packaging!$B$3:$C$21,2,0)</f>
        <v>290 X 200 X 140</v>
      </c>
      <c r="N245" s="47"/>
      <c r="O245" s="47">
        <v>250</v>
      </c>
      <c r="P245" s="47" t="s">
        <v>55</v>
      </c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18" customHeight="1">
      <c r="A246" s="44" t="s">
        <v>795</v>
      </c>
      <c r="B246" s="47" t="s">
        <v>796</v>
      </c>
      <c r="C246" s="46" t="s">
        <v>797</v>
      </c>
      <c r="D246" s="47" t="s">
        <v>569</v>
      </c>
      <c r="E246" s="48">
        <v>300</v>
      </c>
      <c r="F246" s="49"/>
      <c r="G246" s="49">
        <f t="shared" si="0"/>
        <v>91</v>
      </c>
      <c r="H246" s="47" t="s">
        <v>798</v>
      </c>
      <c r="I246" s="51">
        <v>280</v>
      </c>
      <c r="J246" s="52">
        <v>13.4</v>
      </c>
      <c r="K246" s="53">
        <f t="shared" si="1"/>
        <v>4.3</v>
      </c>
      <c r="L246" s="61" t="s">
        <v>54</v>
      </c>
      <c r="M246" s="54" t="str">
        <f>VLOOKUP(L246,Packaging!$B$3:$C$21,2,0)</f>
        <v>290 X 200 X 140</v>
      </c>
      <c r="N246" s="47"/>
      <c r="O246" s="47">
        <v>50</v>
      </c>
      <c r="P246" s="47" t="s">
        <v>55</v>
      </c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18" customHeight="1">
      <c r="A247" s="44" t="s">
        <v>799</v>
      </c>
      <c r="B247" s="47" t="s">
        <v>800</v>
      </c>
      <c r="C247" s="46" t="s">
        <v>801</v>
      </c>
      <c r="D247" s="47" t="s">
        <v>569</v>
      </c>
      <c r="E247" s="48">
        <v>20</v>
      </c>
      <c r="F247" s="49"/>
      <c r="G247" s="49">
        <f t="shared" si="0"/>
        <v>91</v>
      </c>
      <c r="H247" s="47" t="s">
        <v>802</v>
      </c>
      <c r="I247" s="51">
        <v>378</v>
      </c>
      <c r="J247" s="52">
        <v>185</v>
      </c>
      <c r="K247" s="53">
        <f t="shared" si="1"/>
        <v>4.0780000000000003</v>
      </c>
      <c r="L247" s="61" t="s">
        <v>91</v>
      </c>
      <c r="M247" s="54" t="str">
        <f>VLOOKUP(L247,Packaging!$B$3:$C$21,2,0)</f>
        <v>400 X 240 X 130</v>
      </c>
      <c r="N247" s="47"/>
      <c r="O247" s="47">
        <v>2</v>
      </c>
      <c r="P247" s="47" t="s">
        <v>55</v>
      </c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18" customHeight="1">
      <c r="A248" s="44" t="s">
        <v>803</v>
      </c>
      <c r="B248" s="67">
        <v>813910</v>
      </c>
      <c r="C248" s="68" t="s">
        <v>804</v>
      </c>
      <c r="D248" s="47" t="s">
        <v>569</v>
      </c>
      <c r="E248" s="48"/>
      <c r="F248" s="49"/>
      <c r="G248" s="49">
        <f t="shared" si="0"/>
        <v>91</v>
      </c>
      <c r="H248" s="47">
        <v>813910</v>
      </c>
      <c r="I248" s="51">
        <v>244</v>
      </c>
      <c r="J248" s="52">
        <v>61</v>
      </c>
      <c r="K248" s="53">
        <f t="shared" si="1"/>
        <v>0.24399999999999999</v>
      </c>
      <c r="L248" s="47"/>
      <c r="M248" s="54" t="e">
        <f>VLOOKUP(L248,Packaging!$B$3:$C$21,2,0)</f>
        <v>#N/A</v>
      </c>
      <c r="N248" s="47"/>
      <c r="O248" s="47">
        <v>5</v>
      </c>
      <c r="P248" s="47" t="s">
        <v>55</v>
      </c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18" customHeight="1">
      <c r="A249" s="44" t="s">
        <v>805</v>
      </c>
      <c r="B249" s="47" t="s">
        <v>806</v>
      </c>
      <c r="C249" s="46" t="s">
        <v>807</v>
      </c>
      <c r="D249" s="47" t="s">
        <v>569</v>
      </c>
      <c r="E249" s="48">
        <v>100</v>
      </c>
      <c r="F249" s="49"/>
      <c r="G249" s="49">
        <f t="shared" si="0"/>
        <v>91</v>
      </c>
      <c r="H249" s="47" t="s">
        <v>808</v>
      </c>
      <c r="I249" s="51"/>
      <c r="J249" s="52">
        <v>154</v>
      </c>
      <c r="K249" s="53">
        <f t="shared" si="1"/>
        <v>15.4</v>
      </c>
      <c r="L249" s="61" t="s">
        <v>91</v>
      </c>
      <c r="M249" s="54" t="str">
        <f>VLOOKUP(L249,Packaging!$B$3:$C$21,2,0)</f>
        <v>400 X 240 X 130</v>
      </c>
      <c r="N249" s="47"/>
      <c r="O249" s="47">
        <v>5</v>
      </c>
      <c r="P249" s="47" t="s">
        <v>55</v>
      </c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18" customHeight="1">
      <c r="A250" s="44" t="s">
        <v>809</v>
      </c>
      <c r="B250" s="47" t="s">
        <v>810</v>
      </c>
      <c r="C250" s="46" t="s">
        <v>811</v>
      </c>
      <c r="D250" s="47" t="s">
        <v>569</v>
      </c>
      <c r="E250" s="48">
        <v>180</v>
      </c>
      <c r="F250" s="49"/>
      <c r="G250" s="49">
        <f t="shared" si="0"/>
        <v>91</v>
      </c>
      <c r="H250" s="47" t="s">
        <v>812</v>
      </c>
      <c r="I250" s="51">
        <v>280</v>
      </c>
      <c r="J250" s="52">
        <v>98</v>
      </c>
      <c r="K250" s="53">
        <f t="shared" si="1"/>
        <v>17.920000000000002</v>
      </c>
      <c r="L250" s="61" t="s">
        <v>54</v>
      </c>
      <c r="M250" s="54" t="str">
        <f>VLOOKUP(L250,Packaging!$B$3:$C$21,2,0)</f>
        <v>290 X 200 X 140</v>
      </c>
      <c r="N250" s="47"/>
      <c r="O250" s="47"/>
      <c r="P250" s="47" t="s">
        <v>55</v>
      </c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18" customHeight="1">
      <c r="A251" s="44" t="s">
        <v>813</v>
      </c>
      <c r="B251" s="47" t="s">
        <v>814</v>
      </c>
      <c r="C251" s="46" t="s">
        <v>815</v>
      </c>
      <c r="D251" s="47" t="s">
        <v>569</v>
      </c>
      <c r="E251" s="48">
        <v>12</v>
      </c>
      <c r="F251" s="49"/>
      <c r="G251" s="49">
        <f t="shared" si="0"/>
        <v>91</v>
      </c>
      <c r="H251" s="47" t="s">
        <v>816</v>
      </c>
      <c r="I251" s="51"/>
      <c r="J251" s="52">
        <v>270</v>
      </c>
      <c r="K251" s="53">
        <f t="shared" si="1"/>
        <v>3.24</v>
      </c>
      <c r="L251" s="47"/>
      <c r="M251" s="54" t="e">
        <f>VLOOKUP(L251,Packaging!$B$3:$C$21,2,0)</f>
        <v>#N/A</v>
      </c>
      <c r="N251" s="47"/>
      <c r="O251" s="47"/>
      <c r="P251" s="47" t="s">
        <v>55</v>
      </c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18" customHeight="1">
      <c r="A252" s="44" t="s">
        <v>817</v>
      </c>
      <c r="B252" s="47">
        <v>951656</v>
      </c>
      <c r="C252" s="46" t="s">
        <v>818</v>
      </c>
      <c r="D252" s="47" t="s">
        <v>569</v>
      </c>
      <c r="E252" s="48">
        <v>540</v>
      </c>
      <c r="F252" s="49"/>
      <c r="G252" s="49">
        <f t="shared" si="0"/>
        <v>91</v>
      </c>
      <c r="H252" s="47" t="s">
        <v>652</v>
      </c>
      <c r="I252" s="51">
        <v>280</v>
      </c>
      <c r="J252" s="52">
        <v>35.4</v>
      </c>
      <c r="K252" s="53">
        <f t="shared" si="1"/>
        <v>19.396000000000001</v>
      </c>
      <c r="L252" s="61" t="s">
        <v>54</v>
      </c>
      <c r="M252" s="54" t="str">
        <f>VLOOKUP(L252,Packaging!$B$3:$C$21,2,0)</f>
        <v>290 X 200 X 140</v>
      </c>
      <c r="N252" s="47"/>
      <c r="O252" s="47">
        <v>15</v>
      </c>
      <c r="P252" s="47" t="s">
        <v>55</v>
      </c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18" customHeight="1">
      <c r="A253" s="44" t="s">
        <v>819</v>
      </c>
      <c r="B253" s="47">
        <v>951657</v>
      </c>
      <c r="C253" s="46" t="s">
        <v>820</v>
      </c>
      <c r="D253" s="47" t="s">
        <v>569</v>
      </c>
      <c r="E253" s="48">
        <v>540</v>
      </c>
      <c r="F253" s="49"/>
      <c r="G253" s="49">
        <f t="shared" si="0"/>
        <v>91</v>
      </c>
      <c r="H253" s="47" t="s">
        <v>652</v>
      </c>
      <c r="I253" s="51">
        <v>280</v>
      </c>
      <c r="J253" s="52">
        <v>35.4</v>
      </c>
      <c r="K253" s="53">
        <f t="shared" si="1"/>
        <v>19.396000000000001</v>
      </c>
      <c r="L253" s="61" t="s">
        <v>54</v>
      </c>
      <c r="M253" s="54" t="str">
        <f>VLOOKUP(L253,Packaging!$B$3:$C$21,2,0)</f>
        <v>290 X 200 X 140</v>
      </c>
      <c r="N253" s="47"/>
      <c r="O253" s="47">
        <v>15</v>
      </c>
      <c r="P253" s="47" t="s">
        <v>55</v>
      </c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18" customHeight="1">
      <c r="A254" s="44" t="s">
        <v>821</v>
      </c>
      <c r="B254" s="47">
        <v>3000003867</v>
      </c>
      <c r="C254" s="46" t="s">
        <v>822</v>
      </c>
      <c r="D254" s="47" t="s">
        <v>569</v>
      </c>
      <c r="E254" s="48">
        <v>28</v>
      </c>
      <c r="F254" s="49"/>
      <c r="G254" s="49">
        <f t="shared" si="0"/>
        <v>91</v>
      </c>
      <c r="H254" s="47" t="s">
        <v>823</v>
      </c>
      <c r="I254" s="51"/>
      <c r="J254" s="53">
        <v>1.0640000000000001</v>
      </c>
      <c r="K254" s="53">
        <f t="shared" si="1"/>
        <v>2.9792000000000003E-2</v>
      </c>
      <c r="L254" s="47"/>
      <c r="M254" s="54" t="e">
        <f>VLOOKUP(L254,Packaging!$B$3:$C$21,2,0)</f>
        <v>#N/A</v>
      </c>
      <c r="N254" s="47"/>
      <c r="O254" s="47"/>
      <c r="P254" s="47" t="s">
        <v>55</v>
      </c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18" customHeight="1">
      <c r="A255" s="44" t="s">
        <v>824</v>
      </c>
      <c r="B255" s="47">
        <v>3000004582</v>
      </c>
      <c r="C255" s="46" t="s">
        <v>825</v>
      </c>
      <c r="D255" s="47" t="s">
        <v>569</v>
      </c>
      <c r="E255" s="48">
        <v>5</v>
      </c>
      <c r="F255" s="49"/>
      <c r="G255" s="49">
        <f t="shared" si="0"/>
        <v>91</v>
      </c>
      <c r="H255" s="47" t="s">
        <v>826</v>
      </c>
      <c r="I255" s="51">
        <v>766</v>
      </c>
      <c r="J255" s="52">
        <v>1271.8</v>
      </c>
      <c r="K255" s="53">
        <f t="shared" si="1"/>
        <v>7.125</v>
      </c>
      <c r="L255" s="61" t="s">
        <v>72</v>
      </c>
      <c r="M255" s="54" t="str">
        <f>VLOOKUP(L255,Packaging!$B$3:$C$21,2,0)</f>
        <v>390 X 350 X 280</v>
      </c>
      <c r="N255" s="47"/>
      <c r="O255" s="47"/>
      <c r="P255" s="47" t="s">
        <v>55</v>
      </c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18" customHeight="1">
      <c r="A256" s="44" t="s">
        <v>827</v>
      </c>
      <c r="B256" s="47">
        <v>3000004578</v>
      </c>
      <c r="C256" s="46" t="s">
        <v>828</v>
      </c>
      <c r="D256" s="47" t="s">
        <v>569</v>
      </c>
      <c r="E256" s="48">
        <v>26</v>
      </c>
      <c r="F256" s="49"/>
      <c r="G256" s="49">
        <f t="shared" si="0"/>
        <v>91</v>
      </c>
      <c r="H256" s="47" t="s">
        <v>829</v>
      </c>
      <c r="I256" s="51">
        <v>280</v>
      </c>
      <c r="J256" s="52">
        <v>520.4</v>
      </c>
      <c r="K256" s="53">
        <f t="shared" si="1"/>
        <v>13.8104</v>
      </c>
      <c r="L256" s="61" t="s">
        <v>54</v>
      </c>
      <c r="M256" s="54" t="str">
        <f>VLOOKUP(L256,Packaging!$B$3:$C$21,2,0)</f>
        <v>290 X 200 X 140</v>
      </c>
      <c r="N256" s="47"/>
      <c r="O256" s="47"/>
      <c r="P256" s="47" t="s">
        <v>55</v>
      </c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18" customHeight="1">
      <c r="A257" s="44" t="s">
        <v>830</v>
      </c>
      <c r="B257" s="47">
        <v>3000004579</v>
      </c>
      <c r="C257" s="46" t="s">
        <v>831</v>
      </c>
      <c r="D257" s="47" t="s">
        <v>569</v>
      </c>
      <c r="E257" s="48">
        <v>70</v>
      </c>
      <c r="F257" s="49"/>
      <c r="G257" s="49">
        <f t="shared" si="0"/>
        <v>91</v>
      </c>
      <c r="H257" s="47" t="s">
        <v>832</v>
      </c>
      <c r="I257" s="51">
        <v>378</v>
      </c>
      <c r="J257" s="52">
        <v>210.4</v>
      </c>
      <c r="K257" s="53">
        <f t="shared" si="1"/>
        <v>15.106</v>
      </c>
      <c r="L257" s="61" t="s">
        <v>91</v>
      </c>
      <c r="M257" s="54" t="str">
        <f>VLOOKUP(L257,Packaging!$B$3:$C$21,2,0)</f>
        <v>400 X 240 X 130</v>
      </c>
      <c r="N257" s="47"/>
      <c r="O257" s="47">
        <v>5</v>
      </c>
      <c r="P257" s="47" t="s">
        <v>55</v>
      </c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18" customHeight="1">
      <c r="A258" s="44" t="s">
        <v>833</v>
      </c>
      <c r="B258" s="47">
        <v>3000004587</v>
      </c>
      <c r="C258" s="46" t="s">
        <v>834</v>
      </c>
      <c r="D258" s="47" t="s">
        <v>569</v>
      </c>
      <c r="E258" s="48">
        <v>12</v>
      </c>
      <c r="F258" s="49"/>
      <c r="G258" s="49">
        <f t="shared" si="0"/>
        <v>91</v>
      </c>
      <c r="H258" s="47" t="s">
        <v>835</v>
      </c>
      <c r="I258" s="51">
        <v>378</v>
      </c>
      <c r="J258" s="52">
        <v>164.6</v>
      </c>
      <c r="K258" s="53">
        <f t="shared" si="1"/>
        <v>2.3531999999999997</v>
      </c>
      <c r="L258" s="61" t="s">
        <v>91</v>
      </c>
      <c r="M258" s="54" t="str">
        <f>VLOOKUP(L258,Packaging!$B$3:$C$21,2,0)</f>
        <v>400 X 240 X 130</v>
      </c>
      <c r="N258" s="47"/>
      <c r="O258" s="47"/>
      <c r="P258" s="47" t="s">
        <v>55</v>
      </c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18" customHeight="1">
      <c r="A259" s="44" t="s">
        <v>836</v>
      </c>
      <c r="B259" s="47">
        <v>3000005012</v>
      </c>
      <c r="C259" s="46" t="s">
        <v>825</v>
      </c>
      <c r="D259" s="47" t="s">
        <v>569</v>
      </c>
      <c r="E259" s="48">
        <v>5</v>
      </c>
      <c r="F259" s="49"/>
      <c r="G259" s="49">
        <f t="shared" si="0"/>
        <v>91</v>
      </c>
      <c r="H259" s="47" t="s">
        <v>837</v>
      </c>
      <c r="I259" s="51">
        <v>766</v>
      </c>
      <c r="J259" s="69">
        <v>1.5549999999999999</v>
      </c>
      <c r="K259" s="53">
        <f t="shared" si="1"/>
        <v>0.77377499999999999</v>
      </c>
      <c r="L259" s="61" t="s">
        <v>72</v>
      </c>
      <c r="M259" s="54" t="str">
        <f>VLOOKUP(L259,Packaging!$B$3:$C$21,2,0)</f>
        <v>390 X 350 X 280</v>
      </c>
      <c r="N259" s="47"/>
      <c r="O259" s="47"/>
      <c r="P259" s="47" t="s">
        <v>55</v>
      </c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18" customHeight="1">
      <c r="A260" s="44" t="s">
        <v>838</v>
      </c>
      <c r="B260" s="47">
        <v>3000004754</v>
      </c>
      <c r="C260" s="46" t="s">
        <v>839</v>
      </c>
      <c r="D260" s="47" t="s">
        <v>569</v>
      </c>
      <c r="E260" s="48">
        <v>100</v>
      </c>
      <c r="F260" s="49"/>
      <c r="G260" s="49">
        <f t="shared" si="0"/>
        <v>91</v>
      </c>
      <c r="H260" s="47" t="s">
        <v>840</v>
      </c>
      <c r="I260" s="51">
        <v>244</v>
      </c>
      <c r="J260" s="52">
        <v>11.2</v>
      </c>
      <c r="K260" s="53">
        <f t="shared" si="1"/>
        <v>1.3640000000000001</v>
      </c>
      <c r="L260" s="47" t="s">
        <v>274</v>
      </c>
      <c r="M260" s="54" t="str">
        <f>VLOOKUP(L260,Packaging!$B$3:$C$21,2,0)</f>
        <v>290 X 200 X 100</v>
      </c>
      <c r="N260" s="47"/>
      <c r="O260" s="47">
        <v>10</v>
      </c>
      <c r="P260" s="47" t="s">
        <v>55</v>
      </c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18" customHeight="1">
      <c r="A261" s="44" t="s">
        <v>841</v>
      </c>
      <c r="B261" s="47">
        <v>3000005448</v>
      </c>
      <c r="C261" s="46" t="s">
        <v>842</v>
      </c>
      <c r="D261" s="47" t="s">
        <v>569</v>
      </c>
      <c r="E261" s="48">
        <v>70</v>
      </c>
      <c r="F261" s="49"/>
      <c r="G261" s="49">
        <f t="shared" si="0"/>
        <v>91</v>
      </c>
      <c r="H261" s="47" t="s">
        <v>843</v>
      </c>
      <c r="I261" s="51">
        <v>28</v>
      </c>
      <c r="J261" s="52">
        <v>65.2</v>
      </c>
      <c r="K261" s="53">
        <f t="shared" si="1"/>
        <v>4.5919999999999996</v>
      </c>
      <c r="L261" s="61" t="s">
        <v>161</v>
      </c>
      <c r="M261" s="54" t="str">
        <f>VLOOKUP(L261,Packaging!$B$3:$C$21,2,0)</f>
        <v>360 X 270 X 128</v>
      </c>
      <c r="N261" s="47"/>
      <c r="O261" s="47"/>
      <c r="P261" s="47" t="s">
        <v>55</v>
      </c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18" customHeight="1">
      <c r="A262" s="44" t="s">
        <v>844</v>
      </c>
      <c r="B262" s="47">
        <v>3000005728</v>
      </c>
      <c r="C262" s="46" t="s">
        <v>845</v>
      </c>
      <c r="D262" s="47" t="s">
        <v>569</v>
      </c>
      <c r="E262" s="48">
        <v>440</v>
      </c>
      <c r="F262" s="49"/>
      <c r="G262" s="49">
        <f t="shared" si="0"/>
        <v>91</v>
      </c>
      <c r="H262" s="47" t="s">
        <v>846</v>
      </c>
      <c r="I262" s="51">
        <v>280</v>
      </c>
      <c r="J262" s="52">
        <v>26.4</v>
      </c>
      <c r="K262" s="53">
        <f t="shared" si="1"/>
        <v>11.896000000000001</v>
      </c>
      <c r="L262" s="47" t="s">
        <v>54</v>
      </c>
      <c r="M262" s="54" t="str">
        <f>VLOOKUP(L262,Packaging!$B$3:$C$21,2,0)</f>
        <v>290 X 200 X 140</v>
      </c>
      <c r="N262" s="47"/>
      <c r="O262" s="47">
        <v>44</v>
      </c>
      <c r="P262" s="47" t="s">
        <v>55</v>
      </c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18" customHeight="1">
      <c r="A263" s="44" t="s">
        <v>847</v>
      </c>
      <c r="B263" s="47">
        <v>3000005729</v>
      </c>
      <c r="C263" s="46" t="s">
        <v>613</v>
      </c>
      <c r="D263" s="47" t="s">
        <v>569</v>
      </c>
      <c r="E263" s="48">
        <v>450</v>
      </c>
      <c r="F263" s="49"/>
      <c r="G263" s="49">
        <f t="shared" si="0"/>
        <v>91</v>
      </c>
      <c r="H263" s="47" t="s">
        <v>848</v>
      </c>
      <c r="I263" s="51">
        <v>280</v>
      </c>
      <c r="J263" s="52">
        <v>24</v>
      </c>
      <c r="K263" s="53">
        <f t="shared" si="1"/>
        <v>11.08</v>
      </c>
      <c r="L263" s="47" t="s">
        <v>54</v>
      </c>
      <c r="M263" s="54" t="str">
        <f>VLOOKUP(L263,Packaging!$B$3:$C$21,2,0)</f>
        <v>290 X 200 X 140</v>
      </c>
      <c r="N263" s="47"/>
      <c r="O263" s="47">
        <v>75</v>
      </c>
      <c r="P263" s="47" t="s">
        <v>55</v>
      </c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18" customHeight="1">
      <c r="A264" s="44" t="s">
        <v>849</v>
      </c>
      <c r="B264" s="47">
        <v>3000005730</v>
      </c>
      <c r="C264" s="46" t="s">
        <v>850</v>
      </c>
      <c r="D264" s="47" t="s">
        <v>569</v>
      </c>
      <c r="E264" s="48">
        <v>250</v>
      </c>
      <c r="F264" s="49"/>
      <c r="G264" s="49">
        <f t="shared" si="0"/>
        <v>91</v>
      </c>
      <c r="H264" s="47" t="s">
        <v>851</v>
      </c>
      <c r="I264" s="51">
        <v>280</v>
      </c>
      <c r="J264" s="52">
        <v>52.2</v>
      </c>
      <c r="K264" s="53">
        <f t="shared" si="1"/>
        <v>13.33</v>
      </c>
      <c r="L264" s="47" t="s">
        <v>54</v>
      </c>
      <c r="M264" s="54" t="str">
        <f>VLOOKUP(L264,Packaging!$B$3:$C$21,2,0)</f>
        <v>290 X 200 X 140</v>
      </c>
      <c r="N264" s="47"/>
      <c r="O264" s="47">
        <v>50</v>
      </c>
      <c r="P264" s="47" t="s">
        <v>55</v>
      </c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18" customHeight="1">
      <c r="A265" s="44" t="s">
        <v>852</v>
      </c>
      <c r="B265" s="47" t="s">
        <v>853</v>
      </c>
      <c r="C265" s="46" t="s">
        <v>854</v>
      </c>
      <c r="D265" s="47" t="s">
        <v>569</v>
      </c>
      <c r="E265" s="48">
        <v>30</v>
      </c>
      <c r="F265" s="49"/>
      <c r="G265" s="49">
        <f t="shared" si="0"/>
        <v>91</v>
      </c>
      <c r="H265" s="47" t="s">
        <v>855</v>
      </c>
      <c r="I265" s="51">
        <v>580</v>
      </c>
      <c r="J265" s="52">
        <v>542.6</v>
      </c>
      <c r="K265" s="53">
        <f t="shared" si="1"/>
        <v>16.858000000000001</v>
      </c>
      <c r="L265" s="61" t="s">
        <v>101</v>
      </c>
      <c r="M265" s="54" t="str">
        <f>VLOOKUP(L265,Packaging!$B$3:$C$21,2,0)</f>
        <v>1380 X 150 X 80</v>
      </c>
      <c r="N265" s="47"/>
      <c r="O265" s="47"/>
      <c r="P265" s="47" t="s">
        <v>55</v>
      </c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18" customHeight="1">
      <c r="A266" s="44" t="s">
        <v>856</v>
      </c>
      <c r="B266" s="70">
        <v>3000001306</v>
      </c>
      <c r="C266" s="71" t="s">
        <v>773</v>
      </c>
      <c r="D266" s="70" t="s">
        <v>569</v>
      </c>
      <c r="E266" s="72">
        <v>60</v>
      </c>
      <c r="F266" s="73"/>
      <c r="G266" s="73">
        <f t="shared" si="0"/>
        <v>91</v>
      </c>
      <c r="H266" s="70">
        <v>3000001306</v>
      </c>
      <c r="I266" s="74">
        <v>280</v>
      </c>
      <c r="J266" s="75"/>
      <c r="K266" s="76">
        <f t="shared" si="1"/>
        <v>0.28000000000000003</v>
      </c>
      <c r="L266" s="70" t="s">
        <v>54</v>
      </c>
      <c r="M266" s="77" t="str">
        <f>VLOOKUP(L266,Packaging!$B$3:$C$21,2,0)</f>
        <v>290 X 200 X 140</v>
      </c>
      <c r="N266" s="70" t="s">
        <v>857</v>
      </c>
      <c r="O266" s="47"/>
      <c r="P266" s="47" t="s">
        <v>55</v>
      </c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18" customHeight="1">
      <c r="A267" s="44" t="s">
        <v>858</v>
      </c>
      <c r="B267" s="47" t="s">
        <v>859</v>
      </c>
      <c r="C267" s="46" t="s">
        <v>860</v>
      </c>
      <c r="D267" s="47" t="s">
        <v>569</v>
      </c>
      <c r="E267" s="48">
        <v>40</v>
      </c>
      <c r="F267" s="49"/>
      <c r="G267" s="49">
        <f t="shared" si="0"/>
        <v>91</v>
      </c>
      <c r="H267" s="47" t="s">
        <v>861</v>
      </c>
      <c r="I267" s="51">
        <v>278</v>
      </c>
      <c r="J267" s="52">
        <v>153.5</v>
      </c>
      <c r="K267" s="53">
        <f t="shared" si="1"/>
        <v>6.4180000000000001</v>
      </c>
      <c r="L267" s="61" t="s">
        <v>161</v>
      </c>
      <c r="M267" s="54" t="str">
        <f>VLOOKUP(L267,Packaging!$B$3:$C$21,2,0)</f>
        <v>360 X 270 X 128</v>
      </c>
      <c r="N267" s="47"/>
      <c r="O267" s="47">
        <v>2</v>
      </c>
      <c r="P267" s="47" t="s">
        <v>55</v>
      </c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18" customHeight="1">
      <c r="A268" s="44" t="s">
        <v>862</v>
      </c>
      <c r="B268" s="47">
        <v>949825</v>
      </c>
      <c r="C268" s="46" t="s">
        <v>863</v>
      </c>
      <c r="D268" s="47" t="s">
        <v>569</v>
      </c>
      <c r="E268" s="48">
        <v>600</v>
      </c>
      <c r="F268" s="49"/>
      <c r="G268" s="49">
        <f t="shared" si="0"/>
        <v>91</v>
      </c>
      <c r="H268" s="47" t="s">
        <v>864</v>
      </c>
      <c r="I268" s="51">
        <v>280</v>
      </c>
      <c r="J268" s="52">
        <v>20</v>
      </c>
      <c r="K268" s="53">
        <f t="shared" si="1"/>
        <v>12.28</v>
      </c>
      <c r="L268" s="47" t="s">
        <v>54</v>
      </c>
      <c r="M268" s="54" t="str">
        <f>VLOOKUP(L268,Packaging!$B$3:$C$21,2,0)</f>
        <v>290 X 200 X 140</v>
      </c>
      <c r="N268" s="47"/>
      <c r="O268" s="47">
        <v>100</v>
      </c>
      <c r="P268" s="47" t="s">
        <v>55</v>
      </c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18" customHeight="1">
      <c r="A269" s="44" t="s">
        <v>865</v>
      </c>
      <c r="B269" s="47" t="s">
        <v>866</v>
      </c>
      <c r="C269" s="46" t="s">
        <v>867</v>
      </c>
      <c r="D269" s="47" t="s">
        <v>569</v>
      </c>
      <c r="E269" s="48">
        <v>120</v>
      </c>
      <c r="F269" s="49"/>
      <c r="G269" s="49">
        <f t="shared" si="0"/>
        <v>91</v>
      </c>
      <c r="H269" s="47" t="s">
        <v>868</v>
      </c>
      <c r="I269" s="51">
        <v>378</v>
      </c>
      <c r="J269" s="52">
        <v>153.4</v>
      </c>
      <c r="K269" s="53">
        <f t="shared" si="1"/>
        <v>18.786000000000001</v>
      </c>
      <c r="L269" s="61" t="s">
        <v>91</v>
      </c>
      <c r="M269" s="54" t="str">
        <f>VLOOKUP(L269,Packaging!$B$3:$C$21,2,0)</f>
        <v>400 X 240 X 130</v>
      </c>
      <c r="N269" s="47"/>
      <c r="O269" s="47">
        <v>5</v>
      </c>
      <c r="P269" s="47" t="s">
        <v>55</v>
      </c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18" customHeight="1">
      <c r="A270" s="44" t="s">
        <v>869</v>
      </c>
      <c r="B270" s="47" t="s">
        <v>870</v>
      </c>
      <c r="C270" s="46" t="s">
        <v>871</v>
      </c>
      <c r="D270" s="47" t="s">
        <v>569</v>
      </c>
      <c r="E270" s="48">
        <v>120</v>
      </c>
      <c r="F270" s="49"/>
      <c r="G270" s="49">
        <f t="shared" si="0"/>
        <v>91</v>
      </c>
      <c r="H270" s="47" t="s">
        <v>868</v>
      </c>
      <c r="I270" s="51">
        <v>378</v>
      </c>
      <c r="J270" s="52">
        <v>153.4</v>
      </c>
      <c r="K270" s="53">
        <f t="shared" si="1"/>
        <v>18.786000000000001</v>
      </c>
      <c r="L270" s="61" t="s">
        <v>91</v>
      </c>
      <c r="M270" s="54" t="str">
        <f>VLOOKUP(L270,Packaging!$B$3:$C$21,2,0)</f>
        <v>400 X 240 X 130</v>
      </c>
      <c r="N270" s="47"/>
      <c r="O270" s="47">
        <v>5</v>
      </c>
      <c r="P270" s="47" t="s">
        <v>55</v>
      </c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18" customHeight="1">
      <c r="A271" s="44" t="s">
        <v>872</v>
      </c>
      <c r="B271" s="47" t="s">
        <v>873</v>
      </c>
      <c r="C271" s="46" t="s">
        <v>874</v>
      </c>
      <c r="D271" s="47" t="s">
        <v>569</v>
      </c>
      <c r="E271" s="48"/>
      <c r="F271" s="49"/>
      <c r="G271" s="49">
        <f t="shared" si="0"/>
        <v>91</v>
      </c>
      <c r="H271" s="47" t="s">
        <v>875</v>
      </c>
      <c r="I271" s="51"/>
      <c r="J271" s="52">
        <v>20</v>
      </c>
      <c r="K271" s="53">
        <f t="shared" si="1"/>
        <v>0</v>
      </c>
      <c r="L271" s="47"/>
      <c r="M271" s="54" t="e">
        <f>VLOOKUP(L271,Packaging!$B$3:$C$21,2,0)</f>
        <v>#N/A</v>
      </c>
      <c r="N271" s="47"/>
      <c r="O271" s="47"/>
      <c r="P271" s="47" t="s">
        <v>55</v>
      </c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18" customHeight="1">
      <c r="A272" s="44" t="s">
        <v>876</v>
      </c>
      <c r="B272" s="47">
        <v>953529</v>
      </c>
      <c r="C272" s="46" t="s">
        <v>877</v>
      </c>
      <c r="D272" s="47" t="s">
        <v>878</v>
      </c>
      <c r="E272" s="48">
        <v>200</v>
      </c>
      <c r="F272" s="49"/>
      <c r="G272" s="49">
        <f t="shared" si="0"/>
        <v>91</v>
      </c>
      <c r="H272" s="47" t="s">
        <v>879</v>
      </c>
      <c r="I272" s="51">
        <v>280</v>
      </c>
      <c r="J272" s="52">
        <v>74.7</v>
      </c>
      <c r="K272" s="53">
        <f t="shared" si="1"/>
        <v>15.22</v>
      </c>
      <c r="L272" s="61" t="s">
        <v>54</v>
      </c>
      <c r="M272" s="54" t="str">
        <f>VLOOKUP(L272,Packaging!$B$3:$C$21,2,0)</f>
        <v>290 X 200 X 140</v>
      </c>
      <c r="N272" s="47"/>
      <c r="O272" s="47">
        <v>5</v>
      </c>
      <c r="P272" s="47" t="s">
        <v>55</v>
      </c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18" customHeight="1">
      <c r="A273" s="44" t="s">
        <v>880</v>
      </c>
      <c r="B273" s="47">
        <v>953531</v>
      </c>
      <c r="C273" s="46" t="s">
        <v>881</v>
      </c>
      <c r="D273" s="47" t="s">
        <v>569</v>
      </c>
      <c r="E273" s="48"/>
      <c r="F273" s="49"/>
      <c r="G273" s="49">
        <f t="shared" si="0"/>
        <v>91</v>
      </c>
      <c r="H273" s="47" t="s">
        <v>882</v>
      </c>
      <c r="I273" s="51"/>
      <c r="J273" s="52">
        <v>212.4</v>
      </c>
      <c r="K273" s="53">
        <f t="shared" si="1"/>
        <v>0</v>
      </c>
      <c r="L273" s="47"/>
      <c r="M273" s="54" t="e">
        <f>VLOOKUP(L273,Packaging!$B$3:$C$21,2,0)</f>
        <v>#N/A</v>
      </c>
      <c r="N273" s="47"/>
      <c r="O273" s="47"/>
      <c r="P273" s="47" t="s">
        <v>55</v>
      </c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18" customHeight="1">
      <c r="A274" s="44" t="s">
        <v>883</v>
      </c>
      <c r="B274" s="47" t="s">
        <v>884</v>
      </c>
      <c r="C274" s="46" t="s">
        <v>885</v>
      </c>
      <c r="D274" s="47" t="s">
        <v>886</v>
      </c>
      <c r="E274" s="48">
        <v>16</v>
      </c>
      <c r="F274" s="49"/>
      <c r="G274" s="49">
        <f t="shared" si="0"/>
        <v>91</v>
      </c>
      <c r="H274" s="78" t="s">
        <v>53</v>
      </c>
      <c r="I274" s="51">
        <v>580</v>
      </c>
      <c r="J274" s="52">
        <v>1046.2</v>
      </c>
      <c r="K274" s="53">
        <f t="shared" si="1"/>
        <v>17.319200000000002</v>
      </c>
      <c r="L274" s="61" t="s">
        <v>101</v>
      </c>
      <c r="M274" s="50" t="s">
        <v>887</v>
      </c>
      <c r="N274" s="47"/>
      <c r="O274" s="47"/>
      <c r="P274" s="47" t="s">
        <v>55</v>
      </c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18" customHeight="1">
      <c r="A275" s="44" t="s">
        <v>888</v>
      </c>
      <c r="B275" s="47" t="s">
        <v>889</v>
      </c>
      <c r="C275" s="46" t="s">
        <v>890</v>
      </c>
      <c r="D275" s="47" t="s">
        <v>886</v>
      </c>
      <c r="E275" s="48">
        <v>10</v>
      </c>
      <c r="F275" s="49"/>
      <c r="G275" s="49">
        <f t="shared" si="0"/>
        <v>91</v>
      </c>
      <c r="H275" s="78" t="s">
        <v>53</v>
      </c>
      <c r="I275" s="51">
        <v>134</v>
      </c>
      <c r="J275" s="52">
        <v>828.2</v>
      </c>
      <c r="K275" s="53">
        <f t="shared" si="1"/>
        <v>8.4160000000000004</v>
      </c>
      <c r="L275" s="61" t="s">
        <v>891</v>
      </c>
      <c r="M275" s="54" t="str">
        <f>VLOOKUP(L275,Packaging!$B$3:$C$21,2,0)</f>
        <v>280 X 90 X 150</v>
      </c>
      <c r="N275" s="47"/>
      <c r="O275" s="47">
        <v>10</v>
      </c>
      <c r="P275" s="47" t="s">
        <v>55</v>
      </c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18" customHeight="1">
      <c r="A276" s="44" t="s">
        <v>892</v>
      </c>
      <c r="B276" s="47" t="s">
        <v>893</v>
      </c>
      <c r="C276" s="46" t="s">
        <v>894</v>
      </c>
      <c r="D276" s="47" t="s">
        <v>886</v>
      </c>
      <c r="E276" s="48">
        <v>10</v>
      </c>
      <c r="F276" s="49"/>
      <c r="G276" s="49">
        <f t="shared" si="0"/>
        <v>91</v>
      </c>
      <c r="H276" s="78" t="s">
        <v>53</v>
      </c>
      <c r="I276" s="51">
        <v>134</v>
      </c>
      <c r="J276" s="52">
        <v>824.6</v>
      </c>
      <c r="K276" s="53">
        <f t="shared" si="1"/>
        <v>8.3800000000000008</v>
      </c>
      <c r="L276" s="61" t="s">
        <v>891</v>
      </c>
      <c r="M276" s="54" t="str">
        <f>VLOOKUP(L276,Packaging!$B$3:$C$21,2,0)</f>
        <v>280 X 90 X 150</v>
      </c>
      <c r="N276" s="47"/>
      <c r="O276" s="47">
        <v>10</v>
      </c>
      <c r="P276" s="47" t="s">
        <v>55</v>
      </c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18" customHeight="1">
      <c r="A277" s="44" t="s">
        <v>895</v>
      </c>
      <c r="B277" s="47" t="s">
        <v>896</v>
      </c>
      <c r="C277" s="46" t="s">
        <v>897</v>
      </c>
      <c r="D277" s="47" t="s">
        <v>886</v>
      </c>
      <c r="E277" s="48">
        <v>10</v>
      </c>
      <c r="F277" s="49"/>
      <c r="G277" s="49">
        <f t="shared" si="0"/>
        <v>91</v>
      </c>
      <c r="H277" s="78" t="s">
        <v>53</v>
      </c>
      <c r="I277" s="51"/>
      <c r="J277" s="52">
        <v>1287.8</v>
      </c>
      <c r="K277" s="53">
        <f t="shared" si="1"/>
        <v>12.878</v>
      </c>
      <c r="L277" s="47"/>
      <c r="M277" s="54" t="e">
        <f>VLOOKUP(L277,Packaging!$B$3:$C$21,2,0)</f>
        <v>#N/A</v>
      </c>
      <c r="N277" s="47"/>
      <c r="O277" s="47"/>
      <c r="P277" s="47" t="s">
        <v>55</v>
      </c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18" customHeight="1">
      <c r="A278" s="44" t="s">
        <v>898</v>
      </c>
      <c r="B278" s="47" t="s">
        <v>899</v>
      </c>
      <c r="C278" s="46" t="s">
        <v>900</v>
      </c>
      <c r="D278" s="47" t="s">
        <v>886</v>
      </c>
      <c r="E278" s="48">
        <v>100</v>
      </c>
      <c r="F278" s="49"/>
      <c r="G278" s="49">
        <f t="shared" si="0"/>
        <v>91</v>
      </c>
      <c r="H278" s="78" t="s">
        <v>53</v>
      </c>
      <c r="I278" s="51">
        <v>244</v>
      </c>
      <c r="J278" s="52">
        <v>112</v>
      </c>
      <c r="K278" s="53">
        <f t="shared" si="1"/>
        <v>11.444000000000001</v>
      </c>
      <c r="L278" s="61" t="s">
        <v>274</v>
      </c>
      <c r="M278" s="54" t="str">
        <f>VLOOKUP(L278,Packaging!$B$3:$C$21,2,0)</f>
        <v>290 X 200 X 100</v>
      </c>
      <c r="N278" s="47"/>
      <c r="O278" s="47">
        <v>10</v>
      </c>
      <c r="P278" s="47" t="s">
        <v>55</v>
      </c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18" customHeight="1">
      <c r="A279" s="44" t="s">
        <v>901</v>
      </c>
      <c r="B279" s="47" t="s">
        <v>902</v>
      </c>
      <c r="C279" s="46" t="s">
        <v>903</v>
      </c>
      <c r="D279" s="47" t="s">
        <v>886</v>
      </c>
      <c r="E279" s="48">
        <v>100</v>
      </c>
      <c r="F279" s="49"/>
      <c r="G279" s="49">
        <f t="shared" si="0"/>
        <v>91</v>
      </c>
      <c r="H279" s="78" t="s">
        <v>53</v>
      </c>
      <c r="I279" s="51">
        <v>244</v>
      </c>
      <c r="J279" s="52">
        <v>112.8</v>
      </c>
      <c r="K279" s="53">
        <f t="shared" si="1"/>
        <v>11.523999999999999</v>
      </c>
      <c r="L279" s="61" t="s">
        <v>274</v>
      </c>
      <c r="M279" s="54" t="str">
        <f>VLOOKUP(L279,Packaging!$B$3:$C$21,2,0)</f>
        <v>290 X 200 X 100</v>
      </c>
      <c r="N279" s="47"/>
      <c r="O279" s="47">
        <v>10</v>
      </c>
      <c r="P279" s="47" t="s">
        <v>55</v>
      </c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18" customHeight="1">
      <c r="A280" s="44" t="s">
        <v>904</v>
      </c>
      <c r="B280" s="47" t="s">
        <v>905</v>
      </c>
      <c r="C280" s="46" t="s">
        <v>906</v>
      </c>
      <c r="D280" s="47" t="s">
        <v>886</v>
      </c>
      <c r="E280" s="48">
        <v>100</v>
      </c>
      <c r="F280" s="49"/>
      <c r="G280" s="49">
        <f t="shared" si="0"/>
        <v>91</v>
      </c>
      <c r="H280" s="78" t="s">
        <v>53</v>
      </c>
      <c r="I280" s="51">
        <v>244</v>
      </c>
      <c r="J280" s="52">
        <v>114.2</v>
      </c>
      <c r="K280" s="53">
        <f t="shared" si="1"/>
        <v>11.664</v>
      </c>
      <c r="L280" s="61" t="s">
        <v>274</v>
      </c>
      <c r="M280" s="54" t="str">
        <f>VLOOKUP(L280,Packaging!$B$3:$C$21,2,0)</f>
        <v>290 X 200 X 100</v>
      </c>
      <c r="N280" s="47"/>
      <c r="O280" s="47">
        <v>5</v>
      </c>
      <c r="P280" s="47" t="s">
        <v>55</v>
      </c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18" customHeight="1">
      <c r="A281" s="44" t="s">
        <v>907</v>
      </c>
      <c r="B281" s="47" t="s">
        <v>908</v>
      </c>
      <c r="C281" s="46" t="s">
        <v>909</v>
      </c>
      <c r="D281" s="47" t="s">
        <v>886</v>
      </c>
      <c r="E281" s="48">
        <v>100</v>
      </c>
      <c r="F281" s="49"/>
      <c r="G281" s="49">
        <f t="shared" si="0"/>
        <v>91</v>
      </c>
      <c r="H281" s="78" t="s">
        <v>53</v>
      </c>
      <c r="I281" s="51">
        <v>244</v>
      </c>
      <c r="J281" s="52">
        <v>114.2</v>
      </c>
      <c r="K281" s="53">
        <f t="shared" si="1"/>
        <v>11.664</v>
      </c>
      <c r="L281" s="61" t="s">
        <v>274</v>
      </c>
      <c r="M281" s="54" t="str">
        <f>VLOOKUP(L281,Packaging!$B$3:$C$21,2,0)</f>
        <v>290 X 200 X 100</v>
      </c>
      <c r="N281" s="47"/>
      <c r="O281" s="47">
        <v>5</v>
      </c>
      <c r="P281" s="47" t="s">
        <v>55</v>
      </c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18" customHeight="1">
      <c r="A282" s="44" t="s">
        <v>910</v>
      </c>
      <c r="B282" s="47" t="s">
        <v>911</v>
      </c>
      <c r="C282" s="46" t="s">
        <v>912</v>
      </c>
      <c r="D282" s="47" t="s">
        <v>886</v>
      </c>
      <c r="E282" s="48">
        <v>14</v>
      </c>
      <c r="F282" s="49"/>
      <c r="G282" s="49">
        <f t="shared" si="0"/>
        <v>91</v>
      </c>
      <c r="H282" s="78" t="s">
        <v>53</v>
      </c>
      <c r="I282" s="51">
        <v>766</v>
      </c>
      <c r="J282" s="52">
        <v>504</v>
      </c>
      <c r="K282" s="53">
        <f t="shared" si="1"/>
        <v>7.8220000000000001</v>
      </c>
      <c r="L282" s="61" t="s">
        <v>72</v>
      </c>
      <c r="M282" s="54" t="str">
        <f>VLOOKUP(L282,Packaging!$B$3:$C$21,2,0)</f>
        <v>390 X 350 X 280</v>
      </c>
      <c r="N282" s="47"/>
      <c r="O282" s="47">
        <v>14</v>
      </c>
      <c r="P282" s="47" t="s">
        <v>55</v>
      </c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18" customHeight="1">
      <c r="A283" s="44" t="s">
        <v>913</v>
      </c>
      <c r="B283" s="47" t="s">
        <v>914</v>
      </c>
      <c r="C283" s="46" t="s">
        <v>915</v>
      </c>
      <c r="D283" s="47" t="s">
        <v>886</v>
      </c>
      <c r="E283" s="48">
        <v>200</v>
      </c>
      <c r="F283" s="49"/>
      <c r="G283" s="49">
        <f t="shared" si="0"/>
        <v>91</v>
      </c>
      <c r="H283" s="78" t="s">
        <v>53</v>
      </c>
      <c r="I283" s="51">
        <v>280</v>
      </c>
      <c r="J283" s="52">
        <v>32</v>
      </c>
      <c r="K283" s="53">
        <f t="shared" si="1"/>
        <v>6.68</v>
      </c>
      <c r="L283" s="61" t="s">
        <v>54</v>
      </c>
      <c r="M283" s="54" t="str">
        <f>VLOOKUP(L283,Packaging!$B$3:$C$21,2,0)</f>
        <v>290 X 200 X 140</v>
      </c>
      <c r="N283" s="47"/>
      <c r="O283" s="47">
        <v>200</v>
      </c>
      <c r="P283" s="47" t="s">
        <v>55</v>
      </c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18" customHeight="1">
      <c r="A284" s="44" t="s">
        <v>916</v>
      </c>
      <c r="B284" s="47" t="s">
        <v>917</v>
      </c>
      <c r="C284" s="46" t="s">
        <v>918</v>
      </c>
      <c r="D284" s="47" t="s">
        <v>886</v>
      </c>
      <c r="E284" s="48">
        <v>150</v>
      </c>
      <c r="F284" s="49"/>
      <c r="G284" s="49">
        <f t="shared" si="0"/>
        <v>91</v>
      </c>
      <c r="H284" s="78" t="s">
        <v>53</v>
      </c>
      <c r="I284" s="51">
        <v>280</v>
      </c>
      <c r="J284" s="52">
        <v>33</v>
      </c>
      <c r="K284" s="53">
        <f t="shared" si="1"/>
        <v>5.23</v>
      </c>
      <c r="L284" s="61" t="s">
        <v>54</v>
      </c>
      <c r="M284" s="54" t="str">
        <f>VLOOKUP(L284,Packaging!$B$3:$C$21,2,0)</f>
        <v>290 X 200 X 140</v>
      </c>
      <c r="N284" s="47"/>
      <c r="O284" s="47">
        <v>150</v>
      </c>
      <c r="P284" s="47" t="s">
        <v>55</v>
      </c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18" customHeight="1">
      <c r="A285" s="44" t="s">
        <v>919</v>
      </c>
      <c r="B285" s="47" t="s">
        <v>920</v>
      </c>
      <c r="C285" s="46" t="s">
        <v>921</v>
      </c>
      <c r="D285" s="47" t="s">
        <v>886</v>
      </c>
      <c r="E285" s="48">
        <v>150</v>
      </c>
      <c r="F285" s="49"/>
      <c r="G285" s="49">
        <f t="shared" si="0"/>
        <v>91</v>
      </c>
      <c r="H285" s="78" t="s">
        <v>53</v>
      </c>
      <c r="I285" s="51">
        <v>280</v>
      </c>
      <c r="J285" s="52">
        <v>33</v>
      </c>
      <c r="K285" s="53">
        <f t="shared" si="1"/>
        <v>5.23</v>
      </c>
      <c r="L285" s="61" t="s">
        <v>54</v>
      </c>
      <c r="M285" s="54" t="str">
        <f>VLOOKUP(L285,Packaging!$B$3:$C$21,2,0)</f>
        <v>290 X 200 X 140</v>
      </c>
      <c r="N285" s="47"/>
      <c r="O285" s="47">
        <v>150</v>
      </c>
      <c r="P285" s="47" t="s">
        <v>55</v>
      </c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18" customHeight="1">
      <c r="A286" s="44" t="s">
        <v>922</v>
      </c>
      <c r="B286" s="47" t="s">
        <v>923</v>
      </c>
      <c r="C286" s="46" t="s">
        <v>924</v>
      </c>
      <c r="D286" s="47" t="s">
        <v>886</v>
      </c>
      <c r="E286" s="48">
        <v>150</v>
      </c>
      <c r="F286" s="49"/>
      <c r="G286" s="49">
        <f t="shared" si="0"/>
        <v>91</v>
      </c>
      <c r="H286" s="78" t="s">
        <v>53</v>
      </c>
      <c r="I286" s="51">
        <v>280</v>
      </c>
      <c r="J286" s="52">
        <v>31.6</v>
      </c>
      <c r="K286" s="53">
        <f t="shared" si="1"/>
        <v>5.0199999999999996</v>
      </c>
      <c r="L286" s="61" t="s">
        <v>54</v>
      </c>
      <c r="M286" s="54" t="str">
        <f>VLOOKUP(L286,Packaging!$B$3:$C$21,2,0)</f>
        <v>290 X 200 X 140</v>
      </c>
      <c r="N286" s="47"/>
      <c r="O286" s="47">
        <v>150</v>
      </c>
      <c r="P286" s="47" t="s">
        <v>55</v>
      </c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18" customHeight="1">
      <c r="A287" s="44" t="s">
        <v>925</v>
      </c>
      <c r="B287" s="47" t="s">
        <v>926</v>
      </c>
      <c r="C287" s="46" t="s">
        <v>927</v>
      </c>
      <c r="D287" s="47" t="s">
        <v>886</v>
      </c>
      <c r="E287" s="48">
        <v>200</v>
      </c>
      <c r="F287" s="49"/>
      <c r="G287" s="49">
        <f t="shared" si="0"/>
        <v>91</v>
      </c>
      <c r="H287" s="78" t="s">
        <v>53</v>
      </c>
      <c r="I287" s="51">
        <v>280</v>
      </c>
      <c r="J287" s="52">
        <v>31.4</v>
      </c>
      <c r="K287" s="53">
        <f t="shared" si="1"/>
        <v>6.56</v>
      </c>
      <c r="L287" s="61" t="s">
        <v>54</v>
      </c>
      <c r="M287" s="54" t="str">
        <f>VLOOKUP(L287,Packaging!$B$3:$C$21,2,0)</f>
        <v>290 X 200 X 140</v>
      </c>
      <c r="N287" s="47"/>
      <c r="O287" s="47">
        <v>200</v>
      </c>
      <c r="P287" s="47" t="s">
        <v>55</v>
      </c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18" customHeight="1">
      <c r="A288" s="44" t="s">
        <v>928</v>
      </c>
      <c r="B288" s="47" t="s">
        <v>929</v>
      </c>
      <c r="C288" s="46" t="s">
        <v>930</v>
      </c>
      <c r="D288" s="47" t="s">
        <v>886</v>
      </c>
      <c r="E288" s="48">
        <v>12</v>
      </c>
      <c r="F288" s="49"/>
      <c r="G288" s="49">
        <f t="shared" si="0"/>
        <v>91</v>
      </c>
      <c r="H288" s="78" t="s">
        <v>53</v>
      </c>
      <c r="I288" s="51">
        <v>766</v>
      </c>
      <c r="J288" s="52">
        <v>597</v>
      </c>
      <c r="K288" s="53">
        <f t="shared" si="1"/>
        <v>7.93</v>
      </c>
      <c r="L288" s="61" t="s">
        <v>72</v>
      </c>
      <c r="M288" s="54" t="str">
        <f>VLOOKUP(L288,Packaging!$B$3:$C$21,2,0)</f>
        <v>390 X 350 X 280</v>
      </c>
      <c r="N288" s="47"/>
      <c r="O288" s="47">
        <v>12</v>
      </c>
      <c r="P288" s="47" t="s">
        <v>55</v>
      </c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18" customHeight="1">
      <c r="A289" s="44" t="s">
        <v>931</v>
      </c>
      <c r="B289" s="47" t="s">
        <v>932</v>
      </c>
      <c r="C289" s="46" t="s">
        <v>933</v>
      </c>
      <c r="D289" s="47" t="s">
        <v>886</v>
      </c>
      <c r="E289" s="48">
        <v>140</v>
      </c>
      <c r="F289" s="49"/>
      <c r="G289" s="49">
        <f t="shared" si="0"/>
        <v>91</v>
      </c>
      <c r="H289" s="78" t="s">
        <v>53</v>
      </c>
      <c r="I289" s="51">
        <v>280</v>
      </c>
      <c r="J289" s="52">
        <v>123.4</v>
      </c>
      <c r="K289" s="53">
        <f t="shared" si="1"/>
        <v>17.556000000000001</v>
      </c>
      <c r="L289" s="61" t="s">
        <v>54</v>
      </c>
      <c r="M289" s="54" t="str">
        <f>VLOOKUP(L289,Packaging!$B$3:$C$21,2,0)</f>
        <v>290 X 200 X 140</v>
      </c>
      <c r="N289" s="47"/>
      <c r="O289" s="47">
        <v>140</v>
      </c>
      <c r="P289" s="47" t="s">
        <v>55</v>
      </c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18" customHeight="1">
      <c r="A290" s="44" t="s">
        <v>934</v>
      </c>
      <c r="B290" s="47" t="s">
        <v>935</v>
      </c>
      <c r="C290" s="46" t="s">
        <v>936</v>
      </c>
      <c r="D290" s="47" t="s">
        <v>937</v>
      </c>
      <c r="E290" s="48">
        <v>1050</v>
      </c>
      <c r="F290" s="49"/>
      <c r="G290" s="49">
        <f t="shared" si="0"/>
        <v>91</v>
      </c>
      <c r="H290" s="78" t="s">
        <v>53</v>
      </c>
      <c r="I290" s="51">
        <v>280</v>
      </c>
      <c r="J290" s="52">
        <v>16.399999999999999</v>
      </c>
      <c r="K290" s="53">
        <f t="shared" si="1"/>
        <v>17.5</v>
      </c>
      <c r="L290" s="61" t="s">
        <v>54</v>
      </c>
      <c r="M290" s="54" t="str">
        <f>VLOOKUP(L290,Packaging!$B$3:$C$21,2,0)</f>
        <v>290 X 200 X 140</v>
      </c>
      <c r="N290" s="47"/>
      <c r="O290" s="47">
        <v>20</v>
      </c>
      <c r="P290" s="47" t="s">
        <v>55</v>
      </c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18" customHeight="1">
      <c r="A291" s="44" t="s">
        <v>938</v>
      </c>
      <c r="B291" s="47" t="s">
        <v>939</v>
      </c>
      <c r="C291" s="46" t="s">
        <v>940</v>
      </c>
      <c r="D291" s="47" t="s">
        <v>937</v>
      </c>
      <c r="E291" s="48">
        <v>48</v>
      </c>
      <c r="F291" s="49"/>
      <c r="G291" s="49">
        <f t="shared" si="0"/>
        <v>91</v>
      </c>
      <c r="H291" s="78" t="s">
        <v>53</v>
      </c>
      <c r="I291" s="51">
        <v>278</v>
      </c>
      <c r="J291" s="52">
        <v>206</v>
      </c>
      <c r="K291" s="53">
        <f t="shared" si="1"/>
        <v>10.166</v>
      </c>
      <c r="L291" s="61" t="s">
        <v>161</v>
      </c>
      <c r="M291" s="54" t="str">
        <f>VLOOKUP(L291,Packaging!$B$3:$C$21,2,0)</f>
        <v>360 X 270 X 128</v>
      </c>
      <c r="N291" s="47"/>
      <c r="O291" s="47">
        <v>48</v>
      </c>
      <c r="P291" s="47" t="s">
        <v>55</v>
      </c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18" customHeight="1">
      <c r="A292" s="44" t="s">
        <v>941</v>
      </c>
      <c r="B292" s="47" t="s">
        <v>942</v>
      </c>
      <c r="C292" s="46" t="s">
        <v>943</v>
      </c>
      <c r="D292" s="47" t="s">
        <v>944</v>
      </c>
      <c r="E292" s="48">
        <v>900</v>
      </c>
      <c r="F292" s="49"/>
      <c r="G292" s="49">
        <f t="shared" si="0"/>
        <v>91</v>
      </c>
      <c r="H292" s="78" t="s">
        <v>53</v>
      </c>
      <c r="I292" s="51">
        <v>280</v>
      </c>
      <c r="J292" s="52">
        <v>12.6</v>
      </c>
      <c r="K292" s="53">
        <f t="shared" si="1"/>
        <v>11.62</v>
      </c>
      <c r="L292" s="61" t="s">
        <v>54</v>
      </c>
      <c r="M292" s="54" t="str">
        <f>VLOOKUP(L292,Packaging!$B$3:$C$21,2,0)</f>
        <v>290 X 200 X 140</v>
      </c>
      <c r="N292" s="47"/>
      <c r="O292" s="47">
        <v>100</v>
      </c>
      <c r="P292" s="47" t="s">
        <v>55</v>
      </c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18" customHeight="1">
      <c r="A293" s="44" t="s">
        <v>945</v>
      </c>
      <c r="B293" s="47" t="s">
        <v>946</v>
      </c>
      <c r="C293" s="46" t="s">
        <v>947</v>
      </c>
      <c r="D293" s="47" t="s">
        <v>944</v>
      </c>
      <c r="E293" s="48">
        <v>300</v>
      </c>
      <c r="F293" s="49"/>
      <c r="G293" s="49">
        <f t="shared" si="0"/>
        <v>91</v>
      </c>
      <c r="H293" s="78" t="s">
        <v>53</v>
      </c>
      <c r="I293" s="51">
        <v>280</v>
      </c>
      <c r="J293" s="52">
        <v>28</v>
      </c>
      <c r="K293" s="53">
        <f t="shared" si="1"/>
        <v>8.68</v>
      </c>
      <c r="L293" s="61" t="s">
        <v>54</v>
      </c>
      <c r="M293" s="54" t="str">
        <f>VLOOKUP(L293,Packaging!$B$3:$C$21,2,0)</f>
        <v>290 X 200 X 140</v>
      </c>
      <c r="N293" s="47"/>
      <c r="O293" s="47">
        <v>50</v>
      </c>
      <c r="P293" s="47" t="s">
        <v>55</v>
      </c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18" customHeight="1">
      <c r="A294" s="44" t="s">
        <v>948</v>
      </c>
      <c r="B294" s="47" t="s">
        <v>949</v>
      </c>
      <c r="C294" s="46" t="s">
        <v>950</v>
      </c>
      <c r="D294" s="47" t="s">
        <v>944</v>
      </c>
      <c r="E294" s="48">
        <v>350</v>
      </c>
      <c r="F294" s="49"/>
      <c r="G294" s="49">
        <f t="shared" si="0"/>
        <v>91</v>
      </c>
      <c r="H294" s="78" t="s">
        <v>53</v>
      </c>
      <c r="I294" s="51"/>
      <c r="J294" s="52">
        <v>69.599999999999994</v>
      </c>
      <c r="K294" s="53">
        <f t="shared" si="1"/>
        <v>24.359999999999996</v>
      </c>
      <c r="L294" s="47"/>
      <c r="M294" s="54" t="e">
        <f>VLOOKUP(L294,Packaging!$B$3:$C$21,2,0)</f>
        <v>#N/A</v>
      </c>
      <c r="N294" s="47"/>
      <c r="O294" s="47">
        <v>50</v>
      </c>
      <c r="P294" s="47" t="s">
        <v>55</v>
      </c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18" customHeight="1">
      <c r="A295" s="44" t="s">
        <v>951</v>
      </c>
      <c r="B295" s="47" t="s">
        <v>952</v>
      </c>
      <c r="C295" s="46" t="s">
        <v>953</v>
      </c>
      <c r="D295" s="47" t="s">
        <v>944</v>
      </c>
      <c r="E295" s="48">
        <v>350</v>
      </c>
      <c r="F295" s="49"/>
      <c r="G295" s="49">
        <f t="shared" si="0"/>
        <v>91</v>
      </c>
      <c r="H295" s="78" t="s">
        <v>53</v>
      </c>
      <c r="I295" s="51">
        <v>280</v>
      </c>
      <c r="J295" s="52">
        <v>36</v>
      </c>
      <c r="K295" s="53">
        <f t="shared" si="1"/>
        <v>12.88</v>
      </c>
      <c r="L295" s="61" t="s">
        <v>54</v>
      </c>
      <c r="M295" s="54" t="str">
        <f>VLOOKUP(L295,Packaging!$B$3:$C$21,2,0)</f>
        <v>290 X 200 X 140</v>
      </c>
      <c r="N295" s="47"/>
      <c r="O295" s="47">
        <v>50</v>
      </c>
      <c r="P295" s="47" t="s">
        <v>55</v>
      </c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18" customHeight="1">
      <c r="A296" s="44" t="s">
        <v>954</v>
      </c>
      <c r="B296" s="47">
        <v>932945</v>
      </c>
      <c r="C296" s="46" t="s">
        <v>955</v>
      </c>
      <c r="D296" s="47" t="s">
        <v>956</v>
      </c>
      <c r="E296" s="48">
        <v>200</v>
      </c>
      <c r="F296" s="49"/>
      <c r="G296" s="49">
        <f t="shared" si="0"/>
        <v>91</v>
      </c>
      <c r="H296" s="47" t="s">
        <v>957</v>
      </c>
      <c r="I296" s="51">
        <v>278</v>
      </c>
      <c r="J296" s="52">
        <v>64.8</v>
      </c>
      <c r="K296" s="53">
        <f t="shared" si="1"/>
        <v>13.238</v>
      </c>
      <c r="L296" s="61" t="s">
        <v>161</v>
      </c>
      <c r="M296" s="54" t="str">
        <f>VLOOKUP(L296,Packaging!$B$3:$C$21,2,0)</f>
        <v>360 X 270 X 128</v>
      </c>
      <c r="N296" s="47"/>
      <c r="O296" s="47"/>
      <c r="P296" s="47" t="s">
        <v>55</v>
      </c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18" customHeight="1">
      <c r="A297" s="44" t="s">
        <v>958</v>
      </c>
      <c r="B297" s="47">
        <v>933075</v>
      </c>
      <c r="C297" s="68" t="s">
        <v>959</v>
      </c>
      <c r="D297" s="47" t="s">
        <v>956</v>
      </c>
      <c r="E297" s="48">
        <v>450</v>
      </c>
      <c r="F297" s="49"/>
      <c r="G297" s="49">
        <f t="shared" si="0"/>
        <v>91</v>
      </c>
      <c r="H297" s="78" t="s">
        <v>960</v>
      </c>
      <c r="I297" s="51">
        <v>280</v>
      </c>
      <c r="J297" s="52">
        <v>18</v>
      </c>
      <c r="K297" s="53">
        <f t="shared" si="1"/>
        <v>8.3800000000000008</v>
      </c>
      <c r="L297" s="61" t="s">
        <v>54</v>
      </c>
      <c r="M297" s="54" t="str">
        <f>VLOOKUP(L297,Packaging!$B$3:$C$21,2,0)</f>
        <v>290 X 200 X 140</v>
      </c>
      <c r="N297" s="47"/>
      <c r="O297" s="47"/>
      <c r="P297" s="47" t="s">
        <v>55</v>
      </c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18" customHeight="1">
      <c r="A298" s="44" t="s">
        <v>961</v>
      </c>
      <c r="B298" s="47">
        <v>933080</v>
      </c>
      <c r="C298" s="68" t="s">
        <v>962</v>
      </c>
      <c r="D298" s="47" t="s">
        <v>956</v>
      </c>
      <c r="E298" s="48">
        <v>450</v>
      </c>
      <c r="F298" s="49"/>
      <c r="G298" s="49">
        <f t="shared" si="0"/>
        <v>91</v>
      </c>
      <c r="H298" s="78" t="s">
        <v>960</v>
      </c>
      <c r="I298" s="51">
        <v>280</v>
      </c>
      <c r="J298" s="52">
        <v>18</v>
      </c>
      <c r="K298" s="53">
        <f t="shared" si="1"/>
        <v>8.3800000000000008</v>
      </c>
      <c r="L298" s="61" t="s">
        <v>54</v>
      </c>
      <c r="M298" s="54" t="str">
        <f>VLOOKUP(L298,Packaging!$B$3:$C$21,2,0)</f>
        <v>290 X 200 X 140</v>
      </c>
      <c r="N298" s="47"/>
      <c r="O298" s="47"/>
      <c r="P298" s="47" t="s">
        <v>55</v>
      </c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18" customHeight="1">
      <c r="A299" s="44" t="s">
        <v>963</v>
      </c>
      <c r="B299" s="47">
        <v>947584</v>
      </c>
      <c r="C299" s="46" t="s">
        <v>964</v>
      </c>
      <c r="D299" s="47" t="s">
        <v>956</v>
      </c>
      <c r="E299" s="48">
        <v>100</v>
      </c>
      <c r="F299" s="49"/>
      <c r="G299" s="49">
        <f t="shared" si="0"/>
        <v>91</v>
      </c>
      <c r="H299" s="47" t="s">
        <v>965</v>
      </c>
      <c r="I299" s="51"/>
      <c r="J299" s="52">
        <v>160.80000000000001</v>
      </c>
      <c r="K299" s="53">
        <f t="shared" si="1"/>
        <v>16.080000000000002</v>
      </c>
      <c r="L299" s="47"/>
      <c r="M299" s="54" t="e">
        <f>VLOOKUP(L299,Packaging!$B$3:$C$21,2,0)</f>
        <v>#N/A</v>
      </c>
      <c r="N299" s="47"/>
      <c r="O299" s="47"/>
      <c r="P299" s="47" t="s">
        <v>55</v>
      </c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18" customHeight="1">
      <c r="A300" s="44" t="s">
        <v>966</v>
      </c>
      <c r="B300" s="47" t="s">
        <v>967</v>
      </c>
      <c r="C300" s="46" t="s">
        <v>968</v>
      </c>
      <c r="D300" s="47" t="s">
        <v>969</v>
      </c>
      <c r="E300" s="48">
        <v>50000</v>
      </c>
      <c r="F300" s="49"/>
      <c r="G300" s="49">
        <f t="shared" si="0"/>
        <v>91</v>
      </c>
      <c r="H300" s="78" t="s">
        <v>53</v>
      </c>
      <c r="I300" s="51">
        <v>280</v>
      </c>
      <c r="J300" s="53">
        <v>0.22</v>
      </c>
      <c r="K300" s="53">
        <f t="shared" si="1"/>
        <v>11.28</v>
      </c>
      <c r="L300" s="61" t="s">
        <v>54</v>
      </c>
      <c r="M300" s="54" t="str">
        <f>VLOOKUP(L300,Packaging!$B$3:$C$21,2,0)</f>
        <v>290 X 200 X 140</v>
      </c>
      <c r="N300" s="47"/>
      <c r="O300" s="47">
        <v>2000</v>
      </c>
      <c r="P300" s="47" t="s">
        <v>55</v>
      </c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18" customHeight="1">
      <c r="A301" s="44" t="s">
        <v>970</v>
      </c>
      <c r="B301" s="47" t="s">
        <v>971</v>
      </c>
      <c r="C301" s="46" t="s">
        <v>972</v>
      </c>
      <c r="D301" s="47" t="s">
        <v>969</v>
      </c>
      <c r="E301" s="48">
        <v>50000</v>
      </c>
      <c r="F301" s="49"/>
      <c r="G301" s="49">
        <f t="shared" si="0"/>
        <v>91</v>
      </c>
      <c r="H301" s="78" t="s">
        <v>53</v>
      </c>
      <c r="I301" s="51">
        <v>280</v>
      </c>
      <c r="J301" s="53">
        <v>0.25</v>
      </c>
      <c r="K301" s="53">
        <f t="shared" si="1"/>
        <v>12.78</v>
      </c>
      <c r="L301" s="61" t="s">
        <v>54</v>
      </c>
      <c r="M301" s="54" t="str">
        <f>VLOOKUP(L301,Packaging!$B$3:$C$21,2,0)</f>
        <v>290 X 200 X 140</v>
      </c>
      <c r="N301" s="47"/>
      <c r="O301" s="47">
        <v>2000</v>
      </c>
      <c r="P301" s="47" t="s">
        <v>55</v>
      </c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18" customHeight="1">
      <c r="A302" s="44" t="s">
        <v>973</v>
      </c>
      <c r="B302" s="47" t="s">
        <v>974</v>
      </c>
      <c r="C302" s="46" t="s">
        <v>975</v>
      </c>
      <c r="D302" s="47" t="s">
        <v>969</v>
      </c>
      <c r="E302" s="48">
        <v>50000</v>
      </c>
      <c r="F302" s="49"/>
      <c r="G302" s="49">
        <f t="shared" si="0"/>
        <v>91</v>
      </c>
      <c r="H302" s="78" t="s">
        <v>53</v>
      </c>
      <c r="I302" s="51">
        <v>280</v>
      </c>
      <c r="J302" s="53">
        <v>0.27800000000000002</v>
      </c>
      <c r="K302" s="53">
        <f t="shared" si="1"/>
        <v>14.180000000000001</v>
      </c>
      <c r="L302" s="61" t="s">
        <v>54</v>
      </c>
      <c r="M302" s="54" t="str">
        <f>VLOOKUP(L302,Packaging!$B$3:$C$21,2,0)</f>
        <v>290 X 200 X 140</v>
      </c>
      <c r="N302" s="47"/>
      <c r="O302" s="47">
        <v>2000</v>
      </c>
      <c r="P302" s="47" t="s">
        <v>55</v>
      </c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18" customHeight="1">
      <c r="A303" s="44" t="s">
        <v>976</v>
      </c>
      <c r="B303" s="47">
        <v>814997</v>
      </c>
      <c r="C303" s="46" t="s">
        <v>977</v>
      </c>
      <c r="D303" s="47" t="s">
        <v>978</v>
      </c>
      <c r="E303" s="48">
        <v>1000</v>
      </c>
      <c r="F303" s="49"/>
      <c r="G303" s="49">
        <f t="shared" si="0"/>
        <v>91</v>
      </c>
      <c r="H303" s="47" t="s">
        <v>979</v>
      </c>
      <c r="I303" s="51"/>
      <c r="J303" s="52">
        <v>3.2</v>
      </c>
      <c r="K303" s="53">
        <f t="shared" si="1"/>
        <v>3.2</v>
      </c>
      <c r="L303" s="47"/>
      <c r="M303" s="54" t="e">
        <f>VLOOKUP(L303,Packaging!$B$3:$C$21,2,0)</f>
        <v>#N/A</v>
      </c>
      <c r="N303" s="47"/>
      <c r="O303" s="47"/>
      <c r="P303" s="47" t="s">
        <v>55</v>
      </c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18" customHeight="1">
      <c r="A304" s="44" t="s">
        <v>980</v>
      </c>
      <c r="B304" s="67">
        <v>932975</v>
      </c>
      <c r="C304" s="68" t="s">
        <v>981</v>
      </c>
      <c r="D304" s="47" t="s">
        <v>978</v>
      </c>
      <c r="E304" s="48">
        <v>700</v>
      </c>
      <c r="F304" s="49"/>
      <c r="G304" s="49">
        <f t="shared" si="0"/>
        <v>91</v>
      </c>
      <c r="H304" s="78" t="s">
        <v>982</v>
      </c>
      <c r="I304" s="51">
        <v>280</v>
      </c>
      <c r="J304" s="52">
        <v>12.4</v>
      </c>
      <c r="K304" s="53">
        <f t="shared" si="1"/>
        <v>8.9600000000000009</v>
      </c>
      <c r="L304" s="61" t="s">
        <v>54</v>
      </c>
      <c r="M304" s="54" t="str">
        <f>VLOOKUP(L304,Packaging!$B$3:$C$21,2,0)</f>
        <v>290 X 200 X 140</v>
      </c>
      <c r="N304" s="47"/>
      <c r="O304" s="47">
        <v>100</v>
      </c>
      <c r="P304" s="47" t="s">
        <v>55</v>
      </c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18" customHeight="1">
      <c r="A305" s="44" t="s">
        <v>983</v>
      </c>
      <c r="B305" s="67">
        <v>933075</v>
      </c>
      <c r="C305" s="68" t="s">
        <v>984</v>
      </c>
      <c r="D305" s="47" t="s">
        <v>978</v>
      </c>
      <c r="E305" s="48">
        <v>450</v>
      </c>
      <c r="F305" s="49"/>
      <c r="G305" s="49">
        <f t="shared" si="0"/>
        <v>91</v>
      </c>
      <c r="H305" s="78" t="s">
        <v>960</v>
      </c>
      <c r="I305" s="51">
        <v>280</v>
      </c>
      <c r="J305" s="52">
        <v>18</v>
      </c>
      <c r="K305" s="53">
        <f t="shared" si="1"/>
        <v>8.3800000000000008</v>
      </c>
      <c r="L305" s="61" t="s">
        <v>54</v>
      </c>
      <c r="M305" s="54" t="str">
        <f>VLOOKUP(L305,Packaging!$B$3:$C$21,2,0)</f>
        <v>290 X 200 X 140</v>
      </c>
      <c r="N305" s="47"/>
      <c r="O305" s="47"/>
      <c r="P305" s="47" t="s">
        <v>55</v>
      </c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18" customHeight="1">
      <c r="A306" s="44" t="s">
        <v>985</v>
      </c>
      <c r="B306" s="67">
        <v>933080</v>
      </c>
      <c r="C306" s="68" t="s">
        <v>986</v>
      </c>
      <c r="D306" s="47" t="s">
        <v>978</v>
      </c>
      <c r="E306" s="48">
        <v>450</v>
      </c>
      <c r="F306" s="49"/>
      <c r="G306" s="49">
        <f t="shared" si="0"/>
        <v>91</v>
      </c>
      <c r="H306" s="78" t="s">
        <v>960</v>
      </c>
      <c r="I306" s="51">
        <v>280</v>
      </c>
      <c r="J306" s="52">
        <v>18</v>
      </c>
      <c r="K306" s="53">
        <f t="shared" si="1"/>
        <v>8.3800000000000008</v>
      </c>
      <c r="L306" s="61" t="s">
        <v>54</v>
      </c>
      <c r="M306" s="54" t="str">
        <f>VLOOKUP(L306,Packaging!$B$3:$C$21,2,0)</f>
        <v>290 X 200 X 140</v>
      </c>
      <c r="N306" s="47"/>
      <c r="O306" s="47"/>
      <c r="P306" s="47" t="s">
        <v>55</v>
      </c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18" customHeight="1">
      <c r="A307" s="44" t="s">
        <v>987</v>
      </c>
      <c r="B307" s="47">
        <v>935090</v>
      </c>
      <c r="C307" s="46" t="s">
        <v>988</v>
      </c>
      <c r="D307" s="47" t="s">
        <v>978</v>
      </c>
      <c r="E307" s="48">
        <v>450</v>
      </c>
      <c r="F307" s="49"/>
      <c r="G307" s="49">
        <f t="shared" si="0"/>
        <v>91</v>
      </c>
      <c r="H307" s="47" t="s">
        <v>989</v>
      </c>
      <c r="I307" s="51">
        <v>280</v>
      </c>
      <c r="J307" s="52">
        <v>14.6</v>
      </c>
      <c r="K307" s="53">
        <f t="shared" si="1"/>
        <v>6.85</v>
      </c>
      <c r="L307" s="61" t="s">
        <v>54</v>
      </c>
      <c r="M307" s="54" t="str">
        <f>VLOOKUP(L307,Packaging!$B$3:$C$21,2,0)</f>
        <v>290 X 200 X 140</v>
      </c>
      <c r="N307" s="47"/>
      <c r="O307" s="47">
        <v>50</v>
      </c>
      <c r="P307" s="47" t="s">
        <v>55</v>
      </c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18" customHeight="1">
      <c r="A308" s="44" t="s">
        <v>990</v>
      </c>
      <c r="B308" s="47">
        <v>954407</v>
      </c>
      <c r="C308" s="46" t="s">
        <v>991</v>
      </c>
      <c r="D308" s="47" t="s">
        <v>978</v>
      </c>
      <c r="E308" s="48">
        <v>1000</v>
      </c>
      <c r="F308" s="49"/>
      <c r="G308" s="49">
        <f t="shared" si="0"/>
        <v>91</v>
      </c>
      <c r="H308" s="47" t="s">
        <v>992</v>
      </c>
      <c r="I308" s="51">
        <v>280</v>
      </c>
      <c r="J308" s="52">
        <v>3.2</v>
      </c>
      <c r="K308" s="53">
        <f t="shared" si="1"/>
        <v>3.48</v>
      </c>
      <c r="L308" s="61" t="s">
        <v>54</v>
      </c>
      <c r="M308" s="54" t="str">
        <f>VLOOKUP(L308,Packaging!$B$3:$C$21,2,0)</f>
        <v>290 X 200 X 140</v>
      </c>
      <c r="N308" s="47" t="s">
        <v>993</v>
      </c>
      <c r="O308" s="47">
        <v>250</v>
      </c>
      <c r="P308" s="47" t="s">
        <v>55</v>
      </c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18" customHeight="1">
      <c r="A309" s="44" t="s">
        <v>994</v>
      </c>
      <c r="B309" s="47">
        <v>954419</v>
      </c>
      <c r="C309" s="46" t="s">
        <v>995</v>
      </c>
      <c r="D309" s="47" t="s">
        <v>978</v>
      </c>
      <c r="E309" s="48">
        <v>800</v>
      </c>
      <c r="F309" s="49"/>
      <c r="G309" s="49">
        <f t="shared" si="0"/>
        <v>91</v>
      </c>
      <c r="H309" s="47" t="s">
        <v>996</v>
      </c>
      <c r="I309" s="51"/>
      <c r="J309" s="52">
        <v>20.2</v>
      </c>
      <c r="K309" s="53">
        <f t="shared" si="1"/>
        <v>16.16</v>
      </c>
      <c r="L309" s="47"/>
      <c r="M309" s="54" t="e">
        <f>VLOOKUP(L309,Packaging!$B$3:$C$21,2,0)</f>
        <v>#N/A</v>
      </c>
      <c r="N309" s="47"/>
      <c r="O309" s="47">
        <v>100</v>
      </c>
      <c r="P309" s="47" t="s">
        <v>55</v>
      </c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18" customHeight="1">
      <c r="A310" s="44" t="s">
        <v>997</v>
      </c>
      <c r="B310" s="47" t="s">
        <v>998</v>
      </c>
      <c r="C310" s="46" t="s">
        <v>850</v>
      </c>
      <c r="D310" s="47" t="s">
        <v>978</v>
      </c>
      <c r="E310" s="48">
        <v>300</v>
      </c>
      <c r="F310" s="49"/>
      <c r="G310" s="49">
        <f t="shared" si="0"/>
        <v>91</v>
      </c>
      <c r="H310" s="47" t="s">
        <v>999</v>
      </c>
      <c r="I310" s="51">
        <v>280</v>
      </c>
      <c r="J310" s="52">
        <v>8.4</v>
      </c>
      <c r="K310" s="53">
        <f t="shared" si="1"/>
        <v>2.8</v>
      </c>
      <c r="L310" s="61" t="s">
        <v>54</v>
      </c>
      <c r="M310" s="54" t="str">
        <f>VLOOKUP(L310,Packaging!$B$3:$C$21,2,0)</f>
        <v>290 X 200 X 140</v>
      </c>
      <c r="N310" s="47"/>
      <c r="O310" s="47">
        <v>30</v>
      </c>
      <c r="P310" s="47" t="s">
        <v>55</v>
      </c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18" customHeight="1">
      <c r="A311" s="44" t="s">
        <v>1000</v>
      </c>
      <c r="B311" s="47" t="s">
        <v>1001</v>
      </c>
      <c r="C311" s="46" t="s">
        <v>1002</v>
      </c>
      <c r="D311" s="47" t="s">
        <v>1003</v>
      </c>
      <c r="E311" s="48">
        <v>28</v>
      </c>
      <c r="F311" s="49"/>
      <c r="G311" s="49">
        <f t="shared" si="0"/>
        <v>91</v>
      </c>
      <c r="H311" s="47" t="s">
        <v>1004</v>
      </c>
      <c r="I311" s="51">
        <v>580</v>
      </c>
      <c r="J311" s="52">
        <v>697</v>
      </c>
      <c r="K311" s="53">
        <f t="shared" si="1"/>
        <v>20.096</v>
      </c>
      <c r="L311" s="61" t="s">
        <v>101</v>
      </c>
      <c r="M311" s="54" t="str">
        <f>VLOOKUP(L311,Packaging!$B$3:$C$21,2,0)</f>
        <v>1380 X 150 X 80</v>
      </c>
      <c r="N311" s="47"/>
      <c r="O311" s="47"/>
      <c r="P311" s="47" t="s">
        <v>55</v>
      </c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18" customHeight="1">
      <c r="A312" s="44" t="s">
        <v>1005</v>
      </c>
      <c r="B312" s="70" t="s">
        <v>1006</v>
      </c>
      <c r="C312" s="71" t="s">
        <v>1007</v>
      </c>
      <c r="D312" s="70" t="s">
        <v>1003</v>
      </c>
      <c r="E312" s="72">
        <v>4</v>
      </c>
      <c r="F312" s="49"/>
      <c r="G312" s="49">
        <f t="shared" si="0"/>
        <v>91</v>
      </c>
      <c r="H312" s="78" t="s">
        <v>53</v>
      </c>
      <c r="I312" s="51"/>
      <c r="J312" s="52">
        <v>1023</v>
      </c>
      <c r="K312" s="53">
        <f t="shared" si="1"/>
        <v>4.0919999999999996</v>
      </c>
      <c r="L312" s="47"/>
      <c r="M312" s="54" t="e">
        <f>VLOOKUP(L312,Packaging!$B$3:$C$21,2,0)</f>
        <v>#N/A</v>
      </c>
      <c r="N312" s="47"/>
      <c r="O312" s="47"/>
      <c r="P312" s="47" t="s">
        <v>55</v>
      </c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18" customHeight="1">
      <c r="A313" s="44" t="s">
        <v>1008</v>
      </c>
      <c r="B313" s="70" t="s">
        <v>1009</v>
      </c>
      <c r="C313" s="71" t="s">
        <v>1010</v>
      </c>
      <c r="D313" s="70" t="s">
        <v>1003</v>
      </c>
      <c r="E313" s="72">
        <v>4</v>
      </c>
      <c r="F313" s="49"/>
      <c r="G313" s="49">
        <f t="shared" si="0"/>
        <v>91</v>
      </c>
      <c r="H313" s="78" t="s">
        <v>53</v>
      </c>
      <c r="I313" s="51"/>
      <c r="J313" s="52">
        <v>1000</v>
      </c>
      <c r="K313" s="53">
        <f t="shared" si="1"/>
        <v>4</v>
      </c>
      <c r="L313" s="47"/>
      <c r="M313" s="54" t="e">
        <f>VLOOKUP(L313,Packaging!$B$3:$C$21,2,0)</f>
        <v>#N/A</v>
      </c>
      <c r="N313" s="47"/>
      <c r="O313" s="47"/>
      <c r="P313" s="47" t="s">
        <v>55</v>
      </c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18" customHeight="1">
      <c r="A314" s="44" t="s">
        <v>1011</v>
      </c>
      <c r="B314" s="62" t="s">
        <v>1012</v>
      </c>
      <c r="C314" s="57" t="s">
        <v>1013</v>
      </c>
      <c r="D314" s="70" t="s">
        <v>1014</v>
      </c>
      <c r="E314" s="48">
        <v>150</v>
      </c>
      <c r="F314" s="49"/>
      <c r="G314" s="49">
        <f t="shared" si="0"/>
        <v>91</v>
      </c>
      <c r="H314" s="78" t="s">
        <v>53</v>
      </c>
      <c r="I314" s="51">
        <v>280</v>
      </c>
      <c r="J314" s="52"/>
      <c r="K314" s="53">
        <f t="shared" si="1"/>
        <v>0.28000000000000003</v>
      </c>
      <c r="L314" s="61" t="s">
        <v>54</v>
      </c>
      <c r="M314" s="54" t="str">
        <f>VLOOKUP(L314,Packaging!$B$3:$C$21,2,0)</f>
        <v>290 X 200 X 140</v>
      </c>
      <c r="N314" s="47"/>
      <c r="O314" s="47"/>
      <c r="P314" s="47" t="s">
        <v>55</v>
      </c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18" customHeight="1">
      <c r="A315" s="44" t="s">
        <v>1015</v>
      </c>
      <c r="B315" s="47" t="s">
        <v>1016</v>
      </c>
      <c r="C315" s="46" t="s">
        <v>1017</v>
      </c>
      <c r="D315" s="47" t="s">
        <v>1018</v>
      </c>
      <c r="E315" s="48">
        <v>250</v>
      </c>
      <c r="F315" s="49"/>
      <c r="G315" s="49">
        <f t="shared" si="0"/>
        <v>91</v>
      </c>
      <c r="H315" s="78" t="s">
        <v>53</v>
      </c>
      <c r="I315" s="51">
        <v>280</v>
      </c>
      <c r="J315" s="52">
        <v>36</v>
      </c>
      <c r="K315" s="53">
        <f t="shared" si="1"/>
        <v>9.2799999999999994</v>
      </c>
      <c r="L315" s="61" t="s">
        <v>54</v>
      </c>
      <c r="M315" s="54" t="str">
        <f>VLOOKUP(L315,Packaging!$B$3:$C$21,2,0)</f>
        <v>290 X 200 X 140</v>
      </c>
      <c r="N315" s="47"/>
      <c r="O315" s="47">
        <v>50</v>
      </c>
      <c r="P315" s="47" t="s">
        <v>55</v>
      </c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18" customHeight="1">
      <c r="A316" s="44" t="s">
        <v>1019</v>
      </c>
      <c r="B316" s="47" t="s">
        <v>1020</v>
      </c>
      <c r="C316" s="46" t="s">
        <v>1021</v>
      </c>
      <c r="D316" s="47" t="s">
        <v>1018</v>
      </c>
      <c r="E316" s="48">
        <v>20</v>
      </c>
      <c r="F316" s="49"/>
      <c r="G316" s="49">
        <f t="shared" si="0"/>
        <v>91</v>
      </c>
      <c r="H316" s="78" t="s">
        <v>53</v>
      </c>
      <c r="I316" s="51">
        <v>278</v>
      </c>
      <c r="J316" s="52">
        <v>60.6</v>
      </c>
      <c r="K316" s="53">
        <f t="shared" si="1"/>
        <v>1.49</v>
      </c>
      <c r="L316" s="61" t="s">
        <v>161</v>
      </c>
      <c r="M316" s="54" t="str">
        <f>VLOOKUP(L316,Packaging!$B$3:$C$21,2,0)</f>
        <v>360 X 270 X 128</v>
      </c>
      <c r="N316" s="47"/>
      <c r="O316" s="47"/>
      <c r="P316" s="47" t="s">
        <v>55</v>
      </c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18" customHeight="1">
      <c r="A317" s="44" t="s">
        <v>1022</v>
      </c>
      <c r="B317" s="47" t="s">
        <v>1023</v>
      </c>
      <c r="C317" s="46" t="s">
        <v>1024</v>
      </c>
      <c r="D317" s="47" t="s">
        <v>1018</v>
      </c>
      <c r="E317" s="48">
        <v>60</v>
      </c>
      <c r="F317" s="49"/>
      <c r="G317" s="49">
        <f t="shared" si="0"/>
        <v>91</v>
      </c>
      <c r="H317" s="78" t="s">
        <v>53</v>
      </c>
      <c r="I317" s="51">
        <v>766</v>
      </c>
      <c r="J317" s="52">
        <v>171.2</v>
      </c>
      <c r="K317" s="53">
        <f t="shared" si="1"/>
        <v>11.038</v>
      </c>
      <c r="L317" s="61" t="s">
        <v>72</v>
      </c>
      <c r="M317" s="54" t="str">
        <f>VLOOKUP(L317,Packaging!$B$3:$C$21,2,0)</f>
        <v>390 X 350 X 280</v>
      </c>
      <c r="N317" s="47"/>
      <c r="O317" s="47"/>
      <c r="P317" s="47" t="s">
        <v>55</v>
      </c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18" customHeight="1">
      <c r="A318" s="44" t="s">
        <v>1025</v>
      </c>
      <c r="B318" s="47" t="s">
        <v>1026</v>
      </c>
      <c r="C318" s="46" t="s">
        <v>1027</v>
      </c>
      <c r="D318" s="47" t="s">
        <v>1018</v>
      </c>
      <c r="E318" s="48">
        <v>120</v>
      </c>
      <c r="F318" s="49"/>
      <c r="G318" s="49">
        <f t="shared" si="0"/>
        <v>91</v>
      </c>
      <c r="H318" s="78" t="s">
        <v>53</v>
      </c>
      <c r="I318" s="51"/>
      <c r="J318" s="52">
        <v>67</v>
      </c>
      <c r="K318" s="53">
        <f t="shared" si="1"/>
        <v>8.0399999999999991</v>
      </c>
      <c r="L318" s="47"/>
      <c r="M318" s="54" t="e">
        <f>VLOOKUP(L318,Packaging!$B$3:$C$21,2,0)</f>
        <v>#N/A</v>
      </c>
      <c r="N318" s="47"/>
      <c r="O318" s="47">
        <v>10</v>
      </c>
      <c r="P318" s="47" t="s">
        <v>55</v>
      </c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18" customHeight="1">
      <c r="A319" s="44" t="s">
        <v>1028</v>
      </c>
      <c r="B319" s="47" t="s">
        <v>1029</v>
      </c>
      <c r="C319" s="46" t="s">
        <v>1030</v>
      </c>
      <c r="D319" s="47" t="s">
        <v>1018</v>
      </c>
      <c r="E319" s="48">
        <v>84</v>
      </c>
      <c r="F319" s="49"/>
      <c r="G319" s="49">
        <f t="shared" si="0"/>
        <v>91</v>
      </c>
      <c r="H319" s="78" t="s">
        <v>53</v>
      </c>
      <c r="I319" s="51">
        <v>766</v>
      </c>
      <c r="J319" s="52">
        <v>143.19999999999999</v>
      </c>
      <c r="K319" s="53">
        <f t="shared" si="1"/>
        <v>12.794799999999999</v>
      </c>
      <c r="L319" s="61" t="s">
        <v>72</v>
      </c>
      <c r="M319" s="54" t="str">
        <f>VLOOKUP(L319,Packaging!$B$3:$C$21,2,0)</f>
        <v>390 X 350 X 280</v>
      </c>
      <c r="N319" s="47"/>
      <c r="O319" s="47">
        <v>2</v>
      </c>
      <c r="P319" s="47" t="s">
        <v>55</v>
      </c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18" customHeight="1">
      <c r="A320" s="44" t="s">
        <v>1031</v>
      </c>
      <c r="B320" s="47" t="s">
        <v>1032</v>
      </c>
      <c r="C320" s="46" t="s">
        <v>1033</v>
      </c>
      <c r="D320" s="47" t="s">
        <v>1018</v>
      </c>
      <c r="E320" s="48">
        <v>32</v>
      </c>
      <c r="F320" s="49"/>
      <c r="G320" s="49">
        <f t="shared" si="0"/>
        <v>91</v>
      </c>
      <c r="H320" s="78" t="s">
        <v>53</v>
      </c>
      <c r="I320" s="51">
        <v>278</v>
      </c>
      <c r="J320" s="52">
        <v>164.2</v>
      </c>
      <c r="K320" s="53">
        <f t="shared" si="1"/>
        <v>5.5324</v>
      </c>
      <c r="L320" s="61" t="s">
        <v>161</v>
      </c>
      <c r="M320" s="54" t="str">
        <f>VLOOKUP(L320,Packaging!$B$3:$C$21,2,0)</f>
        <v>360 X 270 X 128</v>
      </c>
      <c r="N320" s="47"/>
      <c r="O320" s="47"/>
      <c r="P320" s="47" t="s">
        <v>55</v>
      </c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18" customHeight="1">
      <c r="A321" s="44" t="s">
        <v>1034</v>
      </c>
      <c r="B321" s="47" t="s">
        <v>1035</v>
      </c>
      <c r="C321" s="46" t="s">
        <v>1036</v>
      </c>
      <c r="D321" s="47" t="s">
        <v>1018</v>
      </c>
      <c r="E321" s="48">
        <v>2000</v>
      </c>
      <c r="F321" s="49"/>
      <c r="G321" s="49">
        <f t="shared" si="0"/>
        <v>91</v>
      </c>
      <c r="H321" s="78" t="s">
        <v>53</v>
      </c>
      <c r="I321" s="51"/>
      <c r="J321" s="52">
        <v>1.6</v>
      </c>
      <c r="K321" s="53">
        <f t="shared" si="1"/>
        <v>3.2</v>
      </c>
      <c r="L321" s="61" t="s">
        <v>54</v>
      </c>
      <c r="M321" s="54" t="str">
        <f>VLOOKUP(L321,Packaging!$B$3:$C$21,2,0)</f>
        <v>290 X 200 X 140</v>
      </c>
      <c r="N321" s="47"/>
      <c r="O321" s="47">
        <v>500</v>
      </c>
      <c r="P321" s="47" t="s">
        <v>55</v>
      </c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18" customHeight="1">
      <c r="A322" s="44" t="s">
        <v>1037</v>
      </c>
      <c r="B322" s="47" t="s">
        <v>1038</v>
      </c>
      <c r="C322" s="46" t="s">
        <v>1039</v>
      </c>
      <c r="D322" s="47" t="s">
        <v>1040</v>
      </c>
      <c r="E322" s="48">
        <v>400</v>
      </c>
      <c r="F322" s="49"/>
      <c r="G322" s="49">
        <f t="shared" si="0"/>
        <v>91</v>
      </c>
      <c r="H322" s="78" t="s">
        <v>53</v>
      </c>
      <c r="I322" s="51"/>
      <c r="J322" s="52">
        <v>33.6</v>
      </c>
      <c r="K322" s="53">
        <f t="shared" si="1"/>
        <v>13.44</v>
      </c>
      <c r="L322" s="47"/>
      <c r="M322" s="54" t="e">
        <f>VLOOKUP(L322,Packaging!$B$3:$C$21,2,0)</f>
        <v>#N/A</v>
      </c>
      <c r="N322" s="47"/>
      <c r="O322" s="47">
        <v>100</v>
      </c>
      <c r="P322" s="47" t="s">
        <v>55</v>
      </c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18" customHeight="1">
      <c r="A323" s="44" t="s">
        <v>1041</v>
      </c>
      <c r="B323" s="47" t="s">
        <v>1042</v>
      </c>
      <c r="C323" s="46" t="s">
        <v>1043</v>
      </c>
      <c r="D323" s="47" t="s">
        <v>1040</v>
      </c>
      <c r="E323" s="48">
        <v>252</v>
      </c>
      <c r="F323" s="49"/>
      <c r="G323" s="49">
        <f t="shared" si="0"/>
        <v>91</v>
      </c>
      <c r="H323" s="78" t="s">
        <v>53</v>
      </c>
      <c r="I323" s="51">
        <v>378</v>
      </c>
      <c r="J323" s="52">
        <v>64.599999999999994</v>
      </c>
      <c r="K323" s="53">
        <f t="shared" si="1"/>
        <v>16.657199999999996</v>
      </c>
      <c r="L323" s="61" t="s">
        <v>91</v>
      </c>
      <c r="M323" s="54" t="str">
        <f>VLOOKUP(L323,Packaging!$B$3:$C$21,2,0)</f>
        <v>400 X 240 X 130</v>
      </c>
      <c r="N323" s="47"/>
      <c r="O323" s="47"/>
      <c r="P323" s="47" t="s">
        <v>55</v>
      </c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18" customHeight="1">
      <c r="A324" s="44" t="s">
        <v>1044</v>
      </c>
      <c r="B324" s="47" t="s">
        <v>1045</v>
      </c>
      <c r="C324" s="46" t="s">
        <v>1046</v>
      </c>
      <c r="D324" s="47" t="s">
        <v>1040</v>
      </c>
      <c r="E324" s="48">
        <v>200</v>
      </c>
      <c r="F324" s="49"/>
      <c r="G324" s="49">
        <f t="shared" si="0"/>
        <v>91</v>
      </c>
      <c r="H324" s="78" t="s">
        <v>53</v>
      </c>
      <c r="I324" s="51">
        <v>280</v>
      </c>
      <c r="J324" s="52">
        <v>59.8</v>
      </c>
      <c r="K324" s="53">
        <f t="shared" si="1"/>
        <v>12.24</v>
      </c>
      <c r="L324" s="61" t="s">
        <v>54</v>
      </c>
      <c r="M324" s="54" t="str">
        <f>VLOOKUP(L324,Packaging!$B$3:$C$21,2,0)</f>
        <v>290 X 200 X 140</v>
      </c>
      <c r="N324" s="47"/>
      <c r="O324" s="47"/>
      <c r="P324" s="47" t="s">
        <v>55</v>
      </c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18" customHeight="1">
      <c r="A325" s="44" t="s">
        <v>1047</v>
      </c>
      <c r="B325" s="47" t="s">
        <v>1048</v>
      </c>
      <c r="C325" s="46" t="s">
        <v>1049</v>
      </c>
      <c r="D325" s="47" t="s">
        <v>1040</v>
      </c>
      <c r="E325" s="48">
        <v>1000</v>
      </c>
      <c r="F325" s="49"/>
      <c r="G325" s="49">
        <f t="shared" si="0"/>
        <v>91</v>
      </c>
      <c r="H325" s="78" t="s">
        <v>53</v>
      </c>
      <c r="I325" s="51">
        <v>280</v>
      </c>
      <c r="J325" s="52">
        <v>3.6</v>
      </c>
      <c r="K325" s="53">
        <f t="shared" si="1"/>
        <v>3.88</v>
      </c>
      <c r="L325" s="61" t="s">
        <v>54</v>
      </c>
      <c r="M325" s="54" t="str">
        <f>VLOOKUP(L325,Packaging!$B$3:$C$21,2,0)</f>
        <v>290 X 200 X 140</v>
      </c>
      <c r="N325" s="47"/>
      <c r="O325" s="47"/>
      <c r="P325" s="47" t="s">
        <v>55</v>
      </c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18" customHeight="1">
      <c r="A326" s="44" t="s">
        <v>1050</v>
      </c>
      <c r="B326" s="47" t="s">
        <v>1051</v>
      </c>
      <c r="C326" s="46" t="s">
        <v>1052</v>
      </c>
      <c r="D326" s="47" t="s">
        <v>1040</v>
      </c>
      <c r="E326" s="48">
        <v>84</v>
      </c>
      <c r="F326" s="49"/>
      <c r="G326" s="49">
        <f t="shared" si="0"/>
        <v>91</v>
      </c>
      <c r="H326" s="78" t="s">
        <v>53</v>
      </c>
      <c r="I326" s="51"/>
      <c r="J326" s="52">
        <v>79.8</v>
      </c>
      <c r="K326" s="53">
        <f t="shared" si="1"/>
        <v>6.7031999999999998</v>
      </c>
      <c r="L326" s="47"/>
      <c r="M326" s="54" t="e">
        <f>VLOOKUP(L326,Packaging!$B$3:$C$21,2,0)</f>
        <v>#N/A</v>
      </c>
      <c r="N326" s="47"/>
      <c r="O326" s="47"/>
      <c r="P326" s="47" t="s">
        <v>55</v>
      </c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18" customHeight="1">
      <c r="A327" s="59" t="s">
        <v>1053</v>
      </c>
      <c r="B327" s="47" t="s">
        <v>1054</v>
      </c>
      <c r="C327" s="46" t="s">
        <v>1055</v>
      </c>
      <c r="D327" s="47" t="s">
        <v>1056</v>
      </c>
      <c r="E327" s="48">
        <v>40</v>
      </c>
      <c r="F327" s="49"/>
      <c r="G327" s="49">
        <f t="shared" si="0"/>
        <v>91</v>
      </c>
      <c r="H327" s="78" t="s">
        <v>53</v>
      </c>
      <c r="I327" s="53">
        <v>0.68</v>
      </c>
      <c r="J327" s="52">
        <v>19.8</v>
      </c>
      <c r="K327" s="53">
        <f t="shared" si="1"/>
        <v>0.79267999999999994</v>
      </c>
      <c r="L327" s="47"/>
      <c r="M327" s="54" t="e">
        <f>VLOOKUP(L327,Packaging!$B$3:$C$21,2,0)</f>
        <v>#N/A</v>
      </c>
      <c r="N327" s="47"/>
      <c r="O327" s="47">
        <v>40</v>
      </c>
      <c r="P327" s="47" t="s">
        <v>55</v>
      </c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18" customHeight="1">
      <c r="A328" s="59" t="s">
        <v>1057</v>
      </c>
      <c r="B328" s="47" t="s">
        <v>1058</v>
      </c>
      <c r="C328" s="46" t="s">
        <v>1059</v>
      </c>
      <c r="D328" s="47" t="s">
        <v>1018</v>
      </c>
      <c r="E328" s="48">
        <v>250</v>
      </c>
      <c r="F328" s="49"/>
      <c r="G328" s="49">
        <f t="shared" si="0"/>
        <v>91</v>
      </c>
      <c r="H328" s="78" t="s">
        <v>53</v>
      </c>
      <c r="I328" s="51">
        <v>280</v>
      </c>
      <c r="J328" s="52">
        <v>37</v>
      </c>
      <c r="K328" s="53">
        <f t="shared" si="1"/>
        <v>9.5299999999999994</v>
      </c>
      <c r="L328" s="61" t="s">
        <v>54</v>
      </c>
      <c r="M328" s="54" t="str">
        <f>VLOOKUP(L328,Packaging!$B$3:$C$21,2,0)</f>
        <v>290 X 200 X 140</v>
      </c>
      <c r="N328" s="47"/>
      <c r="O328" s="47">
        <v>50</v>
      </c>
      <c r="P328" s="47" t="s">
        <v>55</v>
      </c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18" customHeight="1">
      <c r="A329" s="59" t="s">
        <v>1060</v>
      </c>
      <c r="B329" s="47">
        <v>3000011884</v>
      </c>
      <c r="C329" s="46" t="s">
        <v>1061</v>
      </c>
      <c r="D329" s="47" t="s">
        <v>878</v>
      </c>
      <c r="E329" s="48">
        <v>675</v>
      </c>
      <c r="F329" s="49"/>
      <c r="G329" s="49">
        <f t="shared" si="0"/>
        <v>91</v>
      </c>
      <c r="H329" s="47" t="s">
        <v>1062</v>
      </c>
      <c r="I329" s="51">
        <v>244</v>
      </c>
      <c r="J329" s="52">
        <v>28.8</v>
      </c>
      <c r="K329" s="53">
        <f t="shared" si="1"/>
        <v>19.684000000000001</v>
      </c>
      <c r="L329" s="61" t="s">
        <v>274</v>
      </c>
      <c r="M329" s="54" t="str">
        <f>VLOOKUP(L329,Packaging!$B$3:$C$21,2,0)</f>
        <v>290 X 200 X 100</v>
      </c>
      <c r="N329" s="47"/>
      <c r="O329" s="47">
        <v>15</v>
      </c>
      <c r="P329" s="47" t="s">
        <v>55</v>
      </c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18" customHeight="1">
      <c r="A330" s="59" t="s">
        <v>1063</v>
      </c>
      <c r="B330" s="47">
        <v>3000011883</v>
      </c>
      <c r="C330" s="46" t="s">
        <v>619</v>
      </c>
      <c r="D330" s="47" t="s">
        <v>878</v>
      </c>
      <c r="E330" s="48">
        <v>240</v>
      </c>
      <c r="F330" s="49"/>
      <c r="G330" s="49">
        <f t="shared" si="0"/>
        <v>91</v>
      </c>
      <c r="H330" s="47" t="s">
        <v>1064</v>
      </c>
      <c r="I330" s="51">
        <v>280</v>
      </c>
      <c r="J330" s="52">
        <v>59.6</v>
      </c>
      <c r="K330" s="53">
        <f t="shared" si="1"/>
        <v>14.584</v>
      </c>
      <c r="L330" s="61" t="s">
        <v>54</v>
      </c>
      <c r="M330" s="54" t="str">
        <f>VLOOKUP(L330,Packaging!$B$3:$C$21,2,0)</f>
        <v>290 X 200 X 140</v>
      </c>
      <c r="N330" s="47"/>
      <c r="O330" s="47">
        <v>10</v>
      </c>
      <c r="P330" s="47" t="s">
        <v>55</v>
      </c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18" customHeight="1">
      <c r="A331" s="59" t="s">
        <v>1065</v>
      </c>
      <c r="B331" s="47" t="s">
        <v>1066</v>
      </c>
      <c r="C331" s="46" t="s">
        <v>1067</v>
      </c>
      <c r="D331" s="47" t="s">
        <v>569</v>
      </c>
      <c r="E331" s="48"/>
      <c r="F331" s="49"/>
      <c r="G331" s="49">
        <f t="shared" si="0"/>
        <v>91</v>
      </c>
      <c r="H331" s="47" t="s">
        <v>1068</v>
      </c>
      <c r="I331" s="51">
        <v>580</v>
      </c>
      <c r="J331" s="52">
        <v>462</v>
      </c>
      <c r="K331" s="53">
        <f t="shared" si="1"/>
        <v>0.57999999999999996</v>
      </c>
      <c r="L331" s="61" t="s">
        <v>101</v>
      </c>
      <c r="M331" s="54" t="str">
        <f>VLOOKUP(L331,Packaging!$B$3:$C$21,2,0)</f>
        <v>1380 X 150 X 80</v>
      </c>
      <c r="N331" s="47"/>
      <c r="O331" s="47"/>
      <c r="P331" s="47" t="s">
        <v>55</v>
      </c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18" customHeight="1">
      <c r="A332" s="59" t="s">
        <v>1069</v>
      </c>
      <c r="B332" s="47" t="s">
        <v>1070</v>
      </c>
      <c r="C332" s="46" t="s">
        <v>1071</v>
      </c>
      <c r="D332" s="47" t="s">
        <v>569</v>
      </c>
      <c r="E332" s="48"/>
      <c r="F332" s="49"/>
      <c r="G332" s="49">
        <f t="shared" si="0"/>
        <v>91</v>
      </c>
      <c r="H332" s="47" t="s">
        <v>1072</v>
      </c>
      <c r="I332" s="51">
        <v>580</v>
      </c>
      <c r="J332" s="52">
        <v>802</v>
      </c>
      <c r="K332" s="53">
        <f t="shared" si="1"/>
        <v>0.57999999999999996</v>
      </c>
      <c r="L332" s="61" t="s">
        <v>101</v>
      </c>
      <c r="M332" s="54" t="str">
        <f>VLOOKUP(L332,Packaging!$B$3:$C$21,2,0)</f>
        <v>1380 X 150 X 80</v>
      </c>
      <c r="N332" s="47"/>
      <c r="O332" s="47"/>
      <c r="P332" s="47" t="s">
        <v>55</v>
      </c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18" customHeight="1">
      <c r="A333" s="59" t="s">
        <v>1073</v>
      </c>
      <c r="B333" s="47" t="s">
        <v>1074</v>
      </c>
      <c r="C333" s="46" t="s">
        <v>1075</v>
      </c>
      <c r="D333" s="47" t="s">
        <v>1076</v>
      </c>
      <c r="E333" s="48">
        <v>8</v>
      </c>
      <c r="F333" s="49"/>
      <c r="G333" s="49">
        <f t="shared" si="0"/>
        <v>91</v>
      </c>
      <c r="H333" s="47" t="s">
        <v>53</v>
      </c>
      <c r="I333" s="51">
        <v>2112</v>
      </c>
      <c r="J333" s="52"/>
      <c r="K333" s="53">
        <f t="shared" si="1"/>
        <v>2.1120000000000001</v>
      </c>
      <c r="L333" s="61" t="s">
        <v>1077</v>
      </c>
      <c r="M333" s="54" t="str">
        <f>VLOOKUP(L333,Packaging!$B$3:$C$21,2,0)</f>
        <v>1460 X 200 X 160</v>
      </c>
      <c r="N333" s="47"/>
      <c r="O333" s="47"/>
      <c r="P333" s="47" t="s">
        <v>55</v>
      </c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18" customHeight="1">
      <c r="A334" s="59" t="s">
        <v>1078</v>
      </c>
      <c r="B334" s="47" t="s">
        <v>1079</v>
      </c>
      <c r="C334" s="46" t="s">
        <v>1080</v>
      </c>
      <c r="D334" s="47" t="s">
        <v>1081</v>
      </c>
      <c r="E334" s="48" t="s">
        <v>53</v>
      </c>
      <c r="F334" s="49"/>
      <c r="G334" s="49">
        <f t="shared" si="0"/>
        <v>91</v>
      </c>
      <c r="H334" s="47" t="s">
        <v>1082</v>
      </c>
      <c r="I334" s="51"/>
      <c r="J334" s="52"/>
      <c r="K334" s="53" t="e">
        <f t="shared" si="1"/>
        <v>#VALUE!</v>
      </c>
      <c r="L334" s="79"/>
      <c r="M334" s="54" t="e">
        <f>VLOOKUP(L334,Packaging!$B$3:$C$21,2,0)</f>
        <v>#N/A</v>
      </c>
      <c r="N334" s="47"/>
      <c r="O334" s="47"/>
      <c r="P334" s="47" t="s">
        <v>55</v>
      </c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18" customHeight="1">
      <c r="A335" s="59" t="s">
        <v>1083</v>
      </c>
      <c r="B335" s="47" t="s">
        <v>1084</v>
      </c>
      <c r="C335" s="46" t="s">
        <v>1085</v>
      </c>
      <c r="D335" s="47" t="s">
        <v>1081</v>
      </c>
      <c r="E335" s="48" t="s">
        <v>53</v>
      </c>
      <c r="F335" s="49"/>
      <c r="G335" s="49">
        <f t="shared" si="0"/>
        <v>91</v>
      </c>
      <c r="H335" s="47" t="s">
        <v>1082</v>
      </c>
      <c r="I335" s="51"/>
      <c r="J335" s="52"/>
      <c r="K335" s="53" t="e">
        <f t="shared" si="1"/>
        <v>#VALUE!</v>
      </c>
      <c r="L335" s="79"/>
      <c r="M335" s="54" t="e">
        <f>VLOOKUP(L335,Packaging!$B$3:$C$21,2,0)</f>
        <v>#N/A</v>
      </c>
      <c r="N335" s="47"/>
      <c r="O335" s="47"/>
      <c r="P335" s="47" t="s">
        <v>55</v>
      </c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18" customHeight="1">
      <c r="A336" s="59" t="s">
        <v>1086</v>
      </c>
      <c r="B336" s="47" t="s">
        <v>1087</v>
      </c>
      <c r="C336" s="46" t="s">
        <v>1088</v>
      </c>
      <c r="D336" s="47" t="s">
        <v>1081</v>
      </c>
      <c r="E336" s="48">
        <v>1450</v>
      </c>
      <c r="F336" s="49"/>
      <c r="G336" s="49">
        <f t="shared" si="0"/>
        <v>91</v>
      </c>
      <c r="H336" s="47" t="s">
        <v>1089</v>
      </c>
      <c r="I336" s="51"/>
      <c r="J336" s="52"/>
      <c r="K336" s="53">
        <f t="shared" si="1"/>
        <v>0</v>
      </c>
      <c r="L336" s="79"/>
      <c r="M336" s="54" t="e">
        <f>VLOOKUP(L336,Packaging!$B$3:$C$21,2,0)</f>
        <v>#N/A</v>
      </c>
      <c r="N336" s="47"/>
      <c r="O336" s="47"/>
      <c r="P336" s="47" t="s">
        <v>55</v>
      </c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18" customHeight="1">
      <c r="A337" s="59" t="s">
        <v>1090</v>
      </c>
      <c r="B337" s="47" t="s">
        <v>1091</v>
      </c>
      <c r="C337" s="46" t="s">
        <v>1092</v>
      </c>
      <c r="D337" s="47" t="s">
        <v>1093</v>
      </c>
      <c r="E337" s="48">
        <v>30</v>
      </c>
      <c r="F337" s="49"/>
      <c r="G337" s="49">
        <f t="shared" si="0"/>
        <v>91</v>
      </c>
      <c r="H337" s="47" t="s">
        <v>53</v>
      </c>
      <c r="I337" s="51">
        <v>430</v>
      </c>
      <c r="J337" s="52">
        <v>262</v>
      </c>
      <c r="K337" s="53">
        <f t="shared" si="1"/>
        <v>8.2899999999999991</v>
      </c>
      <c r="L337" s="61" t="s">
        <v>83</v>
      </c>
      <c r="M337" s="54" t="str">
        <f>VLOOKUP(L337,Packaging!$B$3:$C$21,2,0)</f>
        <v>560 X 175 X 155</v>
      </c>
      <c r="N337" s="47" t="s">
        <v>53</v>
      </c>
      <c r="O337" s="47">
        <v>2</v>
      </c>
      <c r="P337" s="47" t="s">
        <v>55</v>
      </c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18" customHeight="1">
      <c r="A338" s="59" t="s">
        <v>1094</v>
      </c>
      <c r="B338" s="47">
        <v>3000003318</v>
      </c>
      <c r="C338" s="46" t="s">
        <v>1095</v>
      </c>
      <c r="D338" s="47" t="s">
        <v>1096</v>
      </c>
      <c r="E338" s="48">
        <v>1</v>
      </c>
      <c r="F338" s="49"/>
      <c r="G338" s="49">
        <f t="shared" si="0"/>
        <v>91</v>
      </c>
      <c r="H338" s="47" t="s">
        <v>1097</v>
      </c>
      <c r="I338" s="51">
        <v>157</v>
      </c>
      <c r="J338" s="52">
        <v>2863</v>
      </c>
      <c r="K338" s="53">
        <f t="shared" si="1"/>
        <v>3.02</v>
      </c>
      <c r="L338" s="61" t="s">
        <v>1098</v>
      </c>
      <c r="M338" s="54" t="str">
        <f>VLOOKUP(L338,Packaging!$B$3:$C$21,2,0)</f>
        <v>620 X 120 X 150</v>
      </c>
      <c r="N338" s="47"/>
      <c r="O338" s="47">
        <v>1</v>
      </c>
      <c r="P338" s="47" t="s">
        <v>55</v>
      </c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18" customHeight="1">
      <c r="A339" s="59" t="s">
        <v>1099</v>
      </c>
      <c r="B339" s="47">
        <v>3000003864</v>
      </c>
      <c r="C339" s="46" t="s">
        <v>1100</v>
      </c>
      <c r="D339" s="47" t="s">
        <v>1096</v>
      </c>
      <c r="E339" s="48"/>
      <c r="F339" s="49"/>
      <c r="G339" s="49">
        <f t="shared" si="0"/>
        <v>91</v>
      </c>
      <c r="H339" s="47" t="s">
        <v>1101</v>
      </c>
      <c r="I339" s="52">
        <v>13.4</v>
      </c>
      <c r="J339" s="52"/>
      <c r="K339" s="53">
        <f t="shared" si="1"/>
        <v>1.34E-2</v>
      </c>
      <c r="L339" s="61" t="s">
        <v>54</v>
      </c>
      <c r="M339" s="54" t="str">
        <f>VLOOKUP(L339,Packaging!$B$3:$C$21,2,0)</f>
        <v>290 X 200 X 140</v>
      </c>
      <c r="N339" s="47"/>
      <c r="O339" s="47">
        <v>20</v>
      </c>
      <c r="P339" s="47" t="s">
        <v>55</v>
      </c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18" customHeight="1">
      <c r="A340" s="59" t="s">
        <v>1102</v>
      </c>
      <c r="B340" s="47" t="s">
        <v>1103</v>
      </c>
      <c r="C340" s="46" t="s">
        <v>1088</v>
      </c>
      <c r="D340" s="47" t="s">
        <v>1081</v>
      </c>
      <c r="E340" s="48">
        <v>1450</v>
      </c>
      <c r="F340" s="49"/>
      <c r="G340" s="49">
        <f t="shared" si="0"/>
        <v>91</v>
      </c>
      <c r="H340" s="47" t="s">
        <v>53</v>
      </c>
      <c r="I340" s="51" t="s">
        <v>53</v>
      </c>
      <c r="J340" s="52">
        <v>16.3</v>
      </c>
      <c r="K340" s="53" t="e">
        <f t="shared" si="1"/>
        <v>#VALUE!</v>
      </c>
      <c r="L340" s="79"/>
      <c r="M340" s="54" t="e">
        <f>VLOOKUP(L340,Packaging!$B$3:$C$21,2,0)</f>
        <v>#N/A</v>
      </c>
      <c r="N340" s="47"/>
      <c r="O340" s="47">
        <v>15</v>
      </c>
      <c r="P340" s="47" t="s">
        <v>55</v>
      </c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18" customHeight="1">
      <c r="A341" s="59" t="s">
        <v>1104</v>
      </c>
      <c r="B341" s="47" t="s">
        <v>1105</v>
      </c>
      <c r="C341" s="80" t="s">
        <v>1106</v>
      </c>
      <c r="D341" s="47" t="s">
        <v>1107</v>
      </c>
      <c r="E341" s="48">
        <v>480</v>
      </c>
      <c r="F341" s="49"/>
      <c r="G341" s="49">
        <f t="shared" si="0"/>
        <v>91</v>
      </c>
      <c r="H341" s="47" t="s">
        <v>53</v>
      </c>
      <c r="I341" s="51">
        <v>244</v>
      </c>
      <c r="J341" s="52">
        <v>20</v>
      </c>
      <c r="K341" s="53">
        <f t="shared" si="1"/>
        <v>9.8439999999999994</v>
      </c>
      <c r="L341" s="61" t="s">
        <v>274</v>
      </c>
      <c r="M341" s="54" t="str">
        <f>VLOOKUP(L341,Packaging!$B$3:$C$21,2,0)</f>
        <v>290 X 200 X 100</v>
      </c>
      <c r="N341" s="47"/>
      <c r="O341" s="47">
        <v>24</v>
      </c>
      <c r="P341" s="47" t="s">
        <v>55</v>
      </c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18" customHeight="1">
      <c r="A342" s="59" t="s">
        <v>1108</v>
      </c>
      <c r="B342" s="47" t="s">
        <v>1109</v>
      </c>
      <c r="C342" s="46" t="s">
        <v>1092</v>
      </c>
      <c r="D342" s="47" t="s">
        <v>1093</v>
      </c>
      <c r="E342" s="48">
        <v>30</v>
      </c>
      <c r="F342" s="49"/>
      <c r="G342" s="49">
        <f t="shared" si="0"/>
        <v>91</v>
      </c>
      <c r="H342" s="47" t="s">
        <v>53</v>
      </c>
      <c r="I342" s="51">
        <v>430</v>
      </c>
      <c r="J342" s="52">
        <v>262</v>
      </c>
      <c r="K342" s="53">
        <f t="shared" si="1"/>
        <v>8.2899999999999991</v>
      </c>
      <c r="L342" s="61" t="s">
        <v>83</v>
      </c>
      <c r="M342" s="54" t="str">
        <f>VLOOKUP(L342,Packaging!$B$3:$C$21,2,0)</f>
        <v>560 X 175 X 155</v>
      </c>
      <c r="N342" s="47"/>
      <c r="O342" s="47">
        <v>2</v>
      </c>
      <c r="P342" s="47" t="s">
        <v>55</v>
      </c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18" customHeight="1">
      <c r="A343" s="59" t="s">
        <v>1110</v>
      </c>
      <c r="B343" s="47" t="s">
        <v>1111</v>
      </c>
      <c r="C343" s="46" t="s">
        <v>1100</v>
      </c>
      <c r="D343" s="47" t="s">
        <v>1096</v>
      </c>
      <c r="E343" s="48"/>
      <c r="F343" s="49"/>
      <c r="G343" s="49">
        <f t="shared" si="0"/>
        <v>91</v>
      </c>
      <c r="H343" s="47" t="s">
        <v>1112</v>
      </c>
      <c r="I343" s="51">
        <v>244</v>
      </c>
      <c r="J343" s="52">
        <v>76</v>
      </c>
      <c r="K343" s="53">
        <f t="shared" si="1"/>
        <v>0.24399999999999999</v>
      </c>
      <c r="L343" s="61" t="s">
        <v>274</v>
      </c>
      <c r="M343" s="54" t="str">
        <f>VLOOKUP(L343,Packaging!$B$3:$C$21,2,0)</f>
        <v>290 X 200 X 100</v>
      </c>
      <c r="N343" s="47" t="s">
        <v>1113</v>
      </c>
      <c r="O343" s="47"/>
      <c r="P343" s="47" t="s">
        <v>55</v>
      </c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18" customHeight="1">
      <c r="A344" s="59" t="s">
        <v>1114</v>
      </c>
      <c r="B344" s="47" t="s">
        <v>1115</v>
      </c>
      <c r="C344" s="46" t="s">
        <v>1116</v>
      </c>
      <c r="D344" s="47" t="s">
        <v>1096</v>
      </c>
      <c r="E344" s="48"/>
      <c r="F344" s="49"/>
      <c r="G344" s="49">
        <f t="shared" si="0"/>
        <v>91</v>
      </c>
      <c r="H344" s="47" t="s">
        <v>1117</v>
      </c>
      <c r="I344" s="51">
        <v>244</v>
      </c>
      <c r="J344" s="52">
        <v>72</v>
      </c>
      <c r="K344" s="53">
        <f t="shared" si="1"/>
        <v>0.24399999999999999</v>
      </c>
      <c r="L344" s="61" t="s">
        <v>274</v>
      </c>
      <c r="M344" s="54" t="str">
        <f>VLOOKUP(L344,Packaging!$B$3:$C$21,2,0)</f>
        <v>290 X 200 X 100</v>
      </c>
      <c r="N344" s="47" t="s">
        <v>1113</v>
      </c>
      <c r="O344" s="47"/>
      <c r="P344" s="47" t="s">
        <v>55</v>
      </c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18" customHeight="1">
      <c r="A345" s="59" t="s">
        <v>1118</v>
      </c>
      <c r="B345" s="47" t="s">
        <v>1119</v>
      </c>
      <c r="C345" s="46" t="s">
        <v>1120</v>
      </c>
      <c r="D345" s="47" t="s">
        <v>1121</v>
      </c>
      <c r="E345" s="48">
        <v>800</v>
      </c>
      <c r="F345" s="49"/>
      <c r="G345" s="49">
        <f t="shared" si="0"/>
        <v>91</v>
      </c>
      <c r="H345" s="47" t="s">
        <v>53</v>
      </c>
      <c r="I345" s="51">
        <v>280</v>
      </c>
      <c r="J345" s="52">
        <v>28.5</v>
      </c>
      <c r="K345" s="53">
        <f t="shared" si="1"/>
        <v>23.08</v>
      </c>
      <c r="L345" s="61" t="s">
        <v>54</v>
      </c>
      <c r="M345" s="54" t="str">
        <f>VLOOKUP(L345,Packaging!$B$3:$C$21,2,0)</f>
        <v>290 X 200 X 140</v>
      </c>
      <c r="N345" s="47"/>
      <c r="O345" s="47">
        <v>100</v>
      </c>
      <c r="P345" s="47" t="s">
        <v>55</v>
      </c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18" customHeight="1">
      <c r="A346" s="59" t="s">
        <v>1122</v>
      </c>
      <c r="B346" s="47">
        <v>954966</v>
      </c>
      <c r="C346" s="46" t="s">
        <v>867</v>
      </c>
      <c r="D346" s="47" t="s">
        <v>1096</v>
      </c>
      <c r="E346" s="48">
        <v>100</v>
      </c>
      <c r="F346" s="49"/>
      <c r="G346" s="49">
        <f t="shared" si="0"/>
        <v>91</v>
      </c>
      <c r="H346" s="47" t="s">
        <v>1123</v>
      </c>
      <c r="I346" s="51">
        <v>280</v>
      </c>
      <c r="J346" s="52">
        <v>152.6</v>
      </c>
      <c r="K346" s="53">
        <v>0.28000000000000003</v>
      </c>
      <c r="L346" s="61" t="s">
        <v>54</v>
      </c>
      <c r="M346" s="54" t="str">
        <f>VLOOKUP(L346,Packaging!$B$3:$C$21,2,0)</f>
        <v>290 X 200 X 140</v>
      </c>
      <c r="N346" s="47"/>
      <c r="O346" s="47">
        <v>5</v>
      </c>
      <c r="P346" s="47" t="s">
        <v>55</v>
      </c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18" customHeight="1">
      <c r="A347" s="59" t="s">
        <v>1124</v>
      </c>
      <c r="B347" s="47">
        <v>954967</v>
      </c>
      <c r="C347" s="46" t="s">
        <v>871</v>
      </c>
      <c r="D347" s="47" t="s">
        <v>1096</v>
      </c>
      <c r="E347" s="48">
        <v>100</v>
      </c>
      <c r="F347" s="49"/>
      <c r="G347" s="49">
        <f t="shared" si="0"/>
        <v>91</v>
      </c>
      <c r="H347" s="47" t="s">
        <v>1123</v>
      </c>
      <c r="I347" s="51">
        <v>280</v>
      </c>
      <c r="J347" s="52">
        <v>152.6</v>
      </c>
      <c r="K347" s="53">
        <v>0.28000000000000003</v>
      </c>
      <c r="L347" s="61" t="s">
        <v>54</v>
      </c>
      <c r="M347" s="54" t="str">
        <f>VLOOKUP(L347,Packaging!$B$3:$C$21,2,0)</f>
        <v>290 X 200 X 140</v>
      </c>
      <c r="N347" s="47"/>
      <c r="O347" s="47">
        <v>5</v>
      </c>
      <c r="P347" s="47" t="s">
        <v>55</v>
      </c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18" customHeight="1">
      <c r="A348" s="59" t="s">
        <v>1125</v>
      </c>
      <c r="B348" s="47">
        <v>3000013624</v>
      </c>
      <c r="C348" s="46" t="s">
        <v>1126</v>
      </c>
      <c r="D348" s="47" t="s">
        <v>1096</v>
      </c>
      <c r="E348" s="48">
        <v>20</v>
      </c>
      <c r="F348" s="49"/>
      <c r="G348" s="49">
        <v>91</v>
      </c>
      <c r="H348" s="47" t="s">
        <v>1127</v>
      </c>
      <c r="I348" s="51">
        <v>580</v>
      </c>
      <c r="J348" s="52">
        <v>459</v>
      </c>
      <c r="K348" s="53">
        <v>0.57999999999999996</v>
      </c>
      <c r="L348" s="61" t="s">
        <v>101</v>
      </c>
      <c r="M348" s="50" t="s">
        <v>887</v>
      </c>
      <c r="N348" s="47"/>
      <c r="O348" s="47">
        <v>1</v>
      </c>
      <c r="P348" s="47" t="s">
        <v>55</v>
      </c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18" customHeight="1">
      <c r="A349" s="59" t="s">
        <v>1128</v>
      </c>
      <c r="B349" s="47" t="s">
        <v>1129</v>
      </c>
      <c r="C349" s="46" t="s">
        <v>1130</v>
      </c>
      <c r="D349" s="47" t="s">
        <v>1107</v>
      </c>
      <c r="E349" s="48">
        <v>400</v>
      </c>
      <c r="F349" s="49"/>
      <c r="G349" s="49">
        <f t="shared" ref="G349:G375" si="2">F349+91</f>
        <v>91</v>
      </c>
      <c r="H349" s="47" t="s">
        <v>53</v>
      </c>
      <c r="I349" s="51">
        <v>280</v>
      </c>
      <c r="J349" s="52">
        <v>19.5</v>
      </c>
      <c r="K349" s="53">
        <f t="shared" ref="K349:K375" si="3">(I349+(J349*E349))/1000</f>
        <v>8.08</v>
      </c>
      <c r="L349" s="61" t="s">
        <v>54</v>
      </c>
      <c r="M349" s="54" t="str">
        <f>VLOOKUP(L349,Packaging!$B$3:$C$21,2,0)</f>
        <v>290 X 200 X 140</v>
      </c>
      <c r="N349" s="47"/>
      <c r="O349" s="47">
        <v>20</v>
      </c>
      <c r="P349" s="47" t="s">
        <v>55</v>
      </c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18" customHeight="1">
      <c r="A350" s="59" t="s">
        <v>1131</v>
      </c>
      <c r="B350" s="47" t="s">
        <v>1132</v>
      </c>
      <c r="C350" s="46" t="s">
        <v>1133</v>
      </c>
      <c r="D350" s="47" t="s">
        <v>1107</v>
      </c>
      <c r="E350" s="48">
        <v>400</v>
      </c>
      <c r="F350" s="49"/>
      <c r="G350" s="49">
        <f t="shared" si="2"/>
        <v>91</v>
      </c>
      <c r="H350" s="47" t="s">
        <v>53</v>
      </c>
      <c r="I350" s="51">
        <v>280</v>
      </c>
      <c r="J350" s="52">
        <v>19.5</v>
      </c>
      <c r="K350" s="53">
        <f t="shared" si="3"/>
        <v>8.08</v>
      </c>
      <c r="L350" s="61" t="s">
        <v>54</v>
      </c>
      <c r="M350" s="54" t="str">
        <f>VLOOKUP(L350,Packaging!$B$3:$C$21,2,0)</f>
        <v>290 X 200 X 140</v>
      </c>
      <c r="N350" s="47"/>
      <c r="O350" s="47">
        <v>20</v>
      </c>
      <c r="P350" s="47" t="s">
        <v>55</v>
      </c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18" customHeight="1">
      <c r="A351" s="59" t="s">
        <v>1134</v>
      </c>
      <c r="B351" s="78" t="s">
        <v>1135</v>
      </c>
      <c r="C351" s="46" t="s">
        <v>1120</v>
      </c>
      <c r="D351" s="47" t="s">
        <v>1121</v>
      </c>
      <c r="E351" s="48">
        <v>250</v>
      </c>
      <c r="F351" s="49"/>
      <c r="G351" s="49">
        <f t="shared" si="2"/>
        <v>91</v>
      </c>
      <c r="H351" s="47" t="s">
        <v>53</v>
      </c>
      <c r="I351" s="51">
        <v>244</v>
      </c>
      <c r="J351" s="52">
        <v>76.5</v>
      </c>
      <c r="K351" s="53">
        <f t="shared" si="3"/>
        <v>19.369</v>
      </c>
      <c r="L351" s="61" t="s">
        <v>274</v>
      </c>
      <c r="M351" s="54" t="str">
        <f>VLOOKUP(L351,Packaging!$B$3:$C$21,2,0)</f>
        <v>290 X 200 X 100</v>
      </c>
      <c r="N351" s="47"/>
      <c r="O351" s="47">
        <v>50</v>
      </c>
      <c r="P351" s="47" t="s">
        <v>55</v>
      </c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18" customHeight="1">
      <c r="A352" s="59" t="s">
        <v>1136</v>
      </c>
      <c r="B352" s="78" t="s">
        <v>1137</v>
      </c>
      <c r="C352" s="46" t="s">
        <v>90</v>
      </c>
      <c r="D352" s="47" t="s">
        <v>1138</v>
      </c>
      <c r="E352" s="48">
        <v>28</v>
      </c>
      <c r="F352" s="49"/>
      <c r="G352" s="49">
        <f t="shared" si="2"/>
        <v>91</v>
      </c>
      <c r="H352" s="47" t="s">
        <v>53</v>
      </c>
      <c r="I352" s="51">
        <v>378</v>
      </c>
      <c r="J352" s="52">
        <v>438</v>
      </c>
      <c r="K352" s="53">
        <f t="shared" si="3"/>
        <v>12.641999999999999</v>
      </c>
      <c r="L352" s="61" t="s">
        <v>91</v>
      </c>
      <c r="M352" s="54" t="str">
        <f>VLOOKUP(L352,Packaging!$B$3:$C$21,2,0)</f>
        <v>400 X 240 X 130</v>
      </c>
      <c r="N352" s="47"/>
      <c r="O352" s="47">
        <v>2</v>
      </c>
      <c r="P352" s="47" t="s">
        <v>55</v>
      </c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18" customHeight="1">
      <c r="A353" s="59" t="s">
        <v>1139</v>
      </c>
      <c r="B353" s="78" t="s">
        <v>1140</v>
      </c>
      <c r="C353" s="46" t="s">
        <v>1141</v>
      </c>
      <c r="D353" s="47" t="s">
        <v>1107</v>
      </c>
      <c r="E353" s="48">
        <v>40</v>
      </c>
      <c r="F353" s="49"/>
      <c r="G353" s="49">
        <f t="shared" si="2"/>
        <v>91</v>
      </c>
      <c r="H353" s="47" t="s">
        <v>53</v>
      </c>
      <c r="I353" s="51">
        <v>378</v>
      </c>
      <c r="J353" s="52">
        <v>82.5</v>
      </c>
      <c r="K353" s="53">
        <f t="shared" si="3"/>
        <v>3.6779999999999999</v>
      </c>
      <c r="L353" s="61" t="s">
        <v>91</v>
      </c>
      <c r="M353" s="54" t="str">
        <f>VLOOKUP(L353,Packaging!$B$3:$C$21,2,0)</f>
        <v>400 X 240 X 130</v>
      </c>
      <c r="N353" s="47"/>
      <c r="O353" s="47">
        <v>1</v>
      </c>
      <c r="P353" s="47" t="s">
        <v>55</v>
      </c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18" customHeight="1">
      <c r="A354" s="59" t="s">
        <v>1142</v>
      </c>
      <c r="B354" s="78" t="s">
        <v>1143</v>
      </c>
      <c r="C354" s="46" t="s">
        <v>1075</v>
      </c>
      <c r="D354" s="47" t="s">
        <v>1107</v>
      </c>
      <c r="E354" s="48">
        <v>84</v>
      </c>
      <c r="F354" s="49"/>
      <c r="G354" s="49">
        <f t="shared" si="2"/>
        <v>91</v>
      </c>
      <c r="H354" s="47" t="s">
        <v>53</v>
      </c>
      <c r="I354" s="51">
        <v>378</v>
      </c>
      <c r="J354" s="52">
        <v>40.5</v>
      </c>
      <c r="K354" s="53">
        <f t="shared" si="3"/>
        <v>3.78</v>
      </c>
      <c r="L354" s="61" t="s">
        <v>91</v>
      </c>
      <c r="M354" s="54" t="str">
        <f>VLOOKUP(L354,Packaging!$B$3:$C$21,2,0)</f>
        <v>400 X 240 X 130</v>
      </c>
      <c r="N354" s="47"/>
      <c r="O354" s="47">
        <v>2</v>
      </c>
      <c r="P354" s="47" t="s">
        <v>55</v>
      </c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18" customHeight="1">
      <c r="A355" s="59" t="s">
        <v>1144</v>
      </c>
      <c r="B355" s="78" t="s">
        <v>1145</v>
      </c>
      <c r="C355" s="46" t="s">
        <v>1146</v>
      </c>
      <c r="D355" s="47" t="s">
        <v>1107</v>
      </c>
      <c r="E355" s="48">
        <v>80</v>
      </c>
      <c r="F355" s="49"/>
      <c r="G355" s="49">
        <f t="shared" si="2"/>
        <v>91</v>
      </c>
      <c r="H355" s="47" t="s">
        <v>53</v>
      </c>
      <c r="I355" s="51">
        <v>244</v>
      </c>
      <c r="J355" s="52">
        <v>76</v>
      </c>
      <c r="K355" s="53">
        <f t="shared" si="3"/>
        <v>6.3239999999999998</v>
      </c>
      <c r="L355" s="61" t="s">
        <v>274</v>
      </c>
      <c r="M355" s="54" t="str">
        <f>VLOOKUP(L355,Packaging!$B$3:$C$21,2,0)</f>
        <v>290 X 200 X 100</v>
      </c>
      <c r="N355" s="47"/>
      <c r="O355" s="47">
        <v>2</v>
      </c>
      <c r="P355" s="47" t="s">
        <v>55</v>
      </c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18" customHeight="1">
      <c r="A356" s="59" t="s">
        <v>1147</v>
      </c>
      <c r="B356" s="78" t="s">
        <v>1148</v>
      </c>
      <c r="C356" s="46" t="s">
        <v>1149</v>
      </c>
      <c r="D356" s="47" t="s">
        <v>1107</v>
      </c>
      <c r="E356" s="48">
        <v>500</v>
      </c>
      <c r="F356" s="49"/>
      <c r="G356" s="49">
        <f t="shared" si="2"/>
        <v>91</v>
      </c>
      <c r="H356" s="47" t="s">
        <v>53</v>
      </c>
      <c r="I356" s="51">
        <v>244</v>
      </c>
      <c r="J356" s="52">
        <v>22</v>
      </c>
      <c r="K356" s="53">
        <f t="shared" si="3"/>
        <v>11.244</v>
      </c>
      <c r="L356" s="61" t="s">
        <v>274</v>
      </c>
      <c r="M356" s="54" t="str">
        <f>VLOOKUP(L356,Packaging!$B$3:$C$21,2,0)</f>
        <v>290 X 200 X 100</v>
      </c>
      <c r="N356" s="47"/>
      <c r="O356" s="47">
        <v>50</v>
      </c>
      <c r="P356" s="47" t="s">
        <v>55</v>
      </c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18" customHeight="1">
      <c r="A357" s="59" t="s">
        <v>1150</v>
      </c>
      <c r="B357" s="78" t="s">
        <v>1151</v>
      </c>
      <c r="C357" s="46" t="s">
        <v>1152</v>
      </c>
      <c r="D357" s="47" t="s">
        <v>1107</v>
      </c>
      <c r="E357" s="48">
        <v>120</v>
      </c>
      <c r="F357" s="49"/>
      <c r="G357" s="49">
        <f t="shared" si="2"/>
        <v>91</v>
      </c>
      <c r="H357" s="47" t="s">
        <v>53</v>
      </c>
      <c r="I357" s="51">
        <v>244</v>
      </c>
      <c r="J357" s="52">
        <v>16.5</v>
      </c>
      <c r="K357" s="53">
        <f t="shared" si="3"/>
        <v>2.2240000000000002</v>
      </c>
      <c r="L357" s="61" t="s">
        <v>274</v>
      </c>
      <c r="M357" s="54" t="str">
        <f>VLOOKUP(L357,Packaging!$B$3:$C$21,2,0)</f>
        <v>290 X 200 X 100</v>
      </c>
      <c r="N357" s="47"/>
      <c r="O357" s="47">
        <v>10</v>
      </c>
      <c r="P357" s="47" t="s">
        <v>55</v>
      </c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18" customHeight="1">
      <c r="A358" s="59" t="s">
        <v>1153</v>
      </c>
      <c r="B358" s="78" t="s">
        <v>1154</v>
      </c>
      <c r="C358" s="46" t="s">
        <v>1155</v>
      </c>
      <c r="D358" s="47" t="s">
        <v>1107</v>
      </c>
      <c r="E358" s="48">
        <v>35</v>
      </c>
      <c r="F358" s="49"/>
      <c r="G358" s="49">
        <f t="shared" si="2"/>
        <v>91</v>
      </c>
      <c r="H358" s="47" t="s">
        <v>53</v>
      </c>
      <c r="I358" s="51">
        <v>378</v>
      </c>
      <c r="J358" s="52">
        <v>20</v>
      </c>
      <c r="K358" s="53">
        <f t="shared" si="3"/>
        <v>1.0780000000000001</v>
      </c>
      <c r="L358" s="61" t="s">
        <v>91</v>
      </c>
      <c r="M358" s="54" t="str">
        <f>VLOOKUP(L358,Packaging!$B$3:$C$21,2,0)</f>
        <v>400 X 240 X 130</v>
      </c>
      <c r="N358" s="47"/>
      <c r="O358" s="47">
        <v>5</v>
      </c>
      <c r="P358" s="47" t="s">
        <v>55</v>
      </c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18" customHeight="1">
      <c r="A359" s="59" t="s">
        <v>1156</v>
      </c>
      <c r="B359" s="78" t="s">
        <v>1157</v>
      </c>
      <c r="C359" s="46" t="s">
        <v>1158</v>
      </c>
      <c r="D359" s="47" t="s">
        <v>1107</v>
      </c>
      <c r="E359" s="48">
        <v>500</v>
      </c>
      <c r="F359" s="49"/>
      <c r="G359" s="49">
        <f t="shared" si="2"/>
        <v>91</v>
      </c>
      <c r="H359" s="47" t="s">
        <v>53</v>
      </c>
      <c r="I359" s="51">
        <v>278</v>
      </c>
      <c r="J359" s="52">
        <v>8</v>
      </c>
      <c r="K359" s="53">
        <f t="shared" si="3"/>
        <v>4.2779999999999996</v>
      </c>
      <c r="L359" s="61" t="s">
        <v>161</v>
      </c>
      <c r="M359" s="54" t="str">
        <f>VLOOKUP(L359,Packaging!$B$3:$C$21,2,0)</f>
        <v>360 X 270 X 128</v>
      </c>
      <c r="N359" s="47"/>
      <c r="O359" s="47">
        <v>50</v>
      </c>
      <c r="P359" s="47" t="s">
        <v>55</v>
      </c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18" customHeight="1">
      <c r="A360" s="59" t="s">
        <v>1159</v>
      </c>
      <c r="B360" s="78" t="s">
        <v>1160</v>
      </c>
      <c r="C360" s="46" t="s">
        <v>1161</v>
      </c>
      <c r="D360" s="47" t="s">
        <v>1107</v>
      </c>
      <c r="E360" s="48">
        <v>40</v>
      </c>
      <c r="F360" s="49"/>
      <c r="G360" s="49">
        <f t="shared" si="2"/>
        <v>91</v>
      </c>
      <c r="H360" s="47" t="s">
        <v>53</v>
      </c>
      <c r="I360" s="51">
        <v>244</v>
      </c>
      <c r="J360" s="52">
        <v>98</v>
      </c>
      <c r="K360" s="53">
        <f t="shared" si="3"/>
        <v>4.1639999999999997</v>
      </c>
      <c r="L360" s="61" t="s">
        <v>274</v>
      </c>
      <c r="M360" s="54" t="str">
        <f>VLOOKUP(L360,Packaging!$B$3:$C$21,2,0)</f>
        <v>290 X 200 X 100</v>
      </c>
      <c r="N360" s="47"/>
      <c r="O360" s="47">
        <v>1</v>
      </c>
      <c r="P360" s="47" t="s">
        <v>55</v>
      </c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18" customHeight="1">
      <c r="A361" s="59" t="s">
        <v>1162</v>
      </c>
      <c r="B361" s="78" t="s">
        <v>1163</v>
      </c>
      <c r="C361" s="46" t="s">
        <v>1164</v>
      </c>
      <c r="D361" s="47" t="s">
        <v>1107</v>
      </c>
      <c r="E361" s="48">
        <v>1000</v>
      </c>
      <c r="F361" s="49"/>
      <c r="G361" s="49">
        <f t="shared" si="2"/>
        <v>91</v>
      </c>
      <c r="H361" s="47" t="s">
        <v>53</v>
      </c>
      <c r="I361" s="51">
        <v>280</v>
      </c>
      <c r="J361" s="52">
        <v>8</v>
      </c>
      <c r="K361" s="53">
        <f t="shared" si="3"/>
        <v>8.2799999999999994</v>
      </c>
      <c r="L361" s="61" t="s">
        <v>54</v>
      </c>
      <c r="M361" s="54" t="str">
        <f>VLOOKUP(L361,Packaging!$B$3:$C$21,2,0)</f>
        <v>290 X 200 X 140</v>
      </c>
      <c r="N361" s="47"/>
      <c r="O361" s="47">
        <v>250</v>
      </c>
      <c r="P361" s="47" t="s">
        <v>55</v>
      </c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18" customHeight="1">
      <c r="A362" s="59" t="s">
        <v>1165</v>
      </c>
      <c r="B362" s="78" t="s">
        <v>1166</v>
      </c>
      <c r="C362" s="46" t="s">
        <v>1167</v>
      </c>
      <c r="D362" s="47" t="s">
        <v>1107</v>
      </c>
      <c r="E362" s="48">
        <v>10</v>
      </c>
      <c r="F362" s="49"/>
      <c r="G362" s="49">
        <f t="shared" si="2"/>
        <v>91</v>
      </c>
      <c r="H362" s="47" t="s">
        <v>53</v>
      </c>
      <c r="I362" s="51">
        <v>278</v>
      </c>
      <c r="J362" s="52">
        <v>264</v>
      </c>
      <c r="K362" s="53">
        <f t="shared" si="3"/>
        <v>2.9180000000000001</v>
      </c>
      <c r="L362" s="61" t="s">
        <v>161</v>
      </c>
      <c r="M362" s="54" t="str">
        <f>VLOOKUP(L362,Packaging!$B$3:$C$21,2,0)</f>
        <v>360 X 270 X 128</v>
      </c>
      <c r="N362" s="47"/>
      <c r="O362" s="47">
        <v>1</v>
      </c>
      <c r="P362" s="47" t="s">
        <v>55</v>
      </c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18" customHeight="1">
      <c r="A363" s="59" t="s">
        <v>1168</v>
      </c>
      <c r="B363" s="78" t="s">
        <v>1169</v>
      </c>
      <c r="C363" s="46" t="s">
        <v>867</v>
      </c>
      <c r="D363" s="47" t="s">
        <v>1096</v>
      </c>
      <c r="E363" s="48"/>
      <c r="F363" s="49"/>
      <c r="G363" s="49">
        <f t="shared" si="2"/>
        <v>91</v>
      </c>
      <c r="H363" s="47" t="s">
        <v>53</v>
      </c>
      <c r="I363" s="51">
        <v>280</v>
      </c>
      <c r="J363" s="52">
        <v>207</v>
      </c>
      <c r="K363" s="53">
        <f t="shared" si="3"/>
        <v>0.28000000000000003</v>
      </c>
      <c r="L363" s="61" t="s">
        <v>54</v>
      </c>
      <c r="M363" s="54" t="str">
        <f>VLOOKUP(L363,Packaging!$B$3:$C$21,2,0)</f>
        <v>290 X 200 X 140</v>
      </c>
      <c r="N363" s="47"/>
      <c r="O363" s="47">
        <v>5</v>
      </c>
      <c r="P363" s="47" t="s">
        <v>55</v>
      </c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18" customHeight="1">
      <c r="A364" s="59" t="s">
        <v>1170</v>
      </c>
      <c r="B364" s="78" t="s">
        <v>1171</v>
      </c>
      <c r="C364" s="46" t="s">
        <v>871</v>
      </c>
      <c r="D364" s="47" t="s">
        <v>1096</v>
      </c>
      <c r="E364" s="48"/>
      <c r="F364" s="49"/>
      <c r="G364" s="49">
        <f t="shared" si="2"/>
        <v>91</v>
      </c>
      <c r="H364" s="47" t="s">
        <v>53</v>
      </c>
      <c r="I364" s="51">
        <v>280</v>
      </c>
      <c r="J364" s="52">
        <v>207</v>
      </c>
      <c r="K364" s="53">
        <f t="shared" si="3"/>
        <v>0.28000000000000003</v>
      </c>
      <c r="L364" s="61" t="s">
        <v>54</v>
      </c>
      <c r="M364" s="54" t="str">
        <f>VLOOKUP(L364,Packaging!$B$3:$C$21,2,0)</f>
        <v>290 X 200 X 140</v>
      </c>
      <c r="N364" s="47"/>
      <c r="O364" s="47">
        <v>5</v>
      </c>
      <c r="P364" s="47" t="s">
        <v>55</v>
      </c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18" customHeight="1">
      <c r="A365" s="59" t="s">
        <v>1172</v>
      </c>
      <c r="B365" s="78" t="s">
        <v>1173</v>
      </c>
      <c r="C365" s="46" t="s">
        <v>1174</v>
      </c>
      <c r="D365" s="47" t="s">
        <v>1096</v>
      </c>
      <c r="E365" s="48"/>
      <c r="F365" s="49"/>
      <c r="G365" s="49">
        <f t="shared" si="2"/>
        <v>91</v>
      </c>
      <c r="H365" s="47" t="s">
        <v>53</v>
      </c>
      <c r="I365" s="51">
        <v>244</v>
      </c>
      <c r="J365" s="52">
        <v>72</v>
      </c>
      <c r="K365" s="53">
        <f t="shared" si="3"/>
        <v>0.24399999999999999</v>
      </c>
      <c r="L365" s="61" t="s">
        <v>274</v>
      </c>
      <c r="M365" s="54" t="str">
        <f>VLOOKUP(L365,Packaging!$B$3:$C$21,2,0)</f>
        <v>290 X 200 X 100</v>
      </c>
      <c r="N365" s="47"/>
      <c r="O365" s="47">
        <v>6</v>
      </c>
      <c r="P365" s="47" t="s">
        <v>55</v>
      </c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18" customHeight="1">
      <c r="A366" s="59" t="s">
        <v>1175</v>
      </c>
      <c r="B366" s="78" t="s">
        <v>1176</v>
      </c>
      <c r="C366" s="46" t="s">
        <v>1177</v>
      </c>
      <c r="D366" s="47" t="s">
        <v>1096</v>
      </c>
      <c r="E366" s="48"/>
      <c r="F366" s="49"/>
      <c r="G366" s="49">
        <f t="shared" si="2"/>
        <v>91</v>
      </c>
      <c r="H366" s="47" t="s">
        <v>53</v>
      </c>
      <c r="I366" s="51">
        <v>244</v>
      </c>
      <c r="J366" s="52">
        <v>124</v>
      </c>
      <c r="K366" s="53">
        <f t="shared" si="3"/>
        <v>0.24399999999999999</v>
      </c>
      <c r="L366" s="61" t="s">
        <v>274</v>
      </c>
      <c r="M366" s="54" t="str">
        <f>VLOOKUP(L366,Packaging!$B$3:$C$21,2,0)</f>
        <v>290 X 200 X 100</v>
      </c>
      <c r="N366" s="47"/>
      <c r="O366" s="47">
        <v>1</v>
      </c>
      <c r="P366" s="47" t="s">
        <v>55</v>
      </c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18" customHeight="1">
      <c r="A367" s="59" t="s">
        <v>1178</v>
      </c>
      <c r="B367" s="78" t="s">
        <v>1179</v>
      </c>
      <c r="C367" s="46" t="s">
        <v>1180</v>
      </c>
      <c r="D367" s="47" t="s">
        <v>1096</v>
      </c>
      <c r="E367" s="48"/>
      <c r="F367" s="49"/>
      <c r="G367" s="49">
        <f t="shared" si="2"/>
        <v>91</v>
      </c>
      <c r="H367" s="47" t="s">
        <v>1181</v>
      </c>
      <c r="I367" s="51">
        <v>244</v>
      </c>
      <c r="J367" s="52">
        <v>70</v>
      </c>
      <c r="K367" s="53">
        <f t="shared" si="3"/>
        <v>0.24399999999999999</v>
      </c>
      <c r="L367" s="61" t="s">
        <v>274</v>
      </c>
      <c r="M367" s="54" t="str">
        <f>VLOOKUP(L367,Packaging!$B$3:$C$21,2,0)</f>
        <v>290 X 200 X 100</v>
      </c>
      <c r="N367" s="47"/>
      <c r="O367" s="47">
        <v>1</v>
      </c>
      <c r="P367" s="47" t="s">
        <v>55</v>
      </c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18" customHeight="1">
      <c r="A368" s="59" t="s">
        <v>1182</v>
      </c>
      <c r="B368" s="78" t="s">
        <v>1183</v>
      </c>
      <c r="C368" s="46" t="s">
        <v>1184</v>
      </c>
      <c r="D368" s="47" t="s">
        <v>1096</v>
      </c>
      <c r="E368" s="48"/>
      <c r="F368" s="49"/>
      <c r="G368" s="49">
        <f t="shared" si="2"/>
        <v>91</v>
      </c>
      <c r="H368" s="47" t="s">
        <v>1185</v>
      </c>
      <c r="I368" s="51">
        <v>244</v>
      </c>
      <c r="J368" s="52">
        <v>70</v>
      </c>
      <c r="K368" s="53">
        <f t="shared" si="3"/>
        <v>0.24399999999999999</v>
      </c>
      <c r="L368" s="61" t="s">
        <v>274</v>
      </c>
      <c r="M368" s="54" t="str">
        <f>VLOOKUP(L368,Packaging!$B$3:$C$21,2,0)</f>
        <v>290 X 200 X 100</v>
      </c>
      <c r="N368" s="47"/>
      <c r="O368" s="47">
        <v>1</v>
      </c>
      <c r="P368" s="47" t="s">
        <v>55</v>
      </c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18" customHeight="1">
      <c r="A369" s="59" t="s">
        <v>1186</v>
      </c>
      <c r="B369" s="78" t="s">
        <v>1187</v>
      </c>
      <c r="C369" s="46" t="s">
        <v>1188</v>
      </c>
      <c r="D369" s="47" t="s">
        <v>1096</v>
      </c>
      <c r="E369" s="48"/>
      <c r="F369" s="49"/>
      <c r="G369" s="49">
        <f t="shared" si="2"/>
        <v>91</v>
      </c>
      <c r="H369" s="47" t="s">
        <v>1189</v>
      </c>
      <c r="I369" s="51">
        <v>244</v>
      </c>
      <c r="J369" s="52">
        <v>37.6</v>
      </c>
      <c r="K369" s="53">
        <f t="shared" si="3"/>
        <v>0.24399999999999999</v>
      </c>
      <c r="L369" s="61" t="s">
        <v>274</v>
      </c>
      <c r="M369" s="54" t="str">
        <f>VLOOKUP(L369,Packaging!$B$3:$C$21,2,0)</f>
        <v>290 X 200 X 100</v>
      </c>
      <c r="N369" s="47"/>
      <c r="O369" s="47">
        <v>1</v>
      </c>
      <c r="P369" s="47" t="s">
        <v>55</v>
      </c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18" customHeight="1">
      <c r="A370" s="59" t="s">
        <v>1190</v>
      </c>
      <c r="B370" s="78" t="s">
        <v>1191</v>
      </c>
      <c r="C370" s="46" t="s">
        <v>1192</v>
      </c>
      <c r="D370" s="47" t="s">
        <v>1107</v>
      </c>
      <c r="E370" s="48"/>
      <c r="F370" s="49"/>
      <c r="G370" s="49">
        <f t="shared" si="2"/>
        <v>91</v>
      </c>
      <c r="H370" s="47" t="s">
        <v>53</v>
      </c>
      <c r="I370" s="51">
        <v>244</v>
      </c>
      <c r="J370" s="52">
        <v>20</v>
      </c>
      <c r="K370" s="53">
        <f t="shared" si="3"/>
        <v>0.24399999999999999</v>
      </c>
      <c r="L370" s="61" t="s">
        <v>274</v>
      </c>
      <c r="M370" s="54" t="str">
        <f>VLOOKUP(L370,Packaging!$B$3:$C$21,2,0)</f>
        <v>290 X 200 X 100</v>
      </c>
      <c r="N370" s="47"/>
      <c r="O370" s="47">
        <v>1</v>
      </c>
      <c r="P370" s="47" t="s">
        <v>55</v>
      </c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18" customHeight="1">
      <c r="A371" s="59" t="s">
        <v>1193</v>
      </c>
      <c r="B371" s="78" t="s">
        <v>1194</v>
      </c>
      <c r="C371" s="46" t="s">
        <v>1195</v>
      </c>
      <c r="D371" s="47" t="s">
        <v>1107</v>
      </c>
      <c r="E371" s="48">
        <v>88</v>
      </c>
      <c r="F371" s="49"/>
      <c r="G371" s="49">
        <f t="shared" si="2"/>
        <v>91</v>
      </c>
      <c r="H371" s="47" t="s">
        <v>53</v>
      </c>
      <c r="I371" s="51">
        <v>378</v>
      </c>
      <c r="J371" s="52">
        <v>31.7</v>
      </c>
      <c r="K371" s="53">
        <f t="shared" si="3"/>
        <v>3.1675999999999997</v>
      </c>
      <c r="L371" s="61" t="s">
        <v>91</v>
      </c>
      <c r="M371" s="54" t="str">
        <f>VLOOKUP(L371,Packaging!$B$3:$C$21,2,0)</f>
        <v>400 X 240 X 130</v>
      </c>
      <c r="N371" s="47"/>
      <c r="O371" s="47">
        <v>1</v>
      </c>
      <c r="P371" s="47" t="s">
        <v>55</v>
      </c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18" customHeight="1">
      <c r="A372" s="59" t="s">
        <v>1196</v>
      </c>
      <c r="B372" s="78" t="s">
        <v>1197</v>
      </c>
      <c r="C372" s="46" t="s">
        <v>1198</v>
      </c>
      <c r="D372" s="47" t="s">
        <v>1107</v>
      </c>
      <c r="E372" s="48">
        <v>100</v>
      </c>
      <c r="F372" s="49"/>
      <c r="G372" s="49">
        <f t="shared" si="2"/>
        <v>91</v>
      </c>
      <c r="H372" s="47" t="s">
        <v>53</v>
      </c>
      <c r="I372" s="51">
        <v>244</v>
      </c>
      <c r="J372" s="52">
        <v>87</v>
      </c>
      <c r="K372" s="53">
        <f t="shared" si="3"/>
        <v>8.9440000000000008</v>
      </c>
      <c r="L372" s="61" t="s">
        <v>274</v>
      </c>
      <c r="M372" s="54" t="str">
        <f>VLOOKUP(L372,Packaging!$B$3:$C$21,2,0)</f>
        <v>290 X 200 X 100</v>
      </c>
      <c r="N372" s="47"/>
      <c r="O372" s="47">
        <v>10</v>
      </c>
      <c r="P372" s="47" t="s">
        <v>55</v>
      </c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18" customHeight="1">
      <c r="A373" s="59" t="s">
        <v>1199</v>
      </c>
      <c r="B373" s="78" t="s">
        <v>1200</v>
      </c>
      <c r="C373" s="46" t="s">
        <v>1201</v>
      </c>
      <c r="D373" s="47" t="s">
        <v>1107</v>
      </c>
      <c r="E373" s="48">
        <v>120</v>
      </c>
      <c r="F373" s="49"/>
      <c r="G373" s="49">
        <f t="shared" si="2"/>
        <v>91</v>
      </c>
      <c r="H373" s="47" t="s">
        <v>53</v>
      </c>
      <c r="I373" s="51">
        <v>244</v>
      </c>
      <c r="J373" s="52">
        <v>49.1</v>
      </c>
      <c r="K373" s="53">
        <f t="shared" si="3"/>
        <v>6.1360000000000001</v>
      </c>
      <c r="L373" s="61" t="s">
        <v>274</v>
      </c>
      <c r="M373" s="54" t="str">
        <f>VLOOKUP(L373,Packaging!$B$3:$C$21,2,0)</f>
        <v>290 X 200 X 100</v>
      </c>
      <c r="N373" s="47"/>
      <c r="O373" s="47">
        <v>20</v>
      </c>
      <c r="P373" s="47" t="s">
        <v>55</v>
      </c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18" customHeight="1">
      <c r="A374" s="59" t="s">
        <v>1202</v>
      </c>
      <c r="B374" s="78" t="s">
        <v>1203</v>
      </c>
      <c r="C374" s="46" t="s">
        <v>1204</v>
      </c>
      <c r="D374" s="47" t="s">
        <v>1205</v>
      </c>
      <c r="E374" s="48">
        <v>2000</v>
      </c>
      <c r="F374" s="49"/>
      <c r="G374" s="49">
        <f t="shared" si="2"/>
        <v>91</v>
      </c>
      <c r="H374" s="47" t="s">
        <v>53</v>
      </c>
      <c r="I374" s="51">
        <v>244</v>
      </c>
      <c r="J374" s="52">
        <v>1.26</v>
      </c>
      <c r="K374" s="53">
        <f t="shared" si="3"/>
        <v>2.7639999999999998</v>
      </c>
      <c r="L374" s="61" t="s">
        <v>274</v>
      </c>
      <c r="M374" s="54" t="str">
        <f>VLOOKUP(L374,Packaging!$B$3:$C$21,2,0)</f>
        <v>290 X 200 X 100</v>
      </c>
      <c r="N374" s="47"/>
      <c r="O374" s="47">
        <v>100</v>
      </c>
      <c r="P374" s="47" t="s">
        <v>55</v>
      </c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18" customHeight="1">
      <c r="A375" s="44"/>
      <c r="B375" s="47"/>
      <c r="C375" s="46"/>
      <c r="D375" s="47"/>
      <c r="E375" s="48"/>
      <c r="F375" s="49"/>
      <c r="G375" s="49">
        <f t="shared" si="2"/>
        <v>91</v>
      </c>
      <c r="H375" s="47" t="s">
        <v>53</v>
      </c>
      <c r="I375" s="51"/>
      <c r="J375" s="52"/>
      <c r="K375" s="53">
        <f t="shared" si="3"/>
        <v>0</v>
      </c>
      <c r="L375" s="61" t="s">
        <v>54</v>
      </c>
      <c r="M375" s="54" t="str">
        <f>VLOOKUP(L375,Packaging!$B$3:$C$21,2,0)</f>
        <v>290 X 200 X 140</v>
      </c>
      <c r="N375" s="47"/>
      <c r="O375" s="47"/>
      <c r="P375" s="47" t="s">
        <v>55</v>
      </c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18" customHeight="1">
      <c r="A376" s="81"/>
      <c r="B376" s="43"/>
      <c r="C376" s="82"/>
      <c r="D376" s="43"/>
      <c r="E376" s="83"/>
      <c r="F376" s="84"/>
      <c r="G376" s="84"/>
      <c r="H376" s="43"/>
      <c r="I376" s="83"/>
      <c r="J376" s="85"/>
      <c r="K376" s="86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18" customHeight="1">
      <c r="A377" s="81"/>
      <c r="B377" s="43"/>
      <c r="C377" s="82"/>
      <c r="D377" s="43"/>
      <c r="E377" s="83"/>
      <c r="F377" s="84"/>
      <c r="G377" s="84"/>
      <c r="H377" s="43"/>
      <c r="I377" s="83"/>
      <c r="J377" s="85"/>
      <c r="K377" s="86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18" customHeight="1">
      <c r="A378" s="81"/>
      <c r="B378" s="43"/>
      <c r="C378" s="82"/>
      <c r="D378" s="43"/>
      <c r="E378" s="83"/>
      <c r="F378" s="84"/>
      <c r="G378" s="84"/>
      <c r="H378" s="43"/>
      <c r="I378" s="83"/>
      <c r="J378" s="85"/>
      <c r="K378" s="86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18" customHeight="1">
      <c r="A379" s="81"/>
      <c r="B379" s="43"/>
      <c r="C379" s="82"/>
      <c r="D379" s="43"/>
      <c r="E379" s="83"/>
      <c r="F379" s="84"/>
      <c r="G379" s="84"/>
      <c r="H379" s="43"/>
      <c r="I379" s="83"/>
      <c r="J379" s="85"/>
      <c r="K379" s="86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18" customHeight="1">
      <c r="A380" s="81"/>
      <c r="B380" s="43"/>
      <c r="C380" s="82"/>
      <c r="D380" s="43"/>
      <c r="E380" s="83"/>
      <c r="F380" s="84"/>
      <c r="G380" s="84"/>
      <c r="H380" s="43"/>
      <c r="I380" s="83"/>
      <c r="J380" s="85"/>
      <c r="K380" s="86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18" customHeight="1">
      <c r="A381" s="81"/>
      <c r="B381" s="43"/>
      <c r="C381" s="82"/>
      <c r="D381" s="43"/>
      <c r="E381" s="83"/>
      <c r="F381" s="84"/>
      <c r="G381" s="84"/>
      <c r="H381" s="43"/>
      <c r="I381" s="83"/>
      <c r="J381" s="85"/>
      <c r="K381" s="86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18" customHeight="1">
      <c r="A382" s="81"/>
      <c r="B382" s="43"/>
      <c r="C382" s="82"/>
      <c r="D382" s="43"/>
      <c r="E382" s="83"/>
      <c r="F382" s="84"/>
      <c r="G382" s="84"/>
      <c r="H382" s="43"/>
      <c r="I382" s="83"/>
      <c r="J382" s="85"/>
      <c r="K382" s="86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18" customHeight="1">
      <c r="A383" s="81"/>
      <c r="B383" s="43"/>
      <c r="C383" s="82"/>
      <c r="D383" s="43"/>
      <c r="E383" s="83"/>
      <c r="F383" s="84"/>
      <c r="G383" s="84"/>
      <c r="H383" s="43"/>
      <c r="I383" s="83"/>
      <c r="J383" s="85"/>
      <c r="K383" s="86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18" customHeight="1">
      <c r="A384" s="81"/>
      <c r="B384" s="43"/>
      <c r="C384" s="82"/>
      <c r="D384" s="43"/>
      <c r="E384" s="83"/>
      <c r="F384" s="84"/>
      <c r="G384" s="84"/>
      <c r="H384" s="43"/>
      <c r="I384" s="83"/>
      <c r="J384" s="85"/>
      <c r="K384" s="86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18" customHeight="1">
      <c r="A385" s="81"/>
      <c r="B385" s="43"/>
      <c r="C385" s="82"/>
      <c r="D385" s="43"/>
      <c r="E385" s="83"/>
      <c r="F385" s="84"/>
      <c r="G385" s="84"/>
      <c r="H385" s="43"/>
      <c r="I385" s="83"/>
      <c r="J385" s="85"/>
      <c r="K385" s="86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18" customHeight="1">
      <c r="A386" s="81"/>
      <c r="B386" s="43"/>
      <c r="C386" s="82"/>
      <c r="D386" s="43"/>
      <c r="E386" s="83"/>
      <c r="F386" s="84"/>
      <c r="G386" s="84"/>
      <c r="H386" s="43"/>
      <c r="I386" s="83"/>
      <c r="J386" s="85"/>
      <c r="K386" s="86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18" customHeight="1">
      <c r="A387" s="81"/>
      <c r="B387" s="43"/>
      <c r="C387" s="82"/>
      <c r="D387" s="43"/>
      <c r="E387" s="83"/>
      <c r="F387" s="84"/>
      <c r="G387" s="84"/>
      <c r="H387" s="43"/>
      <c r="I387" s="83"/>
      <c r="J387" s="85"/>
      <c r="K387" s="86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18" customHeight="1">
      <c r="A388" s="81"/>
      <c r="B388" s="43"/>
      <c r="C388" s="82"/>
      <c r="D388" s="43"/>
      <c r="E388" s="83"/>
      <c r="F388" s="84"/>
      <c r="G388" s="84"/>
      <c r="H388" s="43"/>
      <c r="I388" s="83"/>
      <c r="J388" s="85"/>
      <c r="K388" s="86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18" customHeight="1">
      <c r="A389" s="81"/>
      <c r="B389" s="43"/>
      <c r="C389" s="82"/>
      <c r="D389" s="43"/>
      <c r="E389" s="83"/>
      <c r="F389" s="84"/>
      <c r="G389" s="84"/>
      <c r="H389" s="43"/>
      <c r="I389" s="83"/>
      <c r="J389" s="85"/>
      <c r="K389" s="86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18" customHeight="1">
      <c r="A390" s="81"/>
      <c r="B390" s="43"/>
      <c r="C390" s="82"/>
      <c r="D390" s="43"/>
      <c r="E390" s="83"/>
      <c r="F390" s="84"/>
      <c r="G390" s="84"/>
      <c r="H390" s="43"/>
      <c r="I390" s="83"/>
      <c r="J390" s="85"/>
      <c r="K390" s="86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18" customHeight="1">
      <c r="A391" s="81"/>
      <c r="B391" s="43"/>
      <c r="C391" s="82"/>
      <c r="D391" s="43"/>
      <c r="E391" s="83"/>
      <c r="F391" s="84"/>
      <c r="G391" s="84"/>
      <c r="H391" s="43"/>
      <c r="I391" s="83"/>
      <c r="J391" s="85"/>
      <c r="K391" s="86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18" customHeight="1">
      <c r="A392" s="81"/>
      <c r="B392" s="43"/>
      <c r="C392" s="82"/>
      <c r="D392" s="43"/>
      <c r="E392" s="83"/>
      <c r="F392" s="84"/>
      <c r="G392" s="84"/>
      <c r="H392" s="43"/>
      <c r="I392" s="83"/>
      <c r="J392" s="85"/>
      <c r="K392" s="86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18" customHeight="1">
      <c r="A393" s="81"/>
      <c r="B393" s="43"/>
      <c r="C393" s="82"/>
      <c r="D393" s="43"/>
      <c r="E393" s="83"/>
      <c r="F393" s="84"/>
      <c r="G393" s="84"/>
      <c r="H393" s="43"/>
      <c r="I393" s="83"/>
      <c r="J393" s="85"/>
      <c r="K393" s="86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18" customHeight="1">
      <c r="A394" s="81"/>
      <c r="B394" s="43"/>
      <c r="C394" s="82"/>
      <c r="D394" s="43"/>
      <c r="E394" s="83"/>
      <c r="F394" s="84"/>
      <c r="G394" s="84"/>
      <c r="H394" s="43"/>
      <c r="I394" s="83"/>
      <c r="J394" s="85"/>
      <c r="K394" s="86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18" customHeight="1">
      <c r="A395" s="81"/>
      <c r="B395" s="43"/>
      <c r="C395" s="82"/>
      <c r="D395" s="43"/>
      <c r="E395" s="83"/>
      <c r="F395" s="84"/>
      <c r="G395" s="84"/>
      <c r="H395" s="43"/>
      <c r="I395" s="83"/>
      <c r="J395" s="85"/>
      <c r="K395" s="86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18" customHeight="1">
      <c r="A396" s="81"/>
      <c r="B396" s="43"/>
      <c r="C396" s="82"/>
      <c r="D396" s="43"/>
      <c r="E396" s="83"/>
      <c r="F396" s="84"/>
      <c r="G396" s="84"/>
      <c r="H396" s="43"/>
      <c r="I396" s="83"/>
      <c r="J396" s="85"/>
      <c r="K396" s="86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18" customHeight="1">
      <c r="A397" s="81"/>
      <c r="B397" s="43"/>
      <c r="C397" s="82"/>
      <c r="D397" s="43"/>
      <c r="E397" s="83"/>
      <c r="F397" s="84"/>
      <c r="G397" s="84"/>
      <c r="H397" s="43"/>
      <c r="I397" s="83"/>
      <c r="J397" s="85"/>
      <c r="K397" s="86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18" customHeight="1">
      <c r="A398" s="81"/>
      <c r="B398" s="43"/>
      <c r="C398" s="82"/>
      <c r="D398" s="43"/>
      <c r="E398" s="83"/>
      <c r="F398" s="84"/>
      <c r="G398" s="84"/>
      <c r="H398" s="43"/>
      <c r="I398" s="83"/>
      <c r="J398" s="85"/>
      <c r="K398" s="86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18" customHeight="1">
      <c r="A399" s="81"/>
      <c r="B399" s="43"/>
      <c r="C399" s="82"/>
      <c r="D399" s="43"/>
      <c r="E399" s="83"/>
      <c r="F399" s="84"/>
      <c r="G399" s="84"/>
      <c r="H399" s="43"/>
      <c r="I399" s="83"/>
      <c r="J399" s="85"/>
      <c r="K399" s="86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18" customHeight="1">
      <c r="A400" s="81"/>
      <c r="B400" s="43"/>
      <c r="C400" s="82"/>
      <c r="D400" s="43"/>
      <c r="E400" s="83"/>
      <c r="F400" s="84"/>
      <c r="G400" s="84"/>
      <c r="H400" s="43"/>
      <c r="I400" s="83"/>
      <c r="J400" s="85"/>
      <c r="K400" s="86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18" customHeight="1">
      <c r="A401" s="81"/>
      <c r="B401" s="43"/>
      <c r="C401" s="82"/>
      <c r="D401" s="43"/>
      <c r="E401" s="83"/>
      <c r="F401" s="84"/>
      <c r="G401" s="84"/>
      <c r="H401" s="43"/>
      <c r="I401" s="83"/>
      <c r="J401" s="85"/>
      <c r="K401" s="86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18" customHeight="1">
      <c r="A402" s="81"/>
      <c r="B402" s="43"/>
      <c r="C402" s="82"/>
      <c r="D402" s="43"/>
      <c r="E402" s="83"/>
      <c r="F402" s="84"/>
      <c r="G402" s="84"/>
      <c r="H402" s="43"/>
      <c r="I402" s="83"/>
      <c r="J402" s="85"/>
      <c r="K402" s="86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18" customHeight="1">
      <c r="A403" s="81"/>
      <c r="B403" s="43"/>
      <c r="C403" s="82"/>
      <c r="D403" s="43"/>
      <c r="E403" s="83"/>
      <c r="F403" s="84"/>
      <c r="G403" s="84"/>
      <c r="H403" s="43"/>
      <c r="I403" s="83"/>
      <c r="J403" s="85"/>
      <c r="K403" s="86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18" customHeight="1">
      <c r="A404" s="81"/>
      <c r="B404" s="43"/>
      <c r="C404" s="82"/>
      <c r="D404" s="43"/>
      <c r="E404" s="83"/>
      <c r="F404" s="84"/>
      <c r="G404" s="84"/>
      <c r="H404" s="43"/>
      <c r="I404" s="83"/>
      <c r="J404" s="85"/>
      <c r="K404" s="86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18" customHeight="1">
      <c r="A405" s="81"/>
      <c r="B405" s="43"/>
      <c r="C405" s="82"/>
      <c r="D405" s="43"/>
      <c r="E405" s="83"/>
      <c r="F405" s="84"/>
      <c r="G405" s="84"/>
      <c r="H405" s="43"/>
      <c r="I405" s="83"/>
      <c r="J405" s="85"/>
      <c r="K405" s="86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18" customHeight="1">
      <c r="A406" s="81"/>
      <c r="B406" s="43"/>
      <c r="C406" s="82"/>
      <c r="D406" s="43"/>
      <c r="E406" s="83"/>
      <c r="F406" s="84"/>
      <c r="G406" s="84"/>
      <c r="H406" s="43"/>
      <c r="I406" s="83"/>
      <c r="J406" s="85"/>
      <c r="K406" s="86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18" customHeight="1">
      <c r="A407" s="81"/>
      <c r="B407" s="43"/>
      <c r="C407" s="82"/>
      <c r="D407" s="43"/>
      <c r="E407" s="83"/>
      <c r="F407" s="84"/>
      <c r="G407" s="84"/>
      <c r="H407" s="43"/>
      <c r="I407" s="83"/>
      <c r="J407" s="85"/>
      <c r="K407" s="86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18" customHeight="1">
      <c r="A408" s="81"/>
      <c r="B408" s="43"/>
      <c r="C408" s="82"/>
      <c r="D408" s="43"/>
      <c r="E408" s="83"/>
      <c r="F408" s="84"/>
      <c r="G408" s="84"/>
      <c r="H408" s="43"/>
      <c r="I408" s="83"/>
      <c r="J408" s="85"/>
      <c r="K408" s="86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18" customHeight="1">
      <c r="A409" s="81"/>
      <c r="B409" s="43"/>
      <c r="C409" s="82"/>
      <c r="D409" s="43"/>
      <c r="E409" s="83"/>
      <c r="F409" s="84"/>
      <c r="G409" s="84"/>
      <c r="H409" s="43"/>
      <c r="I409" s="83"/>
      <c r="J409" s="85"/>
      <c r="K409" s="86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18" customHeight="1">
      <c r="A410" s="81"/>
      <c r="B410" s="43"/>
      <c r="C410" s="82"/>
      <c r="D410" s="43"/>
      <c r="E410" s="83"/>
      <c r="F410" s="84"/>
      <c r="G410" s="84"/>
      <c r="H410" s="43"/>
      <c r="I410" s="83"/>
      <c r="J410" s="85"/>
      <c r="K410" s="86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18" customHeight="1">
      <c r="A411" s="81"/>
      <c r="B411" s="43"/>
      <c r="C411" s="82"/>
      <c r="D411" s="43"/>
      <c r="E411" s="83"/>
      <c r="F411" s="84"/>
      <c r="G411" s="84"/>
      <c r="H411" s="43"/>
      <c r="I411" s="83"/>
      <c r="J411" s="85"/>
      <c r="K411" s="86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18" customHeight="1">
      <c r="A412" s="81"/>
      <c r="B412" s="43"/>
      <c r="C412" s="82"/>
      <c r="D412" s="43"/>
      <c r="E412" s="83"/>
      <c r="F412" s="84"/>
      <c r="G412" s="84"/>
      <c r="H412" s="43"/>
      <c r="I412" s="83"/>
      <c r="J412" s="85"/>
      <c r="K412" s="86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18" customHeight="1">
      <c r="A413" s="81"/>
      <c r="B413" s="43"/>
      <c r="C413" s="82"/>
      <c r="D413" s="43"/>
      <c r="E413" s="83"/>
      <c r="F413" s="84"/>
      <c r="G413" s="84"/>
      <c r="H413" s="43"/>
      <c r="I413" s="83"/>
      <c r="J413" s="85"/>
      <c r="K413" s="86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18" customHeight="1">
      <c r="A414" s="81"/>
      <c r="B414" s="43"/>
      <c r="C414" s="82"/>
      <c r="D414" s="43"/>
      <c r="E414" s="83"/>
      <c r="F414" s="84"/>
      <c r="G414" s="84"/>
      <c r="H414" s="43"/>
      <c r="I414" s="83"/>
      <c r="J414" s="85"/>
      <c r="K414" s="86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18" customHeight="1">
      <c r="A415" s="81"/>
      <c r="B415" s="43"/>
      <c r="C415" s="82"/>
      <c r="D415" s="43"/>
      <c r="E415" s="83"/>
      <c r="F415" s="84"/>
      <c r="G415" s="84"/>
      <c r="H415" s="43"/>
      <c r="I415" s="83"/>
      <c r="J415" s="85"/>
      <c r="K415" s="86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18" customHeight="1">
      <c r="A416" s="81"/>
      <c r="B416" s="43"/>
      <c r="C416" s="82"/>
      <c r="D416" s="43"/>
      <c r="E416" s="83"/>
      <c r="F416" s="84"/>
      <c r="G416" s="84"/>
      <c r="H416" s="43"/>
      <c r="I416" s="83"/>
      <c r="J416" s="85"/>
      <c r="K416" s="86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18" customHeight="1">
      <c r="A417" s="81"/>
      <c r="B417" s="43"/>
      <c r="C417" s="82"/>
      <c r="D417" s="43"/>
      <c r="E417" s="83"/>
      <c r="F417" s="84"/>
      <c r="G417" s="84"/>
      <c r="H417" s="43"/>
      <c r="I417" s="83"/>
      <c r="J417" s="85"/>
      <c r="K417" s="86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18" customHeight="1">
      <c r="A418" s="81"/>
      <c r="B418" s="43"/>
      <c r="C418" s="82"/>
      <c r="D418" s="43"/>
      <c r="E418" s="83"/>
      <c r="F418" s="84"/>
      <c r="G418" s="84"/>
      <c r="H418" s="43"/>
      <c r="I418" s="83"/>
      <c r="J418" s="85"/>
      <c r="K418" s="86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18" customHeight="1">
      <c r="A419" s="81"/>
      <c r="B419" s="43"/>
      <c r="C419" s="82"/>
      <c r="D419" s="43"/>
      <c r="E419" s="83"/>
      <c r="F419" s="84"/>
      <c r="G419" s="84"/>
      <c r="H419" s="43"/>
      <c r="I419" s="83"/>
      <c r="J419" s="85"/>
      <c r="K419" s="86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18" customHeight="1">
      <c r="A420" s="81"/>
      <c r="B420" s="43"/>
      <c r="C420" s="82"/>
      <c r="D420" s="43"/>
      <c r="E420" s="83"/>
      <c r="F420" s="84"/>
      <c r="G420" s="84"/>
      <c r="H420" s="43"/>
      <c r="I420" s="83"/>
      <c r="J420" s="85"/>
      <c r="K420" s="86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18" customHeight="1">
      <c r="A421" s="81"/>
      <c r="B421" s="43"/>
      <c r="C421" s="82"/>
      <c r="D421" s="43"/>
      <c r="E421" s="83"/>
      <c r="F421" s="84"/>
      <c r="G421" s="84"/>
      <c r="H421" s="43"/>
      <c r="I421" s="83"/>
      <c r="J421" s="85"/>
      <c r="K421" s="86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18" customHeight="1">
      <c r="A422" s="81"/>
      <c r="B422" s="43"/>
      <c r="C422" s="82"/>
      <c r="D422" s="43"/>
      <c r="E422" s="83"/>
      <c r="F422" s="84"/>
      <c r="G422" s="84"/>
      <c r="H422" s="43"/>
      <c r="I422" s="83"/>
      <c r="J422" s="85"/>
      <c r="K422" s="86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18" customHeight="1">
      <c r="A423" s="81"/>
      <c r="B423" s="43"/>
      <c r="C423" s="82"/>
      <c r="D423" s="43"/>
      <c r="E423" s="83"/>
      <c r="F423" s="84"/>
      <c r="G423" s="84"/>
      <c r="H423" s="43"/>
      <c r="I423" s="83"/>
      <c r="J423" s="85"/>
      <c r="K423" s="86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18" customHeight="1">
      <c r="A424" s="81"/>
      <c r="B424" s="43"/>
      <c r="C424" s="82"/>
      <c r="D424" s="43"/>
      <c r="E424" s="83"/>
      <c r="F424" s="84"/>
      <c r="G424" s="84"/>
      <c r="H424" s="43"/>
      <c r="I424" s="83"/>
      <c r="J424" s="85"/>
      <c r="K424" s="86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18" customHeight="1">
      <c r="A425" s="81"/>
      <c r="B425" s="43"/>
      <c r="C425" s="82"/>
      <c r="D425" s="43"/>
      <c r="E425" s="83"/>
      <c r="F425" s="84"/>
      <c r="G425" s="84"/>
      <c r="H425" s="43"/>
      <c r="I425" s="83"/>
      <c r="J425" s="85"/>
      <c r="K425" s="86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18" customHeight="1">
      <c r="A426" s="81"/>
      <c r="B426" s="43"/>
      <c r="C426" s="82"/>
      <c r="D426" s="43"/>
      <c r="E426" s="83"/>
      <c r="F426" s="84"/>
      <c r="G426" s="84"/>
      <c r="H426" s="43"/>
      <c r="I426" s="83"/>
      <c r="J426" s="85"/>
      <c r="K426" s="86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18" customHeight="1">
      <c r="A427" s="81"/>
      <c r="B427" s="43"/>
      <c r="C427" s="82"/>
      <c r="D427" s="43"/>
      <c r="E427" s="83"/>
      <c r="F427" s="84"/>
      <c r="G427" s="84"/>
      <c r="H427" s="43"/>
      <c r="I427" s="83"/>
      <c r="J427" s="85"/>
      <c r="K427" s="86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18" customHeight="1">
      <c r="A428" s="81"/>
      <c r="B428" s="43"/>
      <c r="C428" s="82"/>
      <c r="D428" s="43"/>
      <c r="E428" s="83"/>
      <c r="F428" s="84"/>
      <c r="G428" s="84"/>
      <c r="H428" s="43"/>
      <c r="I428" s="83"/>
      <c r="J428" s="85"/>
      <c r="K428" s="86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18" customHeight="1">
      <c r="A429" s="81"/>
      <c r="B429" s="43"/>
      <c r="C429" s="82"/>
      <c r="D429" s="43"/>
      <c r="E429" s="83"/>
      <c r="F429" s="84"/>
      <c r="G429" s="84"/>
      <c r="H429" s="43"/>
      <c r="I429" s="83"/>
      <c r="J429" s="85"/>
      <c r="K429" s="86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18" customHeight="1">
      <c r="A430" s="81"/>
      <c r="B430" s="43"/>
      <c r="C430" s="82"/>
      <c r="D430" s="43"/>
      <c r="E430" s="83"/>
      <c r="F430" s="84"/>
      <c r="G430" s="84"/>
      <c r="H430" s="43"/>
      <c r="I430" s="83"/>
      <c r="J430" s="85"/>
      <c r="K430" s="86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18" customHeight="1">
      <c r="A431" s="81"/>
      <c r="B431" s="43"/>
      <c r="C431" s="82"/>
      <c r="D431" s="43"/>
      <c r="E431" s="83"/>
      <c r="F431" s="84"/>
      <c r="G431" s="84"/>
      <c r="H431" s="43"/>
      <c r="I431" s="83"/>
      <c r="J431" s="85"/>
      <c r="K431" s="86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18" customHeight="1">
      <c r="A432" s="81"/>
      <c r="B432" s="43"/>
      <c r="C432" s="82"/>
      <c r="D432" s="43"/>
      <c r="E432" s="83"/>
      <c r="F432" s="84"/>
      <c r="G432" s="84"/>
      <c r="H432" s="43"/>
      <c r="I432" s="83"/>
      <c r="J432" s="85"/>
      <c r="K432" s="86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18" customHeight="1">
      <c r="A433" s="81"/>
      <c r="B433" s="43"/>
      <c r="C433" s="82"/>
      <c r="D433" s="43"/>
      <c r="E433" s="83"/>
      <c r="F433" s="84"/>
      <c r="G433" s="84"/>
      <c r="H433" s="43"/>
      <c r="I433" s="83"/>
      <c r="J433" s="85"/>
      <c r="K433" s="86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18" customHeight="1">
      <c r="A434" s="81"/>
      <c r="B434" s="43"/>
      <c r="C434" s="82"/>
      <c r="D434" s="43"/>
      <c r="E434" s="83"/>
      <c r="F434" s="84"/>
      <c r="G434" s="84"/>
      <c r="H434" s="43"/>
      <c r="I434" s="83"/>
      <c r="J434" s="85"/>
      <c r="K434" s="86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18" customHeight="1">
      <c r="A435" s="81"/>
      <c r="B435" s="43"/>
      <c r="C435" s="82"/>
      <c r="D435" s="43"/>
      <c r="E435" s="83"/>
      <c r="F435" s="84"/>
      <c r="G435" s="84"/>
      <c r="H435" s="43"/>
      <c r="I435" s="83"/>
      <c r="J435" s="85"/>
      <c r="K435" s="86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18" customHeight="1">
      <c r="A436" s="81"/>
      <c r="B436" s="43"/>
      <c r="C436" s="82"/>
      <c r="D436" s="43"/>
      <c r="E436" s="83"/>
      <c r="F436" s="84"/>
      <c r="G436" s="84"/>
      <c r="H436" s="43"/>
      <c r="I436" s="83"/>
      <c r="J436" s="85"/>
      <c r="K436" s="86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18" customHeight="1">
      <c r="A437" s="81"/>
      <c r="B437" s="43"/>
      <c r="C437" s="82"/>
      <c r="D437" s="43"/>
      <c r="E437" s="83"/>
      <c r="F437" s="84"/>
      <c r="G437" s="84"/>
      <c r="H437" s="43"/>
      <c r="I437" s="83"/>
      <c r="J437" s="85"/>
      <c r="K437" s="86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18" customHeight="1">
      <c r="A438" s="81"/>
      <c r="B438" s="43"/>
      <c r="C438" s="82"/>
      <c r="D438" s="43"/>
      <c r="E438" s="83"/>
      <c r="F438" s="84"/>
      <c r="G438" s="84"/>
      <c r="H438" s="43"/>
      <c r="I438" s="83"/>
      <c r="J438" s="85"/>
      <c r="K438" s="86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18" customHeight="1">
      <c r="A439" s="81"/>
      <c r="B439" s="43"/>
      <c r="C439" s="82"/>
      <c r="D439" s="43"/>
      <c r="E439" s="83"/>
      <c r="F439" s="84"/>
      <c r="G439" s="84"/>
      <c r="H439" s="43"/>
      <c r="I439" s="83"/>
      <c r="J439" s="85"/>
      <c r="K439" s="86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18" customHeight="1">
      <c r="A440" s="81"/>
      <c r="B440" s="43"/>
      <c r="C440" s="82"/>
      <c r="D440" s="43"/>
      <c r="E440" s="83"/>
      <c r="F440" s="84"/>
      <c r="G440" s="84"/>
      <c r="H440" s="43"/>
      <c r="I440" s="83"/>
      <c r="J440" s="85"/>
      <c r="K440" s="86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18" customHeight="1">
      <c r="A441" s="81"/>
      <c r="B441" s="43"/>
      <c r="C441" s="82"/>
      <c r="D441" s="43"/>
      <c r="E441" s="83"/>
      <c r="F441" s="84"/>
      <c r="G441" s="84"/>
      <c r="H441" s="43"/>
      <c r="I441" s="83"/>
      <c r="J441" s="85"/>
      <c r="K441" s="86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18" customHeight="1">
      <c r="A442" s="81"/>
      <c r="B442" s="43"/>
      <c r="C442" s="82"/>
      <c r="D442" s="43"/>
      <c r="E442" s="83"/>
      <c r="F442" s="84"/>
      <c r="G442" s="84"/>
      <c r="H442" s="43"/>
      <c r="I442" s="83"/>
      <c r="J442" s="85"/>
      <c r="K442" s="86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18" customHeight="1">
      <c r="A443" s="81"/>
      <c r="B443" s="43"/>
      <c r="C443" s="82"/>
      <c r="D443" s="43"/>
      <c r="E443" s="83"/>
      <c r="F443" s="84"/>
      <c r="G443" s="84"/>
      <c r="H443" s="43"/>
      <c r="I443" s="83"/>
      <c r="J443" s="85"/>
      <c r="K443" s="86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18" customHeight="1">
      <c r="A444" s="81"/>
      <c r="B444" s="43"/>
      <c r="C444" s="82"/>
      <c r="D444" s="43"/>
      <c r="E444" s="83"/>
      <c r="F444" s="84"/>
      <c r="G444" s="84"/>
      <c r="H444" s="43"/>
      <c r="I444" s="83"/>
      <c r="J444" s="85"/>
      <c r="K444" s="86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18" customHeight="1">
      <c r="A445" s="81"/>
      <c r="B445" s="43"/>
      <c r="C445" s="82"/>
      <c r="D445" s="43"/>
      <c r="E445" s="83"/>
      <c r="F445" s="84"/>
      <c r="G445" s="84"/>
      <c r="H445" s="43"/>
      <c r="I445" s="83"/>
      <c r="J445" s="85"/>
      <c r="K445" s="86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18" customHeight="1">
      <c r="A446" s="81"/>
      <c r="B446" s="43"/>
      <c r="C446" s="82"/>
      <c r="D446" s="43"/>
      <c r="E446" s="83"/>
      <c r="F446" s="84"/>
      <c r="G446" s="84"/>
      <c r="H446" s="43"/>
      <c r="I446" s="83"/>
      <c r="J446" s="85"/>
      <c r="K446" s="86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18" customHeight="1">
      <c r="A447" s="81"/>
      <c r="B447" s="43"/>
      <c r="C447" s="82"/>
      <c r="D447" s="43"/>
      <c r="E447" s="83"/>
      <c r="F447" s="84"/>
      <c r="G447" s="84"/>
      <c r="H447" s="43"/>
      <c r="I447" s="83"/>
      <c r="J447" s="85"/>
      <c r="K447" s="86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18" customHeight="1">
      <c r="A448" s="81"/>
      <c r="B448" s="43"/>
      <c r="C448" s="82"/>
      <c r="D448" s="43"/>
      <c r="E448" s="83"/>
      <c r="F448" s="84"/>
      <c r="G448" s="84"/>
      <c r="H448" s="43"/>
      <c r="I448" s="83"/>
      <c r="J448" s="85"/>
      <c r="K448" s="86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18" customHeight="1">
      <c r="A449" s="81"/>
      <c r="B449" s="43"/>
      <c r="C449" s="82"/>
      <c r="D449" s="43"/>
      <c r="E449" s="83"/>
      <c r="F449" s="84"/>
      <c r="G449" s="84"/>
      <c r="H449" s="43"/>
      <c r="I449" s="83"/>
      <c r="J449" s="85"/>
      <c r="K449" s="86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18" customHeight="1">
      <c r="A450" s="81"/>
      <c r="B450" s="43"/>
      <c r="C450" s="82"/>
      <c r="D450" s="43"/>
      <c r="E450" s="83"/>
      <c r="F450" s="84"/>
      <c r="G450" s="84"/>
      <c r="H450" s="43"/>
      <c r="I450" s="83"/>
      <c r="J450" s="85"/>
      <c r="K450" s="86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18" customHeight="1">
      <c r="A451" s="81"/>
      <c r="B451" s="43"/>
      <c r="C451" s="82"/>
      <c r="D451" s="43"/>
      <c r="E451" s="83"/>
      <c r="F451" s="84"/>
      <c r="G451" s="84"/>
      <c r="H451" s="43"/>
      <c r="I451" s="83"/>
      <c r="J451" s="85"/>
      <c r="K451" s="86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18" customHeight="1">
      <c r="A452" s="81"/>
      <c r="B452" s="43"/>
      <c r="C452" s="82"/>
      <c r="D452" s="43"/>
      <c r="E452" s="83"/>
      <c r="F452" s="84"/>
      <c r="G452" s="84"/>
      <c r="H452" s="43"/>
      <c r="I452" s="83"/>
      <c r="J452" s="85"/>
      <c r="K452" s="86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18" customHeight="1">
      <c r="A453" s="81"/>
      <c r="B453" s="43"/>
      <c r="C453" s="82"/>
      <c r="D453" s="43"/>
      <c r="E453" s="83"/>
      <c r="F453" s="84"/>
      <c r="G453" s="84"/>
      <c r="H453" s="43"/>
      <c r="I453" s="83"/>
      <c r="J453" s="85"/>
      <c r="K453" s="86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18" customHeight="1">
      <c r="A454" s="81"/>
      <c r="B454" s="43"/>
      <c r="C454" s="82"/>
      <c r="D454" s="43"/>
      <c r="E454" s="83"/>
      <c r="F454" s="84"/>
      <c r="G454" s="84"/>
      <c r="H454" s="43"/>
      <c r="I454" s="83"/>
      <c r="J454" s="85"/>
      <c r="K454" s="86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18" customHeight="1">
      <c r="A455" s="81"/>
      <c r="B455" s="43"/>
      <c r="C455" s="82"/>
      <c r="D455" s="43"/>
      <c r="E455" s="83"/>
      <c r="F455" s="84"/>
      <c r="G455" s="84"/>
      <c r="H455" s="43"/>
      <c r="I455" s="83"/>
      <c r="J455" s="85"/>
      <c r="K455" s="86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18" customHeight="1">
      <c r="A456" s="81"/>
      <c r="B456" s="43"/>
      <c r="C456" s="82"/>
      <c r="D456" s="43"/>
      <c r="E456" s="83"/>
      <c r="F456" s="84"/>
      <c r="G456" s="84"/>
      <c r="H456" s="43"/>
      <c r="I456" s="83"/>
      <c r="J456" s="85"/>
      <c r="K456" s="86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18" customHeight="1">
      <c r="A457" s="81"/>
      <c r="B457" s="43"/>
      <c r="C457" s="82"/>
      <c r="D457" s="43"/>
      <c r="E457" s="83"/>
      <c r="F457" s="84"/>
      <c r="G457" s="84"/>
      <c r="H457" s="43"/>
      <c r="I457" s="83"/>
      <c r="J457" s="85"/>
      <c r="K457" s="86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18" customHeight="1">
      <c r="A458" s="81"/>
      <c r="B458" s="43"/>
      <c r="C458" s="82"/>
      <c r="D458" s="43"/>
      <c r="E458" s="83"/>
      <c r="F458" s="84"/>
      <c r="G458" s="84"/>
      <c r="H458" s="43"/>
      <c r="I458" s="83"/>
      <c r="J458" s="85"/>
      <c r="K458" s="86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18" customHeight="1">
      <c r="A459" s="81"/>
      <c r="B459" s="43"/>
      <c r="C459" s="82"/>
      <c r="D459" s="43"/>
      <c r="E459" s="83"/>
      <c r="F459" s="84"/>
      <c r="G459" s="84"/>
      <c r="H459" s="43"/>
      <c r="I459" s="83"/>
      <c r="J459" s="85"/>
      <c r="K459" s="86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18" customHeight="1">
      <c r="A460" s="81"/>
      <c r="B460" s="43"/>
      <c r="C460" s="82"/>
      <c r="D460" s="43"/>
      <c r="E460" s="83"/>
      <c r="F460" s="84"/>
      <c r="G460" s="84"/>
      <c r="H460" s="43"/>
      <c r="I460" s="83"/>
      <c r="J460" s="85"/>
      <c r="K460" s="86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18" customHeight="1">
      <c r="A461" s="81"/>
      <c r="B461" s="43"/>
      <c r="C461" s="82"/>
      <c r="D461" s="43"/>
      <c r="E461" s="83"/>
      <c r="F461" s="84"/>
      <c r="G461" s="84"/>
      <c r="H461" s="43"/>
      <c r="I461" s="83"/>
      <c r="J461" s="85"/>
      <c r="K461" s="86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18" customHeight="1">
      <c r="A462" s="81"/>
      <c r="B462" s="43"/>
      <c r="C462" s="82"/>
      <c r="D462" s="43"/>
      <c r="E462" s="83"/>
      <c r="F462" s="84"/>
      <c r="G462" s="84"/>
      <c r="H462" s="43"/>
      <c r="I462" s="83"/>
      <c r="J462" s="85"/>
      <c r="K462" s="86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18" customHeight="1">
      <c r="A463" s="81"/>
      <c r="B463" s="43"/>
      <c r="C463" s="82"/>
      <c r="D463" s="43"/>
      <c r="E463" s="83"/>
      <c r="F463" s="84"/>
      <c r="G463" s="84"/>
      <c r="H463" s="43"/>
      <c r="I463" s="83"/>
      <c r="J463" s="85"/>
      <c r="K463" s="86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18" customHeight="1">
      <c r="A464" s="81"/>
      <c r="B464" s="43"/>
      <c r="C464" s="82"/>
      <c r="D464" s="43"/>
      <c r="E464" s="83"/>
      <c r="F464" s="84"/>
      <c r="G464" s="84"/>
      <c r="H464" s="43"/>
      <c r="I464" s="83"/>
      <c r="J464" s="85"/>
      <c r="K464" s="86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18" customHeight="1">
      <c r="A465" s="81"/>
      <c r="B465" s="43"/>
      <c r="C465" s="82"/>
      <c r="D465" s="43"/>
      <c r="E465" s="83"/>
      <c r="F465" s="84"/>
      <c r="G465" s="84"/>
      <c r="H465" s="43"/>
      <c r="I465" s="83"/>
      <c r="J465" s="85"/>
      <c r="K465" s="86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18" customHeight="1">
      <c r="A466" s="81"/>
      <c r="B466" s="43"/>
      <c r="C466" s="82"/>
      <c r="D466" s="43"/>
      <c r="E466" s="83"/>
      <c r="F466" s="84"/>
      <c r="G466" s="84"/>
      <c r="H466" s="43"/>
      <c r="I466" s="83"/>
      <c r="J466" s="85"/>
      <c r="K466" s="86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18" customHeight="1">
      <c r="A467" s="81"/>
      <c r="B467" s="43"/>
      <c r="C467" s="82"/>
      <c r="D467" s="43"/>
      <c r="E467" s="83"/>
      <c r="F467" s="84"/>
      <c r="G467" s="84"/>
      <c r="H467" s="43"/>
      <c r="I467" s="83"/>
      <c r="J467" s="85"/>
      <c r="K467" s="86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18" customHeight="1">
      <c r="A468" s="81"/>
      <c r="B468" s="43"/>
      <c r="C468" s="82"/>
      <c r="D468" s="43"/>
      <c r="E468" s="83"/>
      <c r="F468" s="84"/>
      <c r="G468" s="84"/>
      <c r="H468" s="43"/>
      <c r="I468" s="83"/>
      <c r="J468" s="85"/>
      <c r="K468" s="86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18" customHeight="1">
      <c r="A469" s="81"/>
      <c r="B469" s="43"/>
      <c r="C469" s="82"/>
      <c r="D469" s="43"/>
      <c r="E469" s="83"/>
      <c r="F469" s="84"/>
      <c r="G469" s="84"/>
      <c r="H469" s="43"/>
      <c r="I469" s="83"/>
      <c r="J469" s="85"/>
      <c r="K469" s="86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18" customHeight="1">
      <c r="A470" s="81"/>
      <c r="B470" s="43"/>
      <c r="C470" s="82"/>
      <c r="D470" s="43"/>
      <c r="E470" s="83"/>
      <c r="F470" s="84"/>
      <c r="G470" s="84"/>
      <c r="H470" s="43"/>
      <c r="I470" s="83"/>
      <c r="J470" s="85"/>
      <c r="K470" s="86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18" customHeight="1">
      <c r="A471" s="81"/>
      <c r="B471" s="43"/>
      <c r="C471" s="82"/>
      <c r="D471" s="43"/>
      <c r="E471" s="83"/>
      <c r="F471" s="84"/>
      <c r="G471" s="84"/>
      <c r="H471" s="43"/>
      <c r="I471" s="83"/>
      <c r="J471" s="85"/>
      <c r="K471" s="86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18" customHeight="1">
      <c r="A472" s="81"/>
      <c r="B472" s="43"/>
      <c r="C472" s="82"/>
      <c r="D472" s="43"/>
      <c r="E472" s="83"/>
      <c r="F472" s="84"/>
      <c r="G472" s="84"/>
      <c r="H472" s="43"/>
      <c r="I472" s="83"/>
      <c r="J472" s="85"/>
      <c r="K472" s="86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18" customHeight="1">
      <c r="A473" s="81"/>
      <c r="B473" s="43"/>
      <c r="C473" s="82"/>
      <c r="D473" s="43"/>
      <c r="E473" s="83"/>
      <c r="F473" s="84"/>
      <c r="G473" s="84"/>
      <c r="H473" s="43"/>
      <c r="I473" s="83"/>
      <c r="J473" s="85"/>
      <c r="K473" s="86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18" customHeight="1">
      <c r="A474" s="81"/>
      <c r="B474" s="43"/>
      <c r="C474" s="82"/>
      <c r="D474" s="43"/>
      <c r="E474" s="83"/>
      <c r="F474" s="84"/>
      <c r="G474" s="84"/>
      <c r="H474" s="43"/>
      <c r="I474" s="83"/>
      <c r="J474" s="85"/>
      <c r="K474" s="86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18" customHeight="1">
      <c r="A475" s="81"/>
      <c r="B475" s="43"/>
      <c r="C475" s="82"/>
      <c r="D475" s="43"/>
      <c r="E475" s="83"/>
      <c r="F475" s="84"/>
      <c r="G475" s="84"/>
      <c r="H475" s="43"/>
      <c r="I475" s="83"/>
      <c r="J475" s="85"/>
      <c r="K475" s="86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18" customHeight="1">
      <c r="A476" s="81"/>
      <c r="B476" s="43"/>
      <c r="C476" s="82"/>
      <c r="D476" s="43"/>
      <c r="E476" s="83"/>
      <c r="F476" s="84"/>
      <c r="G476" s="84"/>
      <c r="H476" s="43"/>
      <c r="I476" s="83"/>
      <c r="J476" s="85"/>
      <c r="K476" s="86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18" customHeight="1">
      <c r="A477" s="81"/>
      <c r="B477" s="43"/>
      <c r="C477" s="82"/>
      <c r="D477" s="43"/>
      <c r="E477" s="83"/>
      <c r="F477" s="84"/>
      <c r="G477" s="84"/>
      <c r="H477" s="43"/>
      <c r="I477" s="83"/>
      <c r="J477" s="85"/>
      <c r="K477" s="86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18" customHeight="1">
      <c r="A478" s="81"/>
      <c r="B478" s="43"/>
      <c r="C478" s="82"/>
      <c r="D478" s="43"/>
      <c r="E478" s="83"/>
      <c r="F478" s="84"/>
      <c r="G478" s="84"/>
      <c r="H478" s="43"/>
      <c r="I478" s="83"/>
      <c r="J478" s="85"/>
      <c r="K478" s="86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18" customHeight="1">
      <c r="A479" s="81"/>
      <c r="B479" s="43"/>
      <c r="C479" s="82"/>
      <c r="D479" s="43"/>
      <c r="E479" s="83"/>
      <c r="F479" s="84"/>
      <c r="G479" s="84"/>
      <c r="H479" s="43"/>
      <c r="I479" s="83"/>
      <c r="J479" s="85"/>
      <c r="K479" s="86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18" customHeight="1">
      <c r="A480" s="81"/>
      <c r="B480" s="43"/>
      <c r="C480" s="82"/>
      <c r="D480" s="43"/>
      <c r="E480" s="83"/>
      <c r="F480" s="84"/>
      <c r="G480" s="84"/>
      <c r="H480" s="43"/>
      <c r="I480" s="83"/>
      <c r="J480" s="85"/>
      <c r="K480" s="86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18" customHeight="1">
      <c r="A481" s="81"/>
      <c r="B481" s="43"/>
      <c r="C481" s="82"/>
      <c r="D481" s="43"/>
      <c r="E481" s="83"/>
      <c r="F481" s="84"/>
      <c r="G481" s="84"/>
      <c r="H481" s="43"/>
      <c r="I481" s="83"/>
      <c r="J481" s="85"/>
      <c r="K481" s="86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18" customHeight="1">
      <c r="A482" s="81"/>
      <c r="B482" s="43"/>
      <c r="C482" s="82"/>
      <c r="D482" s="43"/>
      <c r="E482" s="83"/>
      <c r="F482" s="84"/>
      <c r="G482" s="84"/>
      <c r="H482" s="43"/>
      <c r="I482" s="83"/>
      <c r="J482" s="85"/>
      <c r="K482" s="86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18" customHeight="1">
      <c r="A483" s="81"/>
      <c r="B483" s="43"/>
      <c r="C483" s="82"/>
      <c r="D483" s="43"/>
      <c r="E483" s="83"/>
      <c r="F483" s="84"/>
      <c r="G483" s="84"/>
      <c r="H483" s="43"/>
      <c r="I483" s="83"/>
      <c r="J483" s="85"/>
      <c r="K483" s="86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18" customHeight="1">
      <c r="A484" s="81"/>
      <c r="B484" s="43"/>
      <c r="C484" s="82"/>
      <c r="D484" s="43"/>
      <c r="E484" s="83"/>
      <c r="F484" s="84"/>
      <c r="G484" s="84"/>
      <c r="H484" s="43"/>
      <c r="I484" s="83"/>
      <c r="J484" s="85"/>
      <c r="K484" s="86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18" customHeight="1">
      <c r="A485" s="81"/>
      <c r="B485" s="43"/>
      <c r="C485" s="82"/>
      <c r="D485" s="43"/>
      <c r="E485" s="83"/>
      <c r="F485" s="84"/>
      <c r="G485" s="84"/>
      <c r="H485" s="43"/>
      <c r="I485" s="83"/>
      <c r="J485" s="85"/>
      <c r="K485" s="86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18" customHeight="1">
      <c r="A486" s="81"/>
      <c r="B486" s="43"/>
      <c r="C486" s="82"/>
      <c r="D486" s="43"/>
      <c r="E486" s="83"/>
      <c r="F486" s="84"/>
      <c r="G486" s="84"/>
      <c r="H486" s="43"/>
      <c r="I486" s="83"/>
      <c r="J486" s="85"/>
      <c r="K486" s="86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18" customHeight="1">
      <c r="A487" s="81"/>
      <c r="B487" s="43"/>
      <c r="C487" s="82"/>
      <c r="D487" s="43"/>
      <c r="E487" s="83"/>
      <c r="F487" s="84"/>
      <c r="G487" s="84"/>
      <c r="H487" s="43"/>
      <c r="I487" s="83"/>
      <c r="J487" s="85"/>
      <c r="K487" s="86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18" customHeight="1">
      <c r="A488" s="81"/>
      <c r="B488" s="43"/>
      <c r="C488" s="82"/>
      <c r="D488" s="43"/>
      <c r="E488" s="83"/>
      <c r="F488" s="84"/>
      <c r="G488" s="84"/>
      <c r="H488" s="43"/>
      <c r="I488" s="83"/>
      <c r="J488" s="85"/>
      <c r="K488" s="86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18" customHeight="1">
      <c r="A489" s="81"/>
      <c r="B489" s="43"/>
      <c r="C489" s="82"/>
      <c r="D489" s="43"/>
      <c r="E489" s="83"/>
      <c r="F489" s="84"/>
      <c r="G489" s="84"/>
      <c r="H489" s="43"/>
      <c r="I489" s="83"/>
      <c r="J489" s="85"/>
      <c r="K489" s="86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18" customHeight="1">
      <c r="A490" s="81"/>
      <c r="B490" s="43"/>
      <c r="C490" s="82"/>
      <c r="D490" s="43"/>
      <c r="E490" s="83"/>
      <c r="F490" s="84"/>
      <c r="G490" s="84"/>
      <c r="H490" s="43"/>
      <c r="I490" s="83"/>
      <c r="J490" s="85"/>
      <c r="K490" s="86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18" customHeight="1">
      <c r="A491" s="81"/>
      <c r="B491" s="43"/>
      <c r="C491" s="82"/>
      <c r="D491" s="43"/>
      <c r="E491" s="83"/>
      <c r="F491" s="84"/>
      <c r="G491" s="84"/>
      <c r="H491" s="43"/>
      <c r="I491" s="83"/>
      <c r="J491" s="85"/>
      <c r="K491" s="86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18" customHeight="1">
      <c r="A492" s="81"/>
      <c r="B492" s="43"/>
      <c r="C492" s="82"/>
      <c r="D492" s="43"/>
      <c r="E492" s="83"/>
      <c r="F492" s="84"/>
      <c r="G492" s="84"/>
      <c r="H492" s="43"/>
      <c r="I492" s="83"/>
      <c r="J492" s="85"/>
      <c r="K492" s="86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18" customHeight="1">
      <c r="A493" s="81"/>
      <c r="B493" s="43"/>
      <c r="C493" s="82"/>
      <c r="D493" s="43"/>
      <c r="E493" s="83"/>
      <c r="F493" s="84"/>
      <c r="G493" s="84"/>
      <c r="H493" s="43"/>
      <c r="I493" s="83"/>
      <c r="J493" s="85"/>
      <c r="K493" s="86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18" customHeight="1">
      <c r="A494" s="81"/>
      <c r="B494" s="43"/>
      <c r="C494" s="82"/>
      <c r="D494" s="43"/>
      <c r="E494" s="83"/>
      <c r="F494" s="84"/>
      <c r="G494" s="84"/>
      <c r="H494" s="43"/>
      <c r="I494" s="83"/>
      <c r="J494" s="85"/>
      <c r="K494" s="86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18" customHeight="1">
      <c r="A495" s="81"/>
      <c r="B495" s="43"/>
      <c r="C495" s="82"/>
      <c r="D495" s="43"/>
      <c r="E495" s="83"/>
      <c r="F495" s="84"/>
      <c r="G495" s="84"/>
      <c r="H495" s="43"/>
      <c r="I495" s="83"/>
      <c r="J495" s="85"/>
      <c r="K495" s="86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18" customHeight="1">
      <c r="A496" s="81"/>
      <c r="B496" s="43"/>
      <c r="C496" s="82"/>
      <c r="D496" s="43"/>
      <c r="E496" s="83"/>
      <c r="F496" s="84"/>
      <c r="G496" s="84"/>
      <c r="H496" s="43"/>
      <c r="I496" s="83"/>
      <c r="J496" s="85"/>
      <c r="K496" s="86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18" customHeight="1">
      <c r="A497" s="81"/>
      <c r="B497" s="43"/>
      <c r="C497" s="82"/>
      <c r="D497" s="43"/>
      <c r="E497" s="83"/>
      <c r="F497" s="84"/>
      <c r="G497" s="84"/>
      <c r="H497" s="43"/>
      <c r="I497" s="83"/>
      <c r="J497" s="85"/>
      <c r="K497" s="86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18" customHeight="1">
      <c r="A498" s="81"/>
      <c r="B498" s="43"/>
      <c r="C498" s="82"/>
      <c r="D498" s="43"/>
      <c r="E498" s="83"/>
      <c r="F498" s="84"/>
      <c r="G498" s="84"/>
      <c r="H498" s="43"/>
      <c r="I498" s="83"/>
      <c r="J498" s="85"/>
      <c r="K498" s="86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18" customHeight="1">
      <c r="A499" s="81"/>
      <c r="B499" s="43"/>
      <c r="C499" s="82"/>
      <c r="D499" s="43"/>
      <c r="E499" s="83"/>
      <c r="F499" s="84"/>
      <c r="G499" s="84"/>
      <c r="H499" s="43"/>
      <c r="I499" s="83"/>
      <c r="J499" s="85"/>
      <c r="K499" s="86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18" customHeight="1">
      <c r="A500" s="81"/>
      <c r="B500" s="43"/>
      <c r="C500" s="82"/>
      <c r="D500" s="43"/>
      <c r="E500" s="83"/>
      <c r="F500" s="84"/>
      <c r="G500" s="84"/>
      <c r="H500" s="43"/>
      <c r="I500" s="83"/>
      <c r="J500" s="85"/>
      <c r="K500" s="86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18" customHeight="1">
      <c r="A501" s="81"/>
      <c r="B501" s="43"/>
      <c r="C501" s="82"/>
      <c r="D501" s="43"/>
      <c r="E501" s="83"/>
      <c r="F501" s="84"/>
      <c r="G501" s="84"/>
      <c r="H501" s="43"/>
      <c r="I501" s="83"/>
      <c r="J501" s="85"/>
      <c r="K501" s="86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18" customHeight="1">
      <c r="A502" s="81"/>
      <c r="B502" s="43"/>
      <c r="C502" s="82"/>
      <c r="D502" s="43"/>
      <c r="E502" s="83"/>
      <c r="F502" s="84"/>
      <c r="G502" s="84"/>
      <c r="H502" s="43"/>
      <c r="I502" s="83"/>
      <c r="J502" s="85"/>
      <c r="K502" s="86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18" customHeight="1">
      <c r="A503" s="81"/>
      <c r="B503" s="43"/>
      <c r="C503" s="82"/>
      <c r="D503" s="43"/>
      <c r="E503" s="83"/>
      <c r="F503" s="84"/>
      <c r="G503" s="84"/>
      <c r="H503" s="43"/>
      <c r="I503" s="83"/>
      <c r="J503" s="85"/>
      <c r="K503" s="86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18" customHeight="1">
      <c r="A504" s="81"/>
      <c r="B504" s="43"/>
      <c r="C504" s="82"/>
      <c r="D504" s="43"/>
      <c r="E504" s="83"/>
      <c r="F504" s="84"/>
      <c r="G504" s="84"/>
      <c r="H504" s="43"/>
      <c r="I504" s="83"/>
      <c r="J504" s="85"/>
      <c r="K504" s="86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18" customHeight="1">
      <c r="A505" s="81"/>
      <c r="B505" s="43"/>
      <c r="C505" s="82"/>
      <c r="D505" s="43"/>
      <c r="E505" s="83"/>
      <c r="F505" s="84"/>
      <c r="G505" s="84"/>
      <c r="H505" s="43"/>
      <c r="I505" s="83"/>
      <c r="J505" s="85"/>
      <c r="K505" s="86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18" customHeight="1">
      <c r="A506" s="81"/>
      <c r="B506" s="43"/>
      <c r="C506" s="82"/>
      <c r="D506" s="43"/>
      <c r="E506" s="83"/>
      <c r="F506" s="84"/>
      <c r="G506" s="84"/>
      <c r="H506" s="43"/>
      <c r="I506" s="83"/>
      <c r="J506" s="85"/>
      <c r="K506" s="86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18" customHeight="1">
      <c r="A507" s="81"/>
      <c r="B507" s="43"/>
      <c r="C507" s="82"/>
      <c r="D507" s="43"/>
      <c r="E507" s="83"/>
      <c r="F507" s="84"/>
      <c r="G507" s="84"/>
      <c r="H507" s="43"/>
      <c r="I507" s="83"/>
      <c r="J507" s="85"/>
      <c r="K507" s="86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18" customHeight="1">
      <c r="A508" s="81"/>
      <c r="B508" s="43"/>
      <c r="C508" s="82"/>
      <c r="D508" s="43"/>
      <c r="E508" s="83"/>
      <c r="F508" s="84"/>
      <c r="G508" s="84"/>
      <c r="H508" s="43"/>
      <c r="I508" s="83"/>
      <c r="J508" s="85"/>
      <c r="K508" s="86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18" customHeight="1">
      <c r="A509" s="81"/>
      <c r="B509" s="43"/>
      <c r="C509" s="82"/>
      <c r="D509" s="43"/>
      <c r="E509" s="83"/>
      <c r="F509" s="84"/>
      <c r="G509" s="84"/>
      <c r="H509" s="43"/>
      <c r="I509" s="83"/>
      <c r="J509" s="85"/>
      <c r="K509" s="86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18" customHeight="1">
      <c r="A510" s="81"/>
      <c r="B510" s="43"/>
      <c r="C510" s="82"/>
      <c r="D510" s="43"/>
      <c r="E510" s="83"/>
      <c r="F510" s="84"/>
      <c r="G510" s="84"/>
      <c r="H510" s="43"/>
      <c r="I510" s="83"/>
      <c r="J510" s="85"/>
      <c r="K510" s="86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18" customHeight="1">
      <c r="A511" s="81"/>
      <c r="B511" s="43"/>
      <c r="C511" s="82"/>
      <c r="D511" s="43"/>
      <c r="E511" s="83"/>
      <c r="F511" s="84"/>
      <c r="G511" s="84"/>
      <c r="H511" s="43"/>
      <c r="I511" s="83"/>
      <c r="J511" s="85"/>
      <c r="K511" s="86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18" customHeight="1">
      <c r="A512" s="81"/>
      <c r="B512" s="43"/>
      <c r="C512" s="82"/>
      <c r="D512" s="43"/>
      <c r="E512" s="83"/>
      <c r="F512" s="84"/>
      <c r="G512" s="84"/>
      <c r="H512" s="43"/>
      <c r="I512" s="83"/>
      <c r="J512" s="85"/>
      <c r="K512" s="86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18" customHeight="1">
      <c r="A513" s="81"/>
      <c r="B513" s="43"/>
      <c r="C513" s="82"/>
      <c r="D513" s="43"/>
      <c r="E513" s="83"/>
      <c r="F513" s="84"/>
      <c r="G513" s="84"/>
      <c r="H513" s="43"/>
      <c r="I513" s="83"/>
      <c r="J513" s="85"/>
      <c r="K513" s="86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18" customHeight="1">
      <c r="A514" s="81"/>
      <c r="B514" s="43"/>
      <c r="C514" s="82"/>
      <c r="D514" s="43"/>
      <c r="E514" s="83"/>
      <c r="F514" s="84"/>
      <c r="G514" s="84"/>
      <c r="H514" s="43"/>
      <c r="I514" s="83"/>
      <c r="J514" s="85"/>
      <c r="K514" s="86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18" customHeight="1">
      <c r="A515" s="81"/>
      <c r="B515" s="43"/>
      <c r="C515" s="82"/>
      <c r="D515" s="43"/>
      <c r="E515" s="83"/>
      <c r="F515" s="84"/>
      <c r="G515" s="84"/>
      <c r="H515" s="43"/>
      <c r="I515" s="83"/>
      <c r="J515" s="85"/>
      <c r="K515" s="86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18" customHeight="1">
      <c r="A516" s="81"/>
      <c r="B516" s="43"/>
      <c r="C516" s="82"/>
      <c r="D516" s="43"/>
      <c r="E516" s="83"/>
      <c r="F516" s="84"/>
      <c r="G516" s="84"/>
      <c r="H516" s="43"/>
      <c r="I516" s="83"/>
      <c r="J516" s="85"/>
      <c r="K516" s="86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18" customHeight="1">
      <c r="A517" s="81"/>
      <c r="B517" s="43"/>
      <c r="C517" s="82"/>
      <c r="D517" s="43"/>
      <c r="E517" s="83"/>
      <c r="F517" s="84"/>
      <c r="G517" s="84"/>
      <c r="H517" s="43"/>
      <c r="I517" s="83"/>
      <c r="J517" s="85"/>
      <c r="K517" s="86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18" customHeight="1">
      <c r="A518" s="81"/>
      <c r="B518" s="43"/>
      <c r="C518" s="82"/>
      <c r="D518" s="43"/>
      <c r="E518" s="83"/>
      <c r="F518" s="84"/>
      <c r="G518" s="84"/>
      <c r="H518" s="43"/>
      <c r="I518" s="83"/>
      <c r="J518" s="85"/>
      <c r="K518" s="86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18" customHeight="1">
      <c r="A519" s="81"/>
      <c r="B519" s="43"/>
      <c r="C519" s="82"/>
      <c r="D519" s="43"/>
      <c r="E519" s="83"/>
      <c r="F519" s="84"/>
      <c r="G519" s="84"/>
      <c r="H519" s="43"/>
      <c r="I519" s="83"/>
      <c r="J519" s="85"/>
      <c r="K519" s="86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18" customHeight="1">
      <c r="A520" s="81"/>
      <c r="B520" s="43"/>
      <c r="C520" s="82"/>
      <c r="D520" s="43"/>
      <c r="E520" s="83"/>
      <c r="F520" s="84"/>
      <c r="G520" s="84"/>
      <c r="H520" s="43"/>
      <c r="I520" s="83"/>
      <c r="J520" s="85"/>
      <c r="K520" s="86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18" customHeight="1">
      <c r="A521" s="81"/>
      <c r="B521" s="43"/>
      <c r="C521" s="82"/>
      <c r="D521" s="43"/>
      <c r="E521" s="83"/>
      <c r="F521" s="84"/>
      <c r="G521" s="84"/>
      <c r="H521" s="43"/>
      <c r="I521" s="83"/>
      <c r="J521" s="85"/>
      <c r="K521" s="86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18" customHeight="1">
      <c r="A522" s="81"/>
      <c r="B522" s="43"/>
      <c r="C522" s="82"/>
      <c r="D522" s="43"/>
      <c r="E522" s="83"/>
      <c r="F522" s="84"/>
      <c r="G522" s="84"/>
      <c r="H522" s="43"/>
      <c r="I522" s="83"/>
      <c r="J522" s="85"/>
      <c r="K522" s="86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18" customHeight="1">
      <c r="A523" s="81"/>
      <c r="B523" s="43"/>
      <c r="C523" s="82"/>
      <c r="D523" s="43"/>
      <c r="E523" s="83"/>
      <c r="F523" s="84"/>
      <c r="G523" s="84"/>
      <c r="H523" s="43"/>
      <c r="I523" s="83"/>
      <c r="J523" s="85"/>
      <c r="K523" s="86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18" customHeight="1">
      <c r="A524" s="81"/>
      <c r="B524" s="43"/>
      <c r="C524" s="82"/>
      <c r="D524" s="43"/>
      <c r="E524" s="83"/>
      <c r="F524" s="84"/>
      <c r="G524" s="84"/>
      <c r="H524" s="43"/>
      <c r="I524" s="83"/>
      <c r="J524" s="85"/>
      <c r="K524" s="86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18" customHeight="1">
      <c r="A525" s="81"/>
      <c r="B525" s="43"/>
      <c r="C525" s="82"/>
      <c r="D525" s="43"/>
      <c r="E525" s="83"/>
      <c r="F525" s="84"/>
      <c r="G525" s="84"/>
      <c r="H525" s="43"/>
      <c r="I525" s="83"/>
      <c r="J525" s="85"/>
      <c r="K525" s="86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18" customHeight="1">
      <c r="A526" s="81"/>
      <c r="B526" s="43"/>
      <c r="C526" s="82"/>
      <c r="D526" s="43"/>
      <c r="E526" s="83"/>
      <c r="F526" s="84"/>
      <c r="G526" s="84"/>
      <c r="H526" s="43"/>
      <c r="I526" s="83"/>
      <c r="J526" s="85"/>
      <c r="K526" s="86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18" customHeight="1">
      <c r="A527" s="81"/>
      <c r="B527" s="43"/>
      <c r="C527" s="82"/>
      <c r="D527" s="43"/>
      <c r="E527" s="83"/>
      <c r="F527" s="84"/>
      <c r="G527" s="84"/>
      <c r="H527" s="43"/>
      <c r="I527" s="83"/>
      <c r="J527" s="85"/>
      <c r="K527" s="86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18" customHeight="1">
      <c r="A528" s="81"/>
      <c r="B528" s="43"/>
      <c r="C528" s="82"/>
      <c r="D528" s="43"/>
      <c r="E528" s="83"/>
      <c r="F528" s="84"/>
      <c r="G528" s="84"/>
      <c r="H528" s="43"/>
      <c r="I528" s="83"/>
      <c r="J528" s="85"/>
      <c r="K528" s="86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18" customHeight="1">
      <c r="A529" s="81"/>
      <c r="B529" s="43"/>
      <c r="C529" s="82"/>
      <c r="D529" s="43"/>
      <c r="E529" s="83"/>
      <c r="F529" s="84"/>
      <c r="G529" s="84"/>
      <c r="H529" s="43"/>
      <c r="I529" s="83"/>
      <c r="J529" s="85"/>
      <c r="K529" s="86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18" customHeight="1">
      <c r="A530" s="81"/>
      <c r="B530" s="43"/>
      <c r="C530" s="82"/>
      <c r="D530" s="43"/>
      <c r="E530" s="83"/>
      <c r="F530" s="84"/>
      <c r="G530" s="84"/>
      <c r="H530" s="43"/>
      <c r="I530" s="83"/>
      <c r="J530" s="85"/>
      <c r="K530" s="86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18" customHeight="1">
      <c r="A531" s="81"/>
      <c r="B531" s="43"/>
      <c r="C531" s="82"/>
      <c r="D531" s="43"/>
      <c r="E531" s="83"/>
      <c r="F531" s="84"/>
      <c r="G531" s="84"/>
      <c r="H531" s="43"/>
      <c r="I531" s="83"/>
      <c r="J531" s="85"/>
      <c r="K531" s="86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18" customHeight="1">
      <c r="A532" s="81"/>
      <c r="B532" s="43"/>
      <c r="C532" s="82"/>
      <c r="D532" s="43"/>
      <c r="E532" s="83"/>
      <c r="F532" s="84"/>
      <c r="G532" s="84"/>
      <c r="H532" s="43"/>
      <c r="I532" s="83"/>
      <c r="J532" s="85"/>
      <c r="K532" s="86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18" customHeight="1">
      <c r="A533" s="81"/>
      <c r="B533" s="43"/>
      <c r="C533" s="82"/>
      <c r="D533" s="43"/>
      <c r="E533" s="83"/>
      <c r="F533" s="84"/>
      <c r="G533" s="84"/>
      <c r="H533" s="43"/>
      <c r="I533" s="83"/>
      <c r="J533" s="85"/>
      <c r="K533" s="86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18" customHeight="1">
      <c r="A534" s="81"/>
      <c r="B534" s="43"/>
      <c r="C534" s="82"/>
      <c r="D534" s="43"/>
      <c r="E534" s="83"/>
      <c r="F534" s="84"/>
      <c r="G534" s="84"/>
      <c r="H534" s="43"/>
      <c r="I534" s="83"/>
      <c r="J534" s="85"/>
      <c r="K534" s="86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18" customHeight="1">
      <c r="A535" s="81"/>
      <c r="B535" s="43"/>
      <c r="C535" s="82"/>
      <c r="D535" s="43"/>
      <c r="E535" s="83"/>
      <c r="F535" s="84"/>
      <c r="G535" s="84"/>
      <c r="H535" s="43"/>
      <c r="I535" s="83"/>
      <c r="J535" s="85"/>
      <c r="K535" s="86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18" customHeight="1">
      <c r="A536" s="81"/>
      <c r="B536" s="43"/>
      <c r="C536" s="82"/>
      <c r="D536" s="43"/>
      <c r="E536" s="83"/>
      <c r="F536" s="84"/>
      <c r="G536" s="84"/>
      <c r="H536" s="43"/>
      <c r="I536" s="83"/>
      <c r="J536" s="85"/>
      <c r="K536" s="86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18" customHeight="1">
      <c r="A537" s="81"/>
      <c r="B537" s="43"/>
      <c r="C537" s="82"/>
      <c r="D537" s="43"/>
      <c r="E537" s="83"/>
      <c r="F537" s="84"/>
      <c r="G537" s="84"/>
      <c r="H537" s="43"/>
      <c r="I537" s="83"/>
      <c r="J537" s="85"/>
      <c r="K537" s="86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18" customHeight="1">
      <c r="A538" s="81"/>
      <c r="B538" s="43"/>
      <c r="C538" s="82"/>
      <c r="D538" s="43"/>
      <c r="E538" s="83"/>
      <c r="F538" s="84"/>
      <c r="G538" s="84"/>
      <c r="H538" s="43"/>
      <c r="I538" s="83"/>
      <c r="J538" s="85"/>
      <c r="K538" s="86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18" customHeight="1">
      <c r="A539" s="81"/>
      <c r="B539" s="43"/>
      <c r="C539" s="82"/>
      <c r="D539" s="43"/>
      <c r="E539" s="83"/>
      <c r="F539" s="84"/>
      <c r="G539" s="84"/>
      <c r="H539" s="43"/>
      <c r="I539" s="83"/>
      <c r="J539" s="85"/>
      <c r="K539" s="86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18" customHeight="1">
      <c r="A540" s="81"/>
      <c r="B540" s="43"/>
      <c r="C540" s="82"/>
      <c r="D540" s="43"/>
      <c r="E540" s="83"/>
      <c r="F540" s="84"/>
      <c r="G540" s="84"/>
      <c r="H540" s="43"/>
      <c r="I540" s="83"/>
      <c r="J540" s="85"/>
      <c r="K540" s="86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18" customHeight="1">
      <c r="A541" s="81"/>
      <c r="B541" s="43"/>
      <c r="C541" s="82"/>
      <c r="D541" s="43"/>
      <c r="E541" s="83"/>
      <c r="F541" s="84"/>
      <c r="G541" s="84"/>
      <c r="H541" s="43"/>
      <c r="I541" s="83"/>
      <c r="J541" s="85"/>
      <c r="K541" s="86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18" customHeight="1">
      <c r="A542" s="81"/>
      <c r="B542" s="43"/>
      <c r="C542" s="82"/>
      <c r="D542" s="43"/>
      <c r="E542" s="83"/>
      <c r="F542" s="84"/>
      <c r="G542" s="84"/>
      <c r="H542" s="43"/>
      <c r="I542" s="83"/>
      <c r="J542" s="85"/>
      <c r="K542" s="86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18" customHeight="1">
      <c r="A543" s="81"/>
      <c r="B543" s="43"/>
      <c r="C543" s="82"/>
      <c r="D543" s="43"/>
      <c r="E543" s="83"/>
      <c r="F543" s="84"/>
      <c r="G543" s="84"/>
      <c r="H543" s="43"/>
      <c r="I543" s="83"/>
      <c r="J543" s="85"/>
      <c r="K543" s="86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18" customHeight="1">
      <c r="A544" s="81"/>
      <c r="B544" s="43"/>
      <c r="C544" s="82"/>
      <c r="D544" s="43"/>
      <c r="E544" s="83"/>
      <c r="F544" s="84"/>
      <c r="G544" s="84"/>
      <c r="H544" s="43"/>
      <c r="I544" s="83"/>
      <c r="J544" s="85"/>
      <c r="K544" s="86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18" customHeight="1">
      <c r="A545" s="81"/>
      <c r="B545" s="43"/>
      <c r="C545" s="82"/>
      <c r="D545" s="43"/>
      <c r="E545" s="83"/>
      <c r="F545" s="84"/>
      <c r="G545" s="84"/>
      <c r="H545" s="43"/>
      <c r="I545" s="83"/>
      <c r="J545" s="85"/>
      <c r="K545" s="86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18" customHeight="1">
      <c r="A546" s="81"/>
      <c r="B546" s="43"/>
      <c r="C546" s="82"/>
      <c r="D546" s="43"/>
      <c r="E546" s="83"/>
      <c r="F546" s="84"/>
      <c r="G546" s="84"/>
      <c r="H546" s="43"/>
      <c r="I546" s="83"/>
      <c r="J546" s="85"/>
      <c r="K546" s="86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18" customHeight="1">
      <c r="A547" s="81"/>
      <c r="B547" s="43"/>
      <c r="C547" s="82"/>
      <c r="D547" s="43"/>
      <c r="E547" s="83"/>
      <c r="F547" s="84"/>
      <c r="G547" s="84"/>
      <c r="H547" s="43"/>
      <c r="I547" s="83"/>
      <c r="J547" s="85"/>
      <c r="K547" s="86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18" customHeight="1">
      <c r="A548" s="81"/>
      <c r="B548" s="43"/>
      <c r="C548" s="82"/>
      <c r="D548" s="43"/>
      <c r="E548" s="83"/>
      <c r="F548" s="84"/>
      <c r="G548" s="84"/>
      <c r="H548" s="43"/>
      <c r="I548" s="83"/>
      <c r="J548" s="85"/>
      <c r="K548" s="86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18" customHeight="1">
      <c r="A549" s="81"/>
      <c r="B549" s="43"/>
      <c r="C549" s="82"/>
      <c r="D549" s="43"/>
      <c r="E549" s="83"/>
      <c r="F549" s="84"/>
      <c r="G549" s="84"/>
      <c r="H549" s="43"/>
      <c r="I549" s="83"/>
      <c r="J549" s="85"/>
      <c r="K549" s="86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18" customHeight="1">
      <c r="A550" s="81"/>
      <c r="B550" s="43"/>
      <c r="C550" s="82"/>
      <c r="D550" s="43"/>
      <c r="E550" s="83"/>
      <c r="F550" s="84"/>
      <c r="G550" s="84"/>
      <c r="H550" s="43"/>
      <c r="I550" s="83"/>
      <c r="J550" s="85"/>
      <c r="K550" s="86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18" customHeight="1">
      <c r="A551" s="81"/>
      <c r="B551" s="43"/>
      <c r="C551" s="82"/>
      <c r="D551" s="43"/>
      <c r="E551" s="83"/>
      <c r="F551" s="84"/>
      <c r="G551" s="84"/>
      <c r="H551" s="43"/>
      <c r="I551" s="83"/>
      <c r="J551" s="85"/>
      <c r="K551" s="86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18" customHeight="1">
      <c r="A552" s="81"/>
      <c r="B552" s="43"/>
      <c r="C552" s="82"/>
      <c r="D552" s="43"/>
      <c r="E552" s="83"/>
      <c r="F552" s="84"/>
      <c r="G552" s="84"/>
      <c r="H552" s="43"/>
      <c r="I552" s="83"/>
      <c r="J552" s="85"/>
      <c r="K552" s="86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18" customHeight="1">
      <c r="A553" s="81"/>
      <c r="B553" s="43"/>
      <c r="C553" s="82"/>
      <c r="D553" s="43"/>
      <c r="E553" s="83"/>
      <c r="F553" s="84"/>
      <c r="G553" s="84"/>
      <c r="H553" s="43"/>
      <c r="I553" s="83"/>
      <c r="J553" s="85"/>
      <c r="K553" s="86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18" customHeight="1">
      <c r="A554" s="81"/>
      <c r="B554" s="43"/>
      <c r="C554" s="82"/>
      <c r="D554" s="43"/>
      <c r="E554" s="83"/>
      <c r="F554" s="84"/>
      <c r="G554" s="84"/>
      <c r="H554" s="43"/>
      <c r="I554" s="83"/>
      <c r="J554" s="85"/>
      <c r="K554" s="86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18" customHeight="1">
      <c r="A555" s="81"/>
      <c r="B555" s="43"/>
      <c r="C555" s="82"/>
      <c r="D555" s="43"/>
      <c r="E555" s="83"/>
      <c r="F555" s="84"/>
      <c r="G555" s="84"/>
      <c r="H555" s="43"/>
      <c r="I555" s="83"/>
      <c r="J555" s="85"/>
      <c r="K555" s="86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18" customHeight="1">
      <c r="A556" s="81"/>
      <c r="B556" s="43"/>
      <c r="C556" s="82"/>
      <c r="D556" s="43"/>
      <c r="E556" s="83"/>
      <c r="F556" s="84"/>
      <c r="G556" s="84"/>
      <c r="H556" s="43"/>
      <c r="I556" s="83"/>
      <c r="J556" s="85"/>
      <c r="K556" s="86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18" customHeight="1">
      <c r="A557" s="81"/>
      <c r="B557" s="43"/>
      <c r="C557" s="82"/>
      <c r="D557" s="43"/>
      <c r="E557" s="83"/>
      <c r="F557" s="84"/>
      <c r="G557" s="84"/>
      <c r="H557" s="43"/>
      <c r="I557" s="83"/>
      <c r="J557" s="85"/>
      <c r="K557" s="86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18" customHeight="1">
      <c r="A558" s="81"/>
      <c r="B558" s="43"/>
      <c r="C558" s="82"/>
      <c r="D558" s="43"/>
      <c r="E558" s="83"/>
      <c r="F558" s="84"/>
      <c r="G558" s="84"/>
      <c r="H558" s="43"/>
      <c r="I558" s="83"/>
      <c r="J558" s="85"/>
      <c r="K558" s="86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18" customHeight="1">
      <c r="A559" s="81"/>
      <c r="B559" s="43"/>
      <c r="C559" s="82"/>
      <c r="D559" s="43"/>
      <c r="E559" s="83"/>
      <c r="F559" s="84"/>
      <c r="G559" s="84"/>
      <c r="H559" s="43"/>
      <c r="I559" s="83"/>
      <c r="J559" s="85"/>
      <c r="K559" s="86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18" customHeight="1">
      <c r="A560" s="81"/>
      <c r="B560" s="43"/>
      <c r="C560" s="82"/>
      <c r="D560" s="43"/>
      <c r="E560" s="83"/>
      <c r="F560" s="84"/>
      <c r="G560" s="84"/>
      <c r="H560" s="43"/>
      <c r="I560" s="83"/>
      <c r="J560" s="85"/>
      <c r="K560" s="86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18" customHeight="1">
      <c r="A561" s="81"/>
      <c r="B561" s="43"/>
      <c r="C561" s="82"/>
      <c r="D561" s="43"/>
      <c r="E561" s="83"/>
      <c r="F561" s="84"/>
      <c r="G561" s="84"/>
      <c r="H561" s="43"/>
      <c r="I561" s="83"/>
      <c r="J561" s="85"/>
      <c r="K561" s="86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18" customHeight="1">
      <c r="A562" s="81"/>
      <c r="B562" s="43"/>
      <c r="C562" s="82"/>
      <c r="D562" s="43"/>
      <c r="E562" s="83"/>
      <c r="F562" s="84"/>
      <c r="G562" s="84"/>
      <c r="H562" s="43"/>
      <c r="I562" s="83"/>
      <c r="J562" s="85"/>
      <c r="K562" s="86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18" customHeight="1">
      <c r="A563" s="81"/>
      <c r="B563" s="43"/>
      <c r="C563" s="82"/>
      <c r="D563" s="43"/>
      <c r="E563" s="83"/>
      <c r="F563" s="84"/>
      <c r="G563" s="84"/>
      <c r="H563" s="43"/>
      <c r="I563" s="83"/>
      <c r="J563" s="85"/>
      <c r="K563" s="86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18" customHeight="1">
      <c r="A564" s="81"/>
      <c r="B564" s="43"/>
      <c r="C564" s="82"/>
      <c r="D564" s="43"/>
      <c r="E564" s="83"/>
      <c r="F564" s="84"/>
      <c r="G564" s="84"/>
      <c r="H564" s="43"/>
      <c r="I564" s="83"/>
      <c r="J564" s="85"/>
      <c r="K564" s="86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18" customHeight="1">
      <c r="A565" s="81"/>
      <c r="B565" s="43"/>
      <c r="C565" s="82"/>
      <c r="D565" s="43"/>
      <c r="E565" s="83"/>
      <c r="F565" s="84"/>
      <c r="G565" s="84"/>
      <c r="H565" s="43"/>
      <c r="I565" s="83"/>
      <c r="J565" s="85"/>
      <c r="K565" s="86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18" customHeight="1">
      <c r="A566" s="81"/>
      <c r="B566" s="43"/>
      <c r="C566" s="82"/>
      <c r="D566" s="43"/>
      <c r="E566" s="83"/>
      <c r="F566" s="84"/>
      <c r="G566" s="84"/>
      <c r="H566" s="43"/>
      <c r="I566" s="83"/>
      <c r="J566" s="85"/>
      <c r="K566" s="86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18" customHeight="1">
      <c r="A567" s="81"/>
      <c r="B567" s="43"/>
      <c r="C567" s="82"/>
      <c r="D567" s="43"/>
      <c r="E567" s="83"/>
      <c r="F567" s="84"/>
      <c r="G567" s="84"/>
      <c r="H567" s="43"/>
      <c r="I567" s="83"/>
      <c r="J567" s="85"/>
      <c r="K567" s="86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18" customHeight="1">
      <c r="A568" s="81"/>
      <c r="B568" s="43"/>
      <c r="C568" s="82"/>
      <c r="D568" s="43"/>
      <c r="E568" s="83"/>
      <c r="F568" s="84"/>
      <c r="G568" s="84"/>
      <c r="H568" s="43"/>
      <c r="I568" s="83"/>
      <c r="J568" s="85"/>
      <c r="K568" s="86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18" customHeight="1">
      <c r="A569" s="81"/>
      <c r="B569" s="43"/>
      <c r="C569" s="82"/>
      <c r="D569" s="43"/>
      <c r="E569" s="83"/>
      <c r="F569" s="84"/>
      <c r="G569" s="84"/>
      <c r="H569" s="43"/>
      <c r="I569" s="83"/>
      <c r="J569" s="85"/>
      <c r="K569" s="86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18" customHeight="1">
      <c r="A570" s="81"/>
      <c r="B570" s="43"/>
      <c r="C570" s="82"/>
      <c r="D570" s="43"/>
      <c r="E570" s="83"/>
      <c r="F570" s="84"/>
      <c r="G570" s="84"/>
      <c r="H570" s="43"/>
      <c r="I570" s="83"/>
      <c r="J570" s="85"/>
      <c r="K570" s="86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18" customHeight="1">
      <c r="A571" s="81"/>
      <c r="B571" s="43"/>
      <c r="C571" s="82"/>
      <c r="D571" s="43"/>
      <c r="E571" s="83"/>
      <c r="F571" s="84"/>
      <c r="G571" s="84"/>
      <c r="H571" s="43"/>
      <c r="I571" s="83"/>
      <c r="J571" s="85"/>
      <c r="K571" s="86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18" customHeight="1">
      <c r="A572" s="81"/>
      <c r="B572" s="43"/>
      <c r="C572" s="82"/>
      <c r="D572" s="43"/>
      <c r="E572" s="83"/>
      <c r="F572" s="84"/>
      <c r="G572" s="84"/>
      <c r="H572" s="43"/>
      <c r="I572" s="83"/>
      <c r="J572" s="85"/>
      <c r="K572" s="86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18" customHeight="1">
      <c r="A573" s="81"/>
      <c r="B573" s="43"/>
      <c r="C573" s="82"/>
      <c r="D573" s="43"/>
      <c r="E573" s="83"/>
      <c r="F573" s="84"/>
      <c r="G573" s="84"/>
      <c r="H573" s="43"/>
      <c r="I573" s="83"/>
      <c r="J573" s="85"/>
      <c r="K573" s="86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18" customHeight="1">
      <c r="A574" s="81"/>
      <c r="B574" s="43"/>
      <c r="C574" s="82"/>
      <c r="D574" s="43"/>
      <c r="E574" s="83"/>
      <c r="F574" s="84"/>
      <c r="G574" s="84"/>
      <c r="H574" s="43"/>
      <c r="I574" s="83"/>
      <c r="J574" s="85"/>
      <c r="K574" s="86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18" customHeight="1">
      <c r="A575" s="81"/>
      <c r="B575" s="43"/>
      <c r="C575" s="82"/>
      <c r="D575" s="43"/>
      <c r="E575" s="83"/>
      <c r="F575" s="84"/>
      <c r="G575" s="84"/>
      <c r="H575" s="43"/>
      <c r="I575" s="83"/>
      <c r="J575" s="85"/>
      <c r="K575" s="86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18" customHeight="1">
      <c r="A576" s="81"/>
      <c r="B576" s="43"/>
      <c r="C576" s="82"/>
      <c r="D576" s="43"/>
      <c r="E576" s="83"/>
      <c r="F576" s="84"/>
      <c r="G576" s="84"/>
      <c r="H576" s="43"/>
      <c r="I576" s="83"/>
      <c r="J576" s="85"/>
      <c r="K576" s="86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18" customHeight="1">
      <c r="A577" s="81"/>
      <c r="B577" s="43"/>
      <c r="C577" s="82"/>
      <c r="D577" s="43"/>
      <c r="E577" s="83"/>
      <c r="F577" s="84"/>
      <c r="G577" s="84"/>
      <c r="H577" s="43"/>
      <c r="I577" s="83"/>
      <c r="J577" s="85"/>
      <c r="K577" s="86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18" customHeight="1">
      <c r="A578" s="81"/>
      <c r="B578" s="43"/>
      <c r="C578" s="82"/>
      <c r="D578" s="43"/>
      <c r="E578" s="83"/>
      <c r="F578" s="84"/>
      <c r="G578" s="84"/>
      <c r="H578" s="43"/>
      <c r="I578" s="83"/>
      <c r="J578" s="85"/>
      <c r="K578" s="86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18" customHeight="1">
      <c r="A579" s="81"/>
      <c r="B579" s="43"/>
      <c r="C579" s="82"/>
      <c r="D579" s="43"/>
      <c r="E579" s="83"/>
      <c r="F579" s="84"/>
      <c r="G579" s="84"/>
      <c r="H579" s="43"/>
      <c r="I579" s="83"/>
      <c r="J579" s="85"/>
      <c r="K579" s="86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18" customHeight="1">
      <c r="A580" s="81"/>
      <c r="B580" s="43"/>
      <c r="C580" s="82"/>
      <c r="D580" s="43"/>
      <c r="E580" s="83"/>
      <c r="F580" s="84"/>
      <c r="G580" s="84"/>
      <c r="H580" s="43"/>
      <c r="I580" s="83"/>
      <c r="J580" s="85"/>
      <c r="K580" s="86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18" customHeight="1">
      <c r="A581" s="81"/>
      <c r="B581" s="43"/>
      <c r="C581" s="82"/>
      <c r="D581" s="43"/>
      <c r="E581" s="83"/>
      <c r="F581" s="84"/>
      <c r="G581" s="84"/>
      <c r="H581" s="43"/>
      <c r="I581" s="83"/>
      <c r="J581" s="85"/>
      <c r="K581" s="86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18" customHeight="1">
      <c r="A582" s="81"/>
      <c r="B582" s="43"/>
      <c r="C582" s="82"/>
      <c r="D582" s="43"/>
      <c r="E582" s="83"/>
      <c r="F582" s="84"/>
      <c r="G582" s="84"/>
      <c r="H582" s="43"/>
      <c r="I582" s="83"/>
      <c r="J582" s="85"/>
      <c r="K582" s="86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18" customHeight="1">
      <c r="A583" s="81"/>
      <c r="B583" s="43"/>
      <c r="C583" s="82"/>
      <c r="D583" s="43"/>
      <c r="E583" s="83"/>
      <c r="F583" s="84"/>
      <c r="G583" s="84"/>
      <c r="H583" s="43"/>
      <c r="I583" s="83"/>
      <c r="J583" s="85"/>
      <c r="K583" s="86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18" customHeight="1">
      <c r="A584" s="81"/>
      <c r="B584" s="43"/>
      <c r="C584" s="82"/>
      <c r="D584" s="43"/>
      <c r="E584" s="83"/>
      <c r="F584" s="84"/>
      <c r="G584" s="84"/>
      <c r="H584" s="43"/>
      <c r="I584" s="83"/>
      <c r="J584" s="85"/>
      <c r="K584" s="86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18" customHeight="1">
      <c r="A585" s="81"/>
      <c r="B585" s="43"/>
      <c r="C585" s="82"/>
      <c r="D585" s="43"/>
      <c r="E585" s="83"/>
      <c r="F585" s="84"/>
      <c r="G585" s="84"/>
      <c r="H585" s="43"/>
      <c r="I585" s="83"/>
      <c r="J585" s="85"/>
      <c r="K585" s="86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18" customHeight="1">
      <c r="A586" s="81"/>
      <c r="B586" s="43"/>
      <c r="C586" s="82"/>
      <c r="D586" s="43"/>
      <c r="E586" s="83"/>
      <c r="F586" s="84"/>
      <c r="G586" s="84"/>
      <c r="H586" s="43"/>
      <c r="I586" s="83"/>
      <c r="J586" s="85"/>
      <c r="K586" s="86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18" customHeight="1">
      <c r="A587" s="81"/>
      <c r="B587" s="43"/>
      <c r="C587" s="82"/>
      <c r="D587" s="43"/>
      <c r="E587" s="83"/>
      <c r="F587" s="84"/>
      <c r="G587" s="84"/>
      <c r="H587" s="43"/>
      <c r="I587" s="83"/>
      <c r="J587" s="85"/>
      <c r="K587" s="86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18" customHeight="1">
      <c r="A588" s="81"/>
      <c r="B588" s="43"/>
      <c r="C588" s="82"/>
      <c r="D588" s="43"/>
      <c r="E588" s="83"/>
      <c r="F588" s="84"/>
      <c r="G588" s="84"/>
      <c r="H588" s="43"/>
      <c r="I588" s="83"/>
      <c r="J588" s="85"/>
      <c r="K588" s="86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18" customHeight="1">
      <c r="A589" s="81"/>
      <c r="B589" s="43"/>
      <c r="C589" s="82"/>
      <c r="D589" s="43"/>
      <c r="E589" s="83"/>
      <c r="F589" s="84"/>
      <c r="G589" s="84"/>
      <c r="H589" s="43"/>
      <c r="I589" s="83"/>
      <c r="J589" s="85"/>
      <c r="K589" s="86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18" customHeight="1">
      <c r="A590" s="81"/>
      <c r="B590" s="43"/>
      <c r="C590" s="82"/>
      <c r="D590" s="43"/>
      <c r="E590" s="83"/>
      <c r="F590" s="84"/>
      <c r="G590" s="84"/>
      <c r="H590" s="43"/>
      <c r="I590" s="83"/>
      <c r="J590" s="85"/>
      <c r="K590" s="86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18" customHeight="1">
      <c r="A591" s="81"/>
      <c r="B591" s="43"/>
      <c r="C591" s="82"/>
      <c r="D591" s="43"/>
      <c r="E591" s="83"/>
      <c r="F591" s="84"/>
      <c r="G591" s="84"/>
      <c r="H591" s="43"/>
      <c r="I591" s="83"/>
      <c r="J591" s="85"/>
      <c r="K591" s="86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18" customHeight="1">
      <c r="A592" s="81"/>
      <c r="B592" s="43"/>
      <c r="C592" s="82"/>
      <c r="D592" s="43"/>
      <c r="E592" s="83"/>
      <c r="F592" s="84"/>
      <c r="G592" s="84"/>
      <c r="H592" s="43"/>
      <c r="I592" s="83"/>
      <c r="J592" s="85"/>
      <c r="K592" s="86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18" customHeight="1">
      <c r="A593" s="81"/>
      <c r="B593" s="43"/>
      <c r="C593" s="82"/>
      <c r="D593" s="43"/>
      <c r="E593" s="83"/>
      <c r="F593" s="84"/>
      <c r="G593" s="84"/>
      <c r="H593" s="43"/>
      <c r="I593" s="83"/>
      <c r="J593" s="85"/>
      <c r="K593" s="86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18" customHeight="1">
      <c r="A594" s="81"/>
      <c r="B594" s="43"/>
      <c r="C594" s="82"/>
      <c r="D594" s="43"/>
      <c r="E594" s="83"/>
      <c r="F594" s="84"/>
      <c r="G594" s="84"/>
      <c r="H594" s="43"/>
      <c r="I594" s="83"/>
      <c r="J594" s="85"/>
      <c r="K594" s="86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18" customHeight="1">
      <c r="A595" s="81"/>
      <c r="B595" s="43"/>
      <c r="C595" s="82"/>
      <c r="D595" s="43"/>
      <c r="E595" s="83"/>
      <c r="F595" s="84"/>
      <c r="G595" s="84"/>
      <c r="H595" s="43"/>
      <c r="I595" s="83"/>
      <c r="J595" s="85"/>
      <c r="K595" s="86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18" customHeight="1">
      <c r="A596" s="81"/>
      <c r="B596" s="43"/>
      <c r="C596" s="82"/>
      <c r="D596" s="43"/>
      <c r="E596" s="83"/>
      <c r="F596" s="84"/>
      <c r="G596" s="84"/>
      <c r="H596" s="43"/>
      <c r="I596" s="83"/>
      <c r="J596" s="85"/>
      <c r="K596" s="86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18" customHeight="1">
      <c r="A597" s="81"/>
      <c r="B597" s="43"/>
      <c r="C597" s="82"/>
      <c r="D597" s="43"/>
      <c r="E597" s="83"/>
      <c r="F597" s="84"/>
      <c r="G597" s="84"/>
      <c r="H597" s="43"/>
      <c r="I597" s="83"/>
      <c r="J597" s="85"/>
      <c r="K597" s="86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18" customHeight="1">
      <c r="A598" s="81"/>
      <c r="B598" s="43"/>
      <c r="C598" s="82"/>
      <c r="D598" s="43"/>
      <c r="E598" s="83"/>
      <c r="F598" s="84"/>
      <c r="G598" s="84"/>
      <c r="H598" s="43"/>
      <c r="I598" s="83"/>
      <c r="J598" s="85"/>
      <c r="K598" s="86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18" customHeight="1">
      <c r="A599" s="81"/>
      <c r="B599" s="43"/>
      <c r="C599" s="82"/>
      <c r="D599" s="43"/>
      <c r="E599" s="83"/>
      <c r="F599" s="84"/>
      <c r="G599" s="84"/>
      <c r="H599" s="43"/>
      <c r="I599" s="83"/>
      <c r="J599" s="85"/>
      <c r="K599" s="86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18" customHeight="1">
      <c r="A600" s="81"/>
      <c r="B600" s="43"/>
      <c r="C600" s="82"/>
      <c r="D600" s="43"/>
      <c r="E600" s="83"/>
      <c r="F600" s="84"/>
      <c r="G600" s="84"/>
      <c r="H600" s="43"/>
      <c r="I600" s="83"/>
      <c r="J600" s="85"/>
      <c r="K600" s="86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18" customHeight="1">
      <c r="A601" s="81"/>
      <c r="B601" s="43"/>
      <c r="C601" s="82"/>
      <c r="D601" s="43"/>
      <c r="E601" s="83"/>
      <c r="F601" s="84"/>
      <c r="G601" s="84"/>
      <c r="H601" s="43"/>
      <c r="I601" s="83"/>
      <c r="J601" s="85"/>
      <c r="K601" s="86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18" customHeight="1">
      <c r="A602" s="81"/>
      <c r="B602" s="43"/>
      <c r="C602" s="82"/>
      <c r="D602" s="43"/>
      <c r="E602" s="83"/>
      <c r="F602" s="84"/>
      <c r="G602" s="84"/>
      <c r="H602" s="43"/>
      <c r="I602" s="83"/>
      <c r="J602" s="85"/>
      <c r="K602" s="86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18" customHeight="1">
      <c r="A603" s="81"/>
      <c r="B603" s="43"/>
      <c r="C603" s="82"/>
      <c r="D603" s="43"/>
      <c r="E603" s="83"/>
      <c r="F603" s="84"/>
      <c r="G603" s="84"/>
      <c r="H603" s="43"/>
      <c r="I603" s="83"/>
      <c r="J603" s="85"/>
      <c r="K603" s="86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18" customHeight="1">
      <c r="A604" s="81"/>
      <c r="B604" s="43"/>
      <c r="C604" s="82"/>
      <c r="D604" s="43"/>
      <c r="E604" s="83"/>
      <c r="F604" s="84"/>
      <c r="G604" s="84"/>
      <c r="H604" s="43"/>
      <c r="I604" s="83"/>
      <c r="J604" s="85"/>
      <c r="K604" s="86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18" customHeight="1">
      <c r="A605" s="81"/>
      <c r="B605" s="43"/>
      <c r="C605" s="82"/>
      <c r="D605" s="43"/>
      <c r="E605" s="83"/>
      <c r="F605" s="84"/>
      <c r="G605" s="84"/>
      <c r="H605" s="43"/>
      <c r="I605" s="83"/>
      <c r="J605" s="85"/>
      <c r="K605" s="86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18" customHeight="1">
      <c r="A606" s="81"/>
      <c r="B606" s="43"/>
      <c r="C606" s="82"/>
      <c r="D606" s="43"/>
      <c r="E606" s="83"/>
      <c r="F606" s="84"/>
      <c r="G606" s="84"/>
      <c r="H606" s="43"/>
      <c r="I606" s="83"/>
      <c r="J606" s="85"/>
      <c r="K606" s="86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18" customHeight="1">
      <c r="A607" s="81"/>
      <c r="B607" s="43"/>
      <c r="C607" s="82"/>
      <c r="D607" s="43"/>
      <c r="E607" s="83"/>
      <c r="F607" s="84"/>
      <c r="G607" s="84"/>
      <c r="H607" s="43"/>
      <c r="I607" s="83"/>
      <c r="J607" s="85"/>
      <c r="K607" s="86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18" customHeight="1">
      <c r="A608" s="81"/>
      <c r="B608" s="43"/>
      <c r="C608" s="82"/>
      <c r="D608" s="43"/>
      <c r="E608" s="83"/>
      <c r="F608" s="84"/>
      <c r="G608" s="84"/>
      <c r="H608" s="43"/>
      <c r="I608" s="83"/>
      <c r="J608" s="85"/>
      <c r="K608" s="86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18" customHeight="1">
      <c r="A609" s="81"/>
      <c r="B609" s="43"/>
      <c r="C609" s="82"/>
      <c r="D609" s="43"/>
      <c r="E609" s="83"/>
      <c r="F609" s="84"/>
      <c r="G609" s="84"/>
      <c r="H609" s="43"/>
      <c r="I609" s="83"/>
      <c r="J609" s="85"/>
      <c r="K609" s="86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18" customHeight="1">
      <c r="A610" s="81"/>
      <c r="B610" s="43"/>
      <c r="C610" s="82"/>
      <c r="D610" s="43"/>
      <c r="E610" s="83"/>
      <c r="F610" s="84"/>
      <c r="G610" s="84"/>
      <c r="H610" s="43"/>
      <c r="I610" s="83"/>
      <c r="J610" s="85"/>
      <c r="K610" s="86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18" customHeight="1">
      <c r="A611" s="81"/>
      <c r="B611" s="43"/>
      <c r="C611" s="82"/>
      <c r="D611" s="43"/>
      <c r="E611" s="83"/>
      <c r="F611" s="84"/>
      <c r="G611" s="84"/>
      <c r="H611" s="43"/>
      <c r="I611" s="83"/>
      <c r="J611" s="85"/>
      <c r="K611" s="86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18" customHeight="1">
      <c r="A612" s="81"/>
      <c r="B612" s="43"/>
      <c r="C612" s="82"/>
      <c r="D612" s="43"/>
      <c r="E612" s="83"/>
      <c r="F612" s="84"/>
      <c r="G612" s="84"/>
      <c r="H612" s="43"/>
      <c r="I612" s="83"/>
      <c r="J612" s="85"/>
      <c r="K612" s="86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18" customHeight="1">
      <c r="A613" s="81"/>
      <c r="B613" s="43"/>
      <c r="C613" s="82"/>
      <c r="D613" s="43"/>
      <c r="E613" s="83"/>
      <c r="F613" s="84"/>
      <c r="G613" s="84"/>
      <c r="H613" s="43"/>
      <c r="I613" s="83"/>
      <c r="J613" s="85"/>
      <c r="K613" s="86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18" customHeight="1">
      <c r="A614" s="81"/>
      <c r="B614" s="43"/>
      <c r="C614" s="82"/>
      <c r="D614" s="43"/>
      <c r="E614" s="83"/>
      <c r="F614" s="84"/>
      <c r="G614" s="84"/>
      <c r="H614" s="43"/>
      <c r="I614" s="83"/>
      <c r="J614" s="85"/>
      <c r="K614" s="86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18" customHeight="1">
      <c r="A615" s="81"/>
      <c r="B615" s="43"/>
      <c r="C615" s="82"/>
      <c r="D615" s="43"/>
      <c r="E615" s="83"/>
      <c r="F615" s="84"/>
      <c r="G615" s="84"/>
      <c r="H615" s="43"/>
      <c r="I615" s="83"/>
      <c r="J615" s="85"/>
      <c r="K615" s="86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18" customHeight="1">
      <c r="A616" s="81"/>
      <c r="B616" s="43"/>
      <c r="C616" s="82"/>
      <c r="D616" s="43"/>
      <c r="E616" s="83"/>
      <c r="F616" s="84"/>
      <c r="G616" s="84"/>
      <c r="H616" s="43"/>
      <c r="I616" s="83"/>
      <c r="J616" s="85"/>
      <c r="K616" s="86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18" customHeight="1">
      <c r="A617" s="81"/>
      <c r="B617" s="43"/>
      <c r="C617" s="82"/>
      <c r="D617" s="43"/>
      <c r="E617" s="83"/>
      <c r="F617" s="84"/>
      <c r="G617" s="84"/>
      <c r="H617" s="43"/>
      <c r="I617" s="83"/>
      <c r="J617" s="85"/>
      <c r="K617" s="86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18" customHeight="1">
      <c r="A618" s="81"/>
      <c r="B618" s="43"/>
      <c r="C618" s="82"/>
      <c r="D618" s="43"/>
      <c r="E618" s="83"/>
      <c r="F618" s="84"/>
      <c r="G618" s="84"/>
      <c r="H618" s="43"/>
      <c r="I618" s="83"/>
      <c r="J618" s="85"/>
      <c r="K618" s="86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18" customHeight="1">
      <c r="A619" s="81"/>
      <c r="B619" s="43"/>
      <c r="C619" s="82"/>
      <c r="D619" s="43"/>
      <c r="E619" s="83"/>
      <c r="F619" s="84"/>
      <c r="G619" s="84"/>
      <c r="H619" s="43"/>
      <c r="I619" s="83"/>
      <c r="J619" s="85"/>
      <c r="K619" s="86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18" customHeight="1">
      <c r="A620" s="81"/>
      <c r="B620" s="43"/>
      <c r="C620" s="82"/>
      <c r="D620" s="43"/>
      <c r="E620" s="83"/>
      <c r="F620" s="84"/>
      <c r="G620" s="84"/>
      <c r="H620" s="43"/>
      <c r="I620" s="83"/>
      <c r="J620" s="85"/>
      <c r="K620" s="86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18" customHeight="1">
      <c r="A621" s="81"/>
      <c r="B621" s="43"/>
      <c r="C621" s="82"/>
      <c r="D621" s="43"/>
      <c r="E621" s="83"/>
      <c r="F621" s="84"/>
      <c r="G621" s="84"/>
      <c r="H621" s="43"/>
      <c r="I621" s="83"/>
      <c r="J621" s="85"/>
      <c r="K621" s="86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18" customHeight="1">
      <c r="A622" s="81"/>
      <c r="B622" s="43"/>
      <c r="C622" s="82"/>
      <c r="D622" s="43"/>
      <c r="E622" s="83"/>
      <c r="F622" s="84"/>
      <c r="G622" s="84"/>
      <c r="H622" s="43"/>
      <c r="I622" s="83"/>
      <c r="J622" s="85"/>
      <c r="K622" s="86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18" customHeight="1">
      <c r="A623" s="81"/>
      <c r="B623" s="43"/>
      <c r="C623" s="82"/>
      <c r="D623" s="43"/>
      <c r="E623" s="83"/>
      <c r="F623" s="84"/>
      <c r="G623" s="84"/>
      <c r="H623" s="43"/>
      <c r="I623" s="83"/>
      <c r="J623" s="85"/>
      <c r="K623" s="86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18" customHeight="1">
      <c r="A624" s="81"/>
      <c r="B624" s="43"/>
      <c r="C624" s="82"/>
      <c r="D624" s="43"/>
      <c r="E624" s="83"/>
      <c r="F624" s="84"/>
      <c r="G624" s="84"/>
      <c r="H624" s="43"/>
      <c r="I624" s="83"/>
      <c r="J624" s="85"/>
      <c r="K624" s="86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18" customHeight="1">
      <c r="A625" s="81"/>
      <c r="B625" s="43"/>
      <c r="C625" s="82"/>
      <c r="D625" s="43"/>
      <c r="E625" s="83"/>
      <c r="F625" s="84"/>
      <c r="G625" s="84"/>
      <c r="H625" s="43"/>
      <c r="I625" s="83"/>
      <c r="J625" s="85"/>
      <c r="K625" s="86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18" customHeight="1">
      <c r="A626" s="81"/>
      <c r="B626" s="43"/>
      <c r="C626" s="82"/>
      <c r="D626" s="43"/>
      <c r="E626" s="83"/>
      <c r="F626" s="84"/>
      <c r="G626" s="84"/>
      <c r="H626" s="43"/>
      <c r="I626" s="83"/>
      <c r="J626" s="85"/>
      <c r="K626" s="86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18" customHeight="1">
      <c r="A627" s="81"/>
      <c r="B627" s="43"/>
      <c r="C627" s="82"/>
      <c r="D627" s="43"/>
      <c r="E627" s="83"/>
      <c r="F627" s="84"/>
      <c r="G627" s="84"/>
      <c r="H627" s="43"/>
      <c r="I627" s="83"/>
      <c r="J627" s="85"/>
      <c r="K627" s="86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18" customHeight="1">
      <c r="A628" s="81"/>
      <c r="B628" s="43"/>
      <c r="C628" s="82"/>
      <c r="D628" s="43"/>
      <c r="E628" s="83"/>
      <c r="F628" s="84"/>
      <c r="G628" s="84"/>
      <c r="H628" s="43"/>
      <c r="I628" s="83"/>
      <c r="J628" s="85"/>
      <c r="K628" s="86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18" customHeight="1">
      <c r="A629" s="81"/>
      <c r="B629" s="43"/>
      <c r="C629" s="82"/>
      <c r="D629" s="43"/>
      <c r="E629" s="83"/>
      <c r="F629" s="84"/>
      <c r="G629" s="84"/>
      <c r="H629" s="43"/>
      <c r="I629" s="83"/>
      <c r="J629" s="85"/>
      <c r="K629" s="86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18" customHeight="1">
      <c r="A630" s="81"/>
      <c r="B630" s="43"/>
      <c r="C630" s="82"/>
      <c r="D630" s="43"/>
      <c r="E630" s="83"/>
      <c r="F630" s="84"/>
      <c r="G630" s="84"/>
      <c r="H630" s="43"/>
      <c r="I630" s="83"/>
      <c r="J630" s="85"/>
      <c r="K630" s="86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18" customHeight="1">
      <c r="A631" s="81"/>
      <c r="B631" s="43"/>
      <c r="C631" s="82"/>
      <c r="D631" s="43"/>
      <c r="E631" s="83"/>
      <c r="F631" s="84"/>
      <c r="G631" s="84"/>
      <c r="H631" s="43"/>
      <c r="I631" s="83"/>
      <c r="J631" s="85"/>
      <c r="K631" s="86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18" customHeight="1">
      <c r="A632" s="81"/>
      <c r="B632" s="43"/>
      <c r="C632" s="82"/>
      <c r="D632" s="43"/>
      <c r="E632" s="83"/>
      <c r="F632" s="84"/>
      <c r="G632" s="84"/>
      <c r="H632" s="43"/>
      <c r="I632" s="83"/>
      <c r="J632" s="85"/>
      <c r="K632" s="86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18" customHeight="1">
      <c r="A633" s="81"/>
      <c r="B633" s="43"/>
      <c r="C633" s="82"/>
      <c r="D633" s="43"/>
      <c r="E633" s="83"/>
      <c r="F633" s="84"/>
      <c r="G633" s="84"/>
      <c r="H633" s="43"/>
      <c r="I633" s="83"/>
      <c r="J633" s="85"/>
      <c r="K633" s="86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18" customHeight="1">
      <c r="A634" s="81"/>
      <c r="B634" s="43"/>
      <c r="C634" s="82"/>
      <c r="D634" s="43"/>
      <c r="E634" s="83"/>
      <c r="F634" s="84"/>
      <c r="G634" s="84"/>
      <c r="H634" s="43"/>
      <c r="I634" s="83"/>
      <c r="J634" s="85"/>
      <c r="K634" s="86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18" customHeight="1">
      <c r="A635" s="81"/>
      <c r="B635" s="43"/>
      <c r="C635" s="82"/>
      <c r="D635" s="43"/>
      <c r="E635" s="83"/>
      <c r="F635" s="84"/>
      <c r="G635" s="84"/>
      <c r="H635" s="43"/>
      <c r="I635" s="83"/>
      <c r="J635" s="85"/>
      <c r="K635" s="86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18" customHeight="1">
      <c r="A636" s="81"/>
      <c r="B636" s="43"/>
      <c r="C636" s="82"/>
      <c r="D636" s="43"/>
      <c r="E636" s="83"/>
      <c r="F636" s="84"/>
      <c r="G636" s="84"/>
      <c r="H636" s="43"/>
      <c r="I636" s="83"/>
      <c r="J636" s="85"/>
      <c r="K636" s="86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18" customHeight="1">
      <c r="A637" s="81"/>
      <c r="B637" s="43"/>
      <c r="C637" s="82"/>
      <c r="D637" s="43"/>
      <c r="E637" s="83"/>
      <c r="F637" s="84"/>
      <c r="G637" s="84"/>
      <c r="H637" s="43"/>
      <c r="I637" s="83"/>
      <c r="J637" s="85"/>
      <c r="K637" s="86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18" customHeight="1">
      <c r="A638" s="81"/>
      <c r="B638" s="43"/>
      <c r="C638" s="82"/>
      <c r="D638" s="43"/>
      <c r="E638" s="83"/>
      <c r="F638" s="84"/>
      <c r="G638" s="84"/>
      <c r="H638" s="43"/>
      <c r="I638" s="83"/>
      <c r="J638" s="85"/>
      <c r="K638" s="86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18" customHeight="1">
      <c r="A639" s="81"/>
      <c r="B639" s="43"/>
      <c r="C639" s="82"/>
      <c r="D639" s="43"/>
      <c r="E639" s="83"/>
      <c r="F639" s="84"/>
      <c r="G639" s="84"/>
      <c r="H639" s="43"/>
      <c r="I639" s="83"/>
      <c r="J639" s="85"/>
      <c r="K639" s="86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18" customHeight="1">
      <c r="A640" s="81"/>
      <c r="B640" s="43"/>
      <c r="C640" s="82"/>
      <c r="D640" s="43"/>
      <c r="E640" s="83"/>
      <c r="F640" s="84"/>
      <c r="G640" s="84"/>
      <c r="H640" s="43"/>
      <c r="I640" s="83"/>
      <c r="J640" s="85"/>
      <c r="K640" s="86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18" customHeight="1">
      <c r="A641" s="81"/>
      <c r="B641" s="43"/>
      <c r="C641" s="82"/>
      <c r="D641" s="43"/>
      <c r="E641" s="83"/>
      <c r="F641" s="84"/>
      <c r="G641" s="84"/>
      <c r="H641" s="43"/>
      <c r="I641" s="83"/>
      <c r="J641" s="85"/>
      <c r="K641" s="86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18" customHeight="1">
      <c r="A642" s="81"/>
      <c r="B642" s="43"/>
      <c r="C642" s="82"/>
      <c r="D642" s="43"/>
      <c r="E642" s="83"/>
      <c r="F642" s="84"/>
      <c r="G642" s="84"/>
      <c r="H642" s="43"/>
      <c r="I642" s="83"/>
      <c r="J642" s="85"/>
      <c r="K642" s="86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18" customHeight="1">
      <c r="A643" s="81"/>
      <c r="B643" s="43"/>
      <c r="C643" s="82"/>
      <c r="D643" s="43"/>
      <c r="E643" s="83"/>
      <c r="F643" s="84"/>
      <c r="G643" s="84"/>
      <c r="H643" s="43"/>
      <c r="I643" s="83"/>
      <c r="J643" s="85"/>
      <c r="K643" s="86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18" customHeight="1">
      <c r="A644" s="81"/>
      <c r="B644" s="43"/>
      <c r="C644" s="82"/>
      <c r="D644" s="43"/>
      <c r="E644" s="83"/>
      <c r="F644" s="84"/>
      <c r="G644" s="84"/>
      <c r="H644" s="43"/>
      <c r="I644" s="83"/>
      <c r="J644" s="85"/>
      <c r="K644" s="86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18" customHeight="1">
      <c r="A645" s="81"/>
      <c r="B645" s="43"/>
      <c r="C645" s="82"/>
      <c r="D645" s="43"/>
      <c r="E645" s="83"/>
      <c r="F645" s="84"/>
      <c r="G645" s="84"/>
      <c r="H645" s="43"/>
      <c r="I645" s="83"/>
      <c r="J645" s="85"/>
      <c r="K645" s="86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18" customHeight="1">
      <c r="A646" s="81"/>
      <c r="B646" s="43"/>
      <c r="C646" s="82"/>
      <c r="D646" s="43"/>
      <c r="E646" s="83"/>
      <c r="F646" s="84"/>
      <c r="G646" s="84"/>
      <c r="H646" s="43"/>
      <c r="I646" s="83"/>
      <c r="J646" s="85"/>
      <c r="K646" s="86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18" customHeight="1">
      <c r="A647" s="81"/>
      <c r="B647" s="43"/>
      <c r="C647" s="82"/>
      <c r="D647" s="43"/>
      <c r="E647" s="83"/>
      <c r="F647" s="84"/>
      <c r="G647" s="84"/>
      <c r="H647" s="43"/>
      <c r="I647" s="83"/>
      <c r="J647" s="85"/>
      <c r="K647" s="86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18" customHeight="1">
      <c r="A648" s="81"/>
      <c r="B648" s="43"/>
      <c r="C648" s="82"/>
      <c r="D648" s="43"/>
      <c r="E648" s="83"/>
      <c r="F648" s="84"/>
      <c r="G648" s="84"/>
      <c r="H648" s="43"/>
      <c r="I648" s="83"/>
      <c r="J648" s="85"/>
      <c r="K648" s="86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18" customHeight="1">
      <c r="A649" s="81"/>
      <c r="B649" s="43"/>
      <c r="C649" s="82"/>
      <c r="D649" s="43"/>
      <c r="E649" s="83"/>
      <c r="F649" s="84"/>
      <c r="G649" s="84"/>
      <c r="H649" s="43"/>
      <c r="I649" s="83"/>
      <c r="J649" s="85"/>
      <c r="K649" s="86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18" customHeight="1">
      <c r="A650" s="81"/>
      <c r="B650" s="43"/>
      <c r="C650" s="82"/>
      <c r="D650" s="43"/>
      <c r="E650" s="83"/>
      <c r="F650" s="84"/>
      <c r="G650" s="84"/>
      <c r="H650" s="43"/>
      <c r="I650" s="83"/>
      <c r="J650" s="85"/>
      <c r="K650" s="86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18" customHeight="1">
      <c r="A651" s="81"/>
      <c r="B651" s="43"/>
      <c r="C651" s="82"/>
      <c r="D651" s="43"/>
      <c r="E651" s="83"/>
      <c r="F651" s="84"/>
      <c r="G651" s="84"/>
      <c r="H651" s="43"/>
      <c r="I651" s="83"/>
      <c r="J651" s="85"/>
      <c r="K651" s="86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18" customHeight="1">
      <c r="A652" s="81"/>
      <c r="B652" s="43"/>
      <c r="C652" s="82"/>
      <c r="D652" s="43"/>
      <c r="E652" s="83"/>
      <c r="F652" s="84"/>
      <c r="G652" s="84"/>
      <c r="H652" s="43"/>
      <c r="I652" s="83"/>
      <c r="J652" s="85"/>
      <c r="K652" s="86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18" customHeight="1">
      <c r="A653" s="81"/>
      <c r="B653" s="43"/>
      <c r="C653" s="82"/>
      <c r="D653" s="43"/>
      <c r="E653" s="83"/>
      <c r="F653" s="84"/>
      <c r="G653" s="84"/>
      <c r="H653" s="43"/>
      <c r="I653" s="83"/>
      <c r="J653" s="85"/>
      <c r="K653" s="86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18" customHeight="1">
      <c r="A654" s="81"/>
      <c r="B654" s="43"/>
      <c r="C654" s="82"/>
      <c r="D654" s="43"/>
      <c r="E654" s="83"/>
      <c r="F654" s="84"/>
      <c r="G654" s="84"/>
      <c r="H654" s="43"/>
      <c r="I654" s="83"/>
      <c r="J654" s="85"/>
      <c r="K654" s="86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18" customHeight="1">
      <c r="A655" s="81"/>
      <c r="B655" s="43"/>
      <c r="C655" s="82"/>
      <c r="D655" s="43"/>
      <c r="E655" s="83"/>
      <c r="F655" s="84"/>
      <c r="G655" s="84"/>
      <c r="H655" s="43"/>
      <c r="I655" s="83"/>
      <c r="J655" s="85"/>
      <c r="K655" s="86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18" customHeight="1">
      <c r="A656" s="81"/>
      <c r="B656" s="43"/>
      <c r="C656" s="82"/>
      <c r="D656" s="43"/>
      <c r="E656" s="83"/>
      <c r="F656" s="84"/>
      <c r="G656" s="84"/>
      <c r="H656" s="43"/>
      <c r="I656" s="83"/>
      <c r="J656" s="85"/>
      <c r="K656" s="86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18" customHeight="1">
      <c r="A657" s="81"/>
      <c r="B657" s="43"/>
      <c r="C657" s="82"/>
      <c r="D657" s="43"/>
      <c r="E657" s="83"/>
      <c r="F657" s="84"/>
      <c r="G657" s="84"/>
      <c r="H657" s="43"/>
      <c r="I657" s="83"/>
      <c r="J657" s="85"/>
      <c r="K657" s="86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18" customHeight="1">
      <c r="A658" s="81"/>
      <c r="B658" s="43"/>
      <c r="C658" s="82"/>
      <c r="D658" s="43"/>
      <c r="E658" s="83"/>
      <c r="F658" s="84"/>
      <c r="G658" s="84"/>
      <c r="H658" s="43"/>
      <c r="I658" s="83"/>
      <c r="J658" s="85"/>
      <c r="K658" s="86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18" customHeight="1">
      <c r="A659" s="81"/>
      <c r="B659" s="43"/>
      <c r="C659" s="82"/>
      <c r="D659" s="43"/>
      <c r="E659" s="83"/>
      <c r="F659" s="84"/>
      <c r="G659" s="84"/>
      <c r="H659" s="43"/>
      <c r="I659" s="83"/>
      <c r="J659" s="85"/>
      <c r="K659" s="86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18" customHeight="1">
      <c r="A660" s="81"/>
      <c r="B660" s="43"/>
      <c r="C660" s="82"/>
      <c r="D660" s="43"/>
      <c r="E660" s="83"/>
      <c r="F660" s="84"/>
      <c r="G660" s="84"/>
      <c r="H660" s="43"/>
      <c r="I660" s="83"/>
      <c r="J660" s="85"/>
      <c r="K660" s="86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18" customHeight="1">
      <c r="A661" s="81"/>
      <c r="B661" s="43"/>
      <c r="C661" s="82"/>
      <c r="D661" s="43"/>
      <c r="E661" s="83"/>
      <c r="F661" s="84"/>
      <c r="G661" s="84"/>
      <c r="H661" s="43"/>
      <c r="I661" s="83"/>
      <c r="J661" s="85"/>
      <c r="K661" s="86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18" customHeight="1">
      <c r="A662" s="81"/>
      <c r="B662" s="43"/>
      <c r="C662" s="82"/>
      <c r="D662" s="43"/>
      <c r="E662" s="83"/>
      <c r="F662" s="84"/>
      <c r="G662" s="84"/>
      <c r="H662" s="43"/>
      <c r="I662" s="83"/>
      <c r="J662" s="85"/>
      <c r="K662" s="86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18" customHeight="1">
      <c r="A663" s="81"/>
      <c r="B663" s="43"/>
      <c r="C663" s="82"/>
      <c r="D663" s="43"/>
      <c r="E663" s="83"/>
      <c r="F663" s="84"/>
      <c r="G663" s="84"/>
      <c r="H663" s="43"/>
      <c r="I663" s="83"/>
      <c r="J663" s="85"/>
      <c r="K663" s="86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18" customHeight="1">
      <c r="A664" s="81"/>
      <c r="B664" s="43"/>
      <c r="C664" s="82"/>
      <c r="D664" s="43"/>
      <c r="E664" s="83"/>
      <c r="F664" s="84"/>
      <c r="G664" s="84"/>
      <c r="H664" s="43"/>
      <c r="I664" s="83"/>
      <c r="J664" s="85"/>
      <c r="K664" s="86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18" customHeight="1">
      <c r="A665" s="81"/>
      <c r="B665" s="43"/>
      <c r="C665" s="82"/>
      <c r="D665" s="43"/>
      <c r="E665" s="83"/>
      <c r="F665" s="84"/>
      <c r="G665" s="84"/>
      <c r="H665" s="43"/>
      <c r="I665" s="83"/>
      <c r="J665" s="85"/>
      <c r="K665" s="86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18" customHeight="1">
      <c r="A666" s="81"/>
      <c r="B666" s="43"/>
      <c r="C666" s="82"/>
      <c r="D666" s="43"/>
      <c r="E666" s="83"/>
      <c r="F666" s="84"/>
      <c r="G666" s="84"/>
      <c r="H666" s="43"/>
      <c r="I666" s="83"/>
      <c r="J666" s="85"/>
      <c r="K666" s="86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18" customHeight="1">
      <c r="A667" s="81"/>
      <c r="B667" s="43"/>
      <c r="C667" s="82"/>
      <c r="D667" s="43"/>
      <c r="E667" s="83"/>
      <c r="F667" s="84"/>
      <c r="G667" s="84"/>
      <c r="H667" s="43"/>
      <c r="I667" s="83"/>
      <c r="J667" s="85"/>
      <c r="K667" s="86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18" customHeight="1">
      <c r="A668" s="81"/>
      <c r="B668" s="43"/>
      <c r="C668" s="82"/>
      <c r="D668" s="43"/>
      <c r="E668" s="83"/>
      <c r="F668" s="84"/>
      <c r="G668" s="84"/>
      <c r="H668" s="43"/>
      <c r="I668" s="83"/>
      <c r="J668" s="85"/>
      <c r="K668" s="86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18" customHeight="1">
      <c r="A669" s="81"/>
      <c r="B669" s="43"/>
      <c r="C669" s="82"/>
      <c r="D669" s="43"/>
      <c r="E669" s="83"/>
      <c r="F669" s="84"/>
      <c r="G669" s="84"/>
      <c r="H669" s="43"/>
      <c r="I669" s="83"/>
      <c r="J669" s="85"/>
      <c r="K669" s="86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18" customHeight="1">
      <c r="A670" s="81"/>
      <c r="B670" s="43"/>
      <c r="C670" s="82"/>
      <c r="D670" s="43"/>
      <c r="E670" s="83"/>
      <c r="F670" s="84"/>
      <c r="G670" s="84"/>
      <c r="H670" s="43"/>
      <c r="I670" s="83"/>
      <c r="J670" s="85"/>
      <c r="K670" s="86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18" customHeight="1">
      <c r="A671" s="81"/>
      <c r="B671" s="43"/>
      <c r="C671" s="82"/>
      <c r="D671" s="43"/>
      <c r="E671" s="83"/>
      <c r="F671" s="84"/>
      <c r="G671" s="84"/>
      <c r="H671" s="43"/>
      <c r="I671" s="83"/>
      <c r="J671" s="85"/>
      <c r="K671" s="86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18" customHeight="1">
      <c r="A672" s="81"/>
      <c r="B672" s="43"/>
      <c r="C672" s="82"/>
      <c r="D672" s="43"/>
      <c r="E672" s="83"/>
      <c r="F672" s="84"/>
      <c r="G672" s="84"/>
      <c r="H672" s="43"/>
      <c r="I672" s="83"/>
      <c r="J672" s="85"/>
      <c r="K672" s="86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18" customHeight="1">
      <c r="A673" s="81"/>
      <c r="B673" s="43"/>
      <c r="C673" s="82"/>
      <c r="D673" s="43"/>
      <c r="E673" s="83"/>
      <c r="F673" s="84"/>
      <c r="G673" s="84"/>
      <c r="H673" s="43"/>
      <c r="I673" s="83"/>
      <c r="J673" s="85"/>
      <c r="K673" s="86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18" customHeight="1">
      <c r="A674" s="81"/>
      <c r="B674" s="43"/>
      <c r="C674" s="82"/>
      <c r="D674" s="43"/>
      <c r="E674" s="83"/>
      <c r="F674" s="84"/>
      <c r="G674" s="84"/>
      <c r="H674" s="43"/>
      <c r="I674" s="83"/>
      <c r="J674" s="85"/>
      <c r="K674" s="86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18" customHeight="1">
      <c r="A675" s="81"/>
      <c r="B675" s="43"/>
      <c r="C675" s="82"/>
      <c r="D675" s="43"/>
      <c r="E675" s="83"/>
      <c r="F675" s="84"/>
      <c r="G675" s="84"/>
      <c r="H675" s="43"/>
      <c r="I675" s="83"/>
      <c r="J675" s="85"/>
      <c r="K675" s="86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18" customHeight="1">
      <c r="A676" s="81"/>
      <c r="B676" s="43"/>
      <c r="C676" s="82"/>
      <c r="D676" s="43"/>
      <c r="E676" s="83"/>
      <c r="F676" s="84"/>
      <c r="G676" s="84"/>
      <c r="H676" s="43"/>
      <c r="I676" s="83"/>
      <c r="J676" s="85"/>
      <c r="K676" s="86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18" customHeight="1">
      <c r="A677" s="81"/>
      <c r="B677" s="43"/>
      <c r="C677" s="82"/>
      <c r="D677" s="43"/>
      <c r="E677" s="83"/>
      <c r="F677" s="84"/>
      <c r="G677" s="84"/>
      <c r="H677" s="43"/>
      <c r="I677" s="83"/>
      <c r="J677" s="85"/>
      <c r="K677" s="86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18" customHeight="1">
      <c r="A678" s="81"/>
      <c r="B678" s="43"/>
      <c r="C678" s="82"/>
      <c r="D678" s="43"/>
      <c r="E678" s="83"/>
      <c r="F678" s="84"/>
      <c r="G678" s="84"/>
      <c r="H678" s="43"/>
      <c r="I678" s="83"/>
      <c r="J678" s="85"/>
      <c r="K678" s="86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18" customHeight="1">
      <c r="A679" s="81"/>
      <c r="B679" s="43"/>
      <c r="C679" s="82"/>
      <c r="D679" s="43"/>
      <c r="E679" s="83"/>
      <c r="F679" s="84"/>
      <c r="G679" s="84"/>
      <c r="H679" s="43"/>
      <c r="I679" s="83"/>
      <c r="J679" s="85"/>
      <c r="K679" s="86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18" customHeight="1">
      <c r="A680" s="81"/>
      <c r="B680" s="43"/>
      <c r="C680" s="82"/>
      <c r="D680" s="43"/>
      <c r="E680" s="83"/>
      <c r="F680" s="84"/>
      <c r="G680" s="84"/>
      <c r="H680" s="43"/>
      <c r="I680" s="83"/>
      <c r="J680" s="85"/>
      <c r="K680" s="86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18" customHeight="1">
      <c r="A681" s="81"/>
      <c r="B681" s="43"/>
      <c r="C681" s="82"/>
      <c r="D681" s="43"/>
      <c r="E681" s="83"/>
      <c r="F681" s="84"/>
      <c r="G681" s="84"/>
      <c r="H681" s="43"/>
      <c r="I681" s="83"/>
      <c r="J681" s="85"/>
      <c r="K681" s="86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18" customHeight="1">
      <c r="A682" s="81"/>
      <c r="B682" s="43"/>
      <c r="C682" s="82"/>
      <c r="D682" s="43"/>
      <c r="E682" s="83"/>
      <c r="F682" s="84"/>
      <c r="G682" s="84"/>
      <c r="H682" s="43"/>
      <c r="I682" s="83"/>
      <c r="J682" s="85"/>
      <c r="K682" s="86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18" customHeight="1">
      <c r="A683" s="81"/>
      <c r="B683" s="43"/>
      <c r="C683" s="82"/>
      <c r="D683" s="43"/>
      <c r="E683" s="83"/>
      <c r="F683" s="84"/>
      <c r="G683" s="84"/>
      <c r="H683" s="43"/>
      <c r="I683" s="83"/>
      <c r="J683" s="85"/>
      <c r="K683" s="86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18" customHeight="1">
      <c r="A684" s="81"/>
      <c r="B684" s="43"/>
      <c r="C684" s="82"/>
      <c r="D684" s="43"/>
      <c r="E684" s="83"/>
      <c r="F684" s="84"/>
      <c r="G684" s="84"/>
      <c r="H684" s="43"/>
      <c r="I684" s="83"/>
      <c r="J684" s="85"/>
      <c r="K684" s="86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18" customHeight="1">
      <c r="A685" s="81"/>
      <c r="B685" s="43"/>
      <c r="C685" s="82"/>
      <c r="D685" s="43"/>
      <c r="E685" s="83"/>
      <c r="F685" s="84"/>
      <c r="G685" s="84"/>
      <c r="H685" s="43"/>
      <c r="I685" s="83"/>
      <c r="J685" s="85"/>
      <c r="K685" s="86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18" customHeight="1">
      <c r="A686" s="81"/>
      <c r="B686" s="43"/>
      <c r="C686" s="82"/>
      <c r="D686" s="43"/>
      <c r="E686" s="83"/>
      <c r="F686" s="84"/>
      <c r="G686" s="84"/>
      <c r="H686" s="43"/>
      <c r="I686" s="83"/>
      <c r="J686" s="85"/>
      <c r="K686" s="86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18" customHeight="1">
      <c r="A687" s="81"/>
      <c r="B687" s="43"/>
      <c r="C687" s="82"/>
      <c r="D687" s="43"/>
      <c r="E687" s="83"/>
      <c r="F687" s="84"/>
      <c r="G687" s="84"/>
      <c r="H687" s="43"/>
      <c r="I687" s="83"/>
      <c r="J687" s="85"/>
      <c r="K687" s="86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18" customHeight="1">
      <c r="A688" s="81"/>
      <c r="B688" s="43"/>
      <c r="C688" s="82"/>
      <c r="D688" s="43"/>
      <c r="E688" s="83"/>
      <c r="F688" s="84"/>
      <c r="G688" s="84"/>
      <c r="H688" s="43"/>
      <c r="I688" s="83"/>
      <c r="J688" s="85"/>
      <c r="K688" s="86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18" customHeight="1">
      <c r="A689" s="81"/>
      <c r="B689" s="43"/>
      <c r="C689" s="82"/>
      <c r="D689" s="43"/>
      <c r="E689" s="83"/>
      <c r="F689" s="84"/>
      <c r="G689" s="84"/>
      <c r="H689" s="43"/>
      <c r="I689" s="83"/>
      <c r="J689" s="85"/>
      <c r="K689" s="86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18" customHeight="1">
      <c r="A690" s="81"/>
      <c r="B690" s="43"/>
      <c r="C690" s="82"/>
      <c r="D690" s="43"/>
      <c r="E690" s="83"/>
      <c r="F690" s="84"/>
      <c r="G690" s="84"/>
      <c r="H690" s="43"/>
      <c r="I690" s="83"/>
      <c r="J690" s="85"/>
      <c r="K690" s="86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18" customHeight="1">
      <c r="A691" s="81"/>
      <c r="B691" s="43"/>
      <c r="C691" s="82"/>
      <c r="D691" s="43"/>
      <c r="E691" s="83"/>
      <c r="F691" s="84"/>
      <c r="G691" s="84"/>
      <c r="H691" s="43"/>
      <c r="I691" s="83"/>
      <c r="J691" s="85"/>
      <c r="K691" s="86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18" customHeight="1">
      <c r="A692" s="81"/>
      <c r="B692" s="43"/>
      <c r="C692" s="82"/>
      <c r="D692" s="43"/>
      <c r="E692" s="83"/>
      <c r="F692" s="84"/>
      <c r="G692" s="84"/>
      <c r="H692" s="43"/>
      <c r="I692" s="83"/>
      <c r="J692" s="85"/>
      <c r="K692" s="86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18" customHeight="1">
      <c r="A693" s="81"/>
      <c r="B693" s="43"/>
      <c r="C693" s="82"/>
      <c r="D693" s="43"/>
      <c r="E693" s="83"/>
      <c r="F693" s="84"/>
      <c r="G693" s="84"/>
      <c r="H693" s="43"/>
      <c r="I693" s="83"/>
      <c r="J693" s="85"/>
      <c r="K693" s="86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18" customHeight="1">
      <c r="A694" s="81"/>
      <c r="B694" s="43"/>
      <c r="C694" s="82"/>
      <c r="D694" s="43"/>
      <c r="E694" s="83"/>
      <c r="F694" s="84"/>
      <c r="G694" s="84"/>
      <c r="H694" s="43"/>
      <c r="I694" s="83"/>
      <c r="J694" s="85"/>
      <c r="K694" s="86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18" customHeight="1">
      <c r="A695" s="81"/>
      <c r="B695" s="43"/>
      <c r="C695" s="82"/>
      <c r="D695" s="43"/>
      <c r="E695" s="83"/>
      <c r="F695" s="84"/>
      <c r="G695" s="84"/>
      <c r="H695" s="43"/>
      <c r="I695" s="83"/>
      <c r="J695" s="85"/>
      <c r="K695" s="86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18" customHeight="1">
      <c r="A696" s="81"/>
      <c r="B696" s="43"/>
      <c r="C696" s="82"/>
      <c r="D696" s="43"/>
      <c r="E696" s="83"/>
      <c r="F696" s="84"/>
      <c r="G696" s="84"/>
      <c r="H696" s="43"/>
      <c r="I696" s="83"/>
      <c r="J696" s="85"/>
      <c r="K696" s="86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18" customHeight="1">
      <c r="A697" s="81"/>
      <c r="B697" s="43"/>
      <c r="C697" s="82"/>
      <c r="D697" s="43"/>
      <c r="E697" s="83"/>
      <c r="F697" s="84"/>
      <c r="G697" s="84"/>
      <c r="H697" s="43"/>
      <c r="I697" s="83"/>
      <c r="J697" s="85"/>
      <c r="K697" s="86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18" customHeight="1">
      <c r="A698" s="81"/>
      <c r="B698" s="43"/>
      <c r="C698" s="82"/>
      <c r="D698" s="43"/>
      <c r="E698" s="83"/>
      <c r="F698" s="84"/>
      <c r="G698" s="84"/>
      <c r="H698" s="43"/>
      <c r="I698" s="83"/>
      <c r="J698" s="85"/>
      <c r="K698" s="86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18" customHeight="1">
      <c r="A699" s="81"/>
      <c r="B699" s="43"/>
      <c r="C699" s="82"/>
      <c r="D699" s="43"/>
      <c r="E699" s="83"/>
      <c r="F699" s="84"/>
      <c r="G699" s="84"/>
      <c r="H699" s="43"/>
      <c r="I699" s="83"/>
      <c r="J699" s="85"/>
      <c r="K699" s="86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18" customHeight="1">
      <c r="A700" s="81"/>
      <c r="B700" s="43"/>
      <c r="C700" s="82"/>
      <c r="D700" s="43"/>
      <c r="E700" s="83"/>
      <c r="F700" s="84"/>
      <c r="G700" s="84"/>
      <c r="H700" s="43"/>
      <c r="I700" s="83"/>
      <c r="J700" s="85"/>
      <c r="K700" s="86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18" customHeight="1">
      <c r="A701" s="81"/>
      <c r="B701" s="43"/>
      <c r="C701" s="82"/>
      <c r="D701" s="43"/>
      <c r="E701" s="83"/>
      <c r="F701" s="84"/>
      <c r="G701" s="84"/>
      <c r="H701" s="43"/>
      <c r="I701" s="83"/>
      <c r="J701" s="85"/>
      <c r="K701" s="86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18" customHeight="1">
      <c r="A702" s="81"/>
      <c r="B702" s="43"/>
      <c r="C702" s="82"/>
      <c r="D702" s="43"/>
      <c r="E702" s="83"/>
      <c r="F702" s="84"/>
      <c r="G702" s="84"/>
      <c r="H702" s="43"/>
      <c r="I702" s="83"/>
      <c r="J702" s="85"/>
      <c r="K702" s="86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18" customHeight="1">
      <c r="A703" s="81"/>
      <c r="B703" s="43"/>
      <c r="C703" s="82"/>
      <c r="D703" s="43"/>
      <c r="E703" s="83"/>
      <c r="F703" s="84"/>
      <c r="G703" s="84"/>
      <c r="H703" s="43"/>
      <c r="I703" s="83"/>
      <c r="J703" s="85"/>
      <c r="K703" s="86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18" customHeight="1">
      <c r="A704" s="81"/>
      <c r="B704" s="43"/>
      <c r="C704" s="82"/>
      <c r="D704" s="43"/>
      <c r="E704" s="83"/>
      <c r="F704" s="84"/>
      <c r="G704" s="84"/>
      <c r="H704" s="43"/>
      <c r="I704" s="83"/>
      <c r="J704" s="85"/>
      <c r="K704" s="86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18" customHeight="1">
      <c r="A705" s="81"/>
      <c r="B705" s="43"/>
      <c r="C705" s="82"/>
      <c r="D705" s="43"/>
      <c r="E705" s="83"/>
      <c r="F705" s="84"/>
      <c r="G705" s="84"/>
      <c r="H705" s="43"/>
      <c r="I705" s="83"/>
      <c r="J705" s="85"/>
      <c r="K705" s="86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18" customHeight="1">
      <c r="A706" s="81"/>
      <c r="B706" s="43"/>
      <c r="C706" s="82"/>
      <c r="D706" s="43"/>
      <c r="E706" s="83"/>
      <c r="F706" s="84"/>
      <c r="G706" s="84"/>
      <c r="H706" s="43"/>
      <c r="I706" s="83"/>
      <c r="J706" s="85"/>
      <c r="K706" s="86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18" customHeight="1">
      <c r="A707" s="81"/>
      <c r="B707" s="43"/>
      <c r="C707" s="82"/>
      <c r="D707" s="43"/>
      <c r="E707" s="83"/>
      <c r="F707" s="84"/>
      <c r="G707" s="84"/>
      <c r="H707" s="43"/>
      <c r="I707" s="83"/>
      <c r="J707" s="85"/>
      <c r="K707" s="86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18" customHeight="1">
      <c r="A708" s="81"/>
      <c r="B708" s="43"/>
      <c r="C708" s="82"/>
      <c r="D708" s="43"/>
      <c r="E708" s="83"/>
      <c r="F708" s="84"/>
      <c r="G708" s="84"/>
      <c r="H708" s="43"/>
      <c r="I708" s="83"/>
      <c r="J708" s="85"/>
      <c r="K708" s="86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18" customHeight="1">
      <c r="A709" s="81"/>
      <c r="B709" s="43"/>
      <c r="C709" s="82"/>
      <c r="D709" s="43"/>
      <c r="E709" s="83"/>
      <c r="F709" s="84"/>
      <c r="G709" s="84"/>
      <c r="H709" s="43"/>
      <c r="I709" s="83"/>
      <c r="J709" s="85"/>
      <c r="K709" s="86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18" customHeight="1">
      <c r="A710" s="81"/>
      <c r="B710" s="43"/>
      <c r="C710" s="82"/>
      <c r="D710" s="43"/>
      <c r="E710" s="83"/>
      <c r="F710" s="84"/>
      <c r="G710" s="84"/>
      <c r="H710" s="43"/>
      <c r="I710" s="83"/>
      <c r="J710" s="85"/>
      <c r="K710" s="86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18" customHeight="1">
      <c r="A711" s="81"/>
      <c r="B711" s="43"/>
      <c r="C711" s="82"/>
      <c r="D711" s="43"/>
      <c r="E711" s="83"/>
      <c r="F711" s="84"/>
      <c r="G711" s="84"/>
      <c r="H711" s="43"/>
      <c r="I711" s="83"/>
      <c r="J711" s="85"/>
      <c r="K711" s="86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18" customHeight="1">
      <c r="A712" s="81"/>
      <c r="B712" s="43"/>
      <c r="C712" s="82"/>
      <c r="D712" s="43"/>
      <c r="E712" s="83"/>
      <c r="F712" s="84"/>
      <c r="G712" s="84"/>
      <c r="H712" s="43"/>
      <c r="I712" s="83"/>
      <c r="J712" s="85"/>
      <c r="K712" s="86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18" customHeight="1">
      <c r="A713" s="81"/>
      <c r="B713" s="43"/>
      <c r="C713" s="82"/>
      <c r="D713" s="43"/>
      <c r="E713" s="83"/>
      <c r="F713" s="84"/>
      <c r="G713" s="84"/>
      <c r="H713" s="43"/>
      <c r="I713" s="83"/>
      <c r="J713" s="85"/>
      <c r="K713" s="86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18" customHeight="1">
      <c r="A714" s="81"/>
      <c r="B714" s="43"/>
      <c r="C714" s="82"/>
      <c r="D714" s="43"/>
      <c r="E714" s="83"/>
      <c r="F714" s="84"/>
      <c r="G714" s="84"/>
      <c r="H714" s="43"/>
      <c r="I714" s="83"/>
      <c r="J714" s="85"/>
      <c r="K714" s="86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18" customHeight="1">
      <c r="A715" s="81"/>
      <c r="B715" s="43"/>
      <c r="C715" s="82"/>
      <c r="D715" s="43"/>
      <c r="E715" s="83"/>
      <c r="F715" s="84"/>
      <c r="G715" s="84"/>
      <c r="H715" s="43"/>
      <c r="I715" s="83"/>
      <c r="J715" s="85"/>
      <c r="K715" s="86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18" customHeight="1">
      <c r="A716" s="81"/>
      <c r="B716" s="43"/>
      <c r="C716" s="82"/>
      <c r="D716" s="43"/>
      <c r="E716" s="83"/>
      <c r="F716" s="84"/>
      <c r="G716" s="84"/>
      <c r="H716" s="43"/>
      <c r="I716" s="83"/>
      <c r="J716" s="85"/>
      <c r="K716" s="86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18" customHeight="1">
      <c r="A717" s="81"/>
      <c r="B717" s="43"/>
      <c r="C717" s="82"/>
      <c r="D717" s="43"/>
      <c r="E717" s="83"/>
      <c r="F717" s="84"/>
      <c r="G717" s="84"/>
      <c r="H717" s="43"/>
      <c r="I717" s="83"/>
      <c r="J717" s="85"/>
      <c r="K717" s="86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18" customHeight="1">
      <c r="A718" s="81"/>
      <c r="B718" s="43"/>
      <c r="C718" s="82"/>
      <c r="D718" s="43"/>
      <c r="E718" s="83"/>
      <c r="F718" s="84"/>
      <c r="G718" s="84"/>
      <c r="H718" s="43"/>
      <c r="I718" s="83"/>
      <c r="J718" s="85"/>
      <c r="K718" s="86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18" customHeight="1">
      <c r="A719" s="81"/>
      <c r="B719" s="43"/>
      <c r="C719" s="82"/>
      <c r="D719" s="43"/>
      <c r="E719" s="83"/>
      <c r="F719" s="84"/>
      <c r="G719" s="84"/>
      <c r="H719" s="43"/>
      <c r="I719" s="83"/>
      <c r="J719" s="85"/>
      <c r="K719" s="86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18" customHeight="1">
      <c r="A720" s="81"/>
      <c r="B720" s="43"/>
      <c r="C720" s="82"/>
      <c r="D720" s="43"/>
      <c r="E720" s="83"/>
      <c r="F720" s="84"/>
      <c r="G720" s="84"/>
      <c r="H720" s="43"/>
      <c r="I720" s="83"/>
      <c r="J720" s="85"/>
      <c r="K720" s="86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18" customHeight="1">
      <c r="A721" s="81"/>
      <c r="B721" s="43"/>
      <c r="C721" s="82"/>
      <c r="D721" s="43"/>
      <c r="E721" s="83"/>
      <c r="F721" s="84"/>
      <c r="G721" s="84"/>
      <c r="H721" s="43"/>
      <c r="I721" s="83"/>
      <c r="J721" s="85"/>
      <c r="K721" s="86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18" customHeight="1">
      <c r="A722" s="81"/>
      <c r="B722" s="43"/>
      <c r="C722" s="82"/>
      <c r="D722" s="43"/>
      <c r="E722" s="83"/>
      <c r="F722" s="84"/>
      <c r="G722" s="84"/>
      <c r="H722" s="43"/>
      <c r="I722" s="83"/>
      <c r="J722" s="85"/>
      <c r="K722" s="86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18" customHeight="1">
      <c r="A723" s="81"/>
      <c r="B723" s="43"/>
      <c r="C723" s="82"/>
      <c r="D723" s="43"/>
      <c r="E723" s="83"/>
      <c r="F723" s="84"/>
      <c r="G723" s="84"/>
      <c r="H723" s="43"/>
      <c r="I723" s="83"/>
      <c r="J723" s="85"/>
      <c r="K723" s="86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18" customHeight="1">
      <c r="A724" s="81"/>
      <c r="B724" s="43"/>
      <c r="C724" s="82"/>
      <c r="D724" s="43"/>
      <c r="E724" s="83"/>
      <c r="F724" s="84"/>
      <c r="G724" s="84"/>
      <c r="H724" s="43"/>
      <c r="I724" s="83"/>
      <c r="J724" s="85"/>
      <c r="K724" s="86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18" customHeight="1">
      <c r="A725" s="81"/>
      <c r="B725" s="43"/>
      <c r="C725" s="82"/>
      <c r="D725" s="43"/>
      <c r="E725" s="83"/>
      <c r="F725" s="84"/>
      <c r="G725" s="84"/>
      <c r="H725" s="43"/>
      <c r="I725" s="83"/>
      <c r="J725" s="85"/>
      <c r="K725" s="86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18" customHeight="1">
      <c r="A726" s="81"/>
      <c r="B726" s="43"/>
      <c r="C726" s="82"/>
      <c r="D726" s="43"/>
      <c r="E726" s="83"/>
      <c r="F726" s="84"/>
      <c r="G726" s="84"/>
      <c r="H726" s="43"/>
      <c r="I726" s="83"/>
      <c r="J726" s="85"/>
      <c r="K726" s="86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18" customHeight="1">
      <c r="A727" s="81"/>
      <c r="B727" s="43"/>
      <c r="C727" s="82"/>
      <c r="D727" s="43"/>
      <c r="E727" s="83"/>
      <c r="F727" s="84"/>
      <c r="G727" s="84"/>
      <c r="H727" s="43"/>
      <c r="I727" s="83"/>
      <c r="J727" s="85"/>
      <c r="K727" s="86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18" customHeight="1">
      <c r="A728" s="81"/>
      <c r="B728" s="43"/>
      <c r="C728" s="82"/>
      <c r="D728" s="43"/>
      <c r="E728" s="83"/>
      <c r="F728" s="84"/>
      <c r="G728" s="84"/>
      <c r="H728" s="43"/>
      <c r="I728" s="83"/>
      <c r="J728" s="85"/>
      <c r="K728" s="86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18" customHeight="1">
      <c r="A729" s="81"/>
      <c r="B729" s="43"/>
      <c r="C729" s="82"/>
      <c r="D729" s="43"/>
      <c r="E729" s="83"/>
      <c r="F729" s="84"/>
      <c r="G729" s="84"/>
      <c r="H729" s="43"/>
      <c r="I729" s="83"/>
      <c r="J729" s="85"/>
      <c r="K729" s="86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18" customHeight="1">
      <c r="A730" s="81"/>
      <c r="B730" s="43"/>
      <c r="C730" s="82"/>
      <c r="D730" s="43"/>
      <c r="E730" s="83"/>
      <c r="F730" s="84"/>
      <c r="G730" s="84"/>
      <c r="H730" s="43"/>
      <c r="I730" s="83"/>
      <c r="J730" s="85"/>
      <c r="K730" s="86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18" customHeight="1">
      <c r="A731" s="81"/>
      <c r="B731" s="43"/>
      <c r="C731" s="82"/>
      <c r="D731" s="43"/>
      <c r="E731" s="83"/>
      <c r="F731" s="84"/>
      <c r="G731" s="84"/>
      <c r="H731" s="43"/>
      <c r="I731" s="83"/>
      <c r="J731" s="85"/>
      <c r="K731" s="86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18" customHeight="1">
      <c r="A732" s="81"/>
      <c r="B732" s="43"/>
      <c r="C732" s="82"/>
      <c r="D732" s="43"/>
      <c r="E732" s="83"/>
      <c r="F732" s="84"/>
      <c r="G732" s="84"/>
      <c r="H732" s="43"/>
      <c r="I732" s="83"/>
      <c r="J732" s="85"/>
      <c r="K732" s="86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18" customHeight="1">
      <c r="A733" s="81"/>
      <c r="B733" s="43"/>
      <c r="C733" s="82"/>
      <c r="D733" s="43"/>
      <c r="E733" s="83"/>
      <c r="F733" s="84"/>
      <c r="G733" s="84"/>
      <c r="H733" s="43"/>
      <c r="I733" s="83"/>
      <c r="J733" s="85"/>
      <c r="K733" s="86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18" customHeight="1">
      <c r="A734" s="81"/>
      <c r="B734" s="43"/>
      <c r="C734" s="82"/>
      <c r="D734" s="43"/>
      <c r="E734" s="83"/>
      <c r="F734" s="84"/>
      <c r="G734" s="84"/>
      <c r="H734" s="43"/>
      <c r="I734" s="83"/>
      <c r="J734" s="85"/>
      <c r="K734" s="86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18" customHeight="1">
      <c r="A735" s="81"/>
      <c r="B735" s="43"/>
      <c r="C735" s="82"/>
      <c r="D735" s="43"/>
      <c r="E735" s="83"/>
      <c r="F735" s="84"/>
      <c r="G735" s="84"/>
      <c r="H735" s="43"/>
      <c r="I735" s="83"/>
      <c r="J735" s="85"/>
      <c r="K735" s="86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18" customHeight="1">
      <c r="A736" s="81"/>
      <c r="B736" s="43"/>
      <c r="C736" s="82"/>
      <c r="D736" s="43"/>
      <c r="E736" s="83"/>
      <c r="F736" s="84"/>
      <c r="G736" s="84"/>
      <c r="H736" s="43"/>
      <c r="I736" s="83"/>
      <c r="J736" s="85"/>
      <c r="K736" s="86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18" customHeight="1">
      <c r="A737" s="81"/>
      <c r="B737" s="43"/>
      <c r="C737" s="82"/>
      <c r="D737" s="43"/>
      <c r="E737" s="83"/>
      <c r="F737" s="84"/>
      <c r="G737" s="84"/>
      <c r="H737" s="43"/>
      <c r="I737" s="83"/>
      <c r="J737" s="85"/>
      <c r="K737" s="86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18" customHeight="1">
      <c r="A738" s="81"/>
      <c r="B738" s="43"/>
      <c r="C738" s="82"/>
      <c r="D738" s="43"/>
      <c r="E738" s="83"/>
      <c r="F738" s="84"/>
      <c r="G738" s="84"/>
      <c r="H738" s="43"/>
      <c r="I738" s="83"/>
      <c r="J738" s="85"/>
      <c r="K738" s="86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18" customHeight="1">
      <c r="A739" s="81"/>
      <c r="B739" s="43"/>
      <c r="C739" s="82"/>
      <c r="D739" s="43"/>
      <c r="E739" s="83"/>
      <c r="F739" s="84"/>
      <c r="G739" s="84"/>
      <c r="H739" s="43"/>
      <c r="I739" s="83"/>
      <c r="J739" s="85"/>
      <c r="K739" s="86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18" customHeight="1">
      <c r="A740" s="81"/>
      <c r="B740" s="43"/>
      <c r="C740" s="82"/>
      <c r="D740" s="43"/>
      <c r="E740" s="83"/>
      <c r="F740" s="84"/>
      <c r="G740" s="84"/>
      <c r="H740" s="43"/>
      <c r="I740" s="83"/>
      <c r="J740" s="85"/>
      <c r="K740" s="86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18" customHeight="1">
      <c r="A741" s="81"/>
      <c r="B741" s="43"/>
      <c r="C741" s="82"/>
      <c r="D741" s="43"/>
      <c r="E741" s="83"/>
      <c r="F741" s="84"/>
      <c r="G741" s="84"/>
      <c r="H741" s="43"/>
      <c r="I741" s="83"/>
      <c r="J741" s="85"/>
      <c r="K741" s="86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18" customHeight="1">
      <c r="A742" s="81"/>
      <c r="B742" s="43"/>
      <c r="C742" s="82"/>
      <c r="D742" s="43"/>
      <c r="E742" s="83"/>
      <c r="F742" s="84"/>
      <c r="G742" s="84"/>
      <c r="H742" s="43"/>
      <c r="I742" s="83"/>
      <c r="J742" s="85"/>
      <c r="K742" s="86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18" customHeight="1">
      <c r="A743" s="81"/>
      <c r="B743" s="43"/>
      <c r="C743" s="82"/>
      <c r="D743" s="43"/>
      <c r="E743" s="83"/>
      <c r="F743" s="84"/>
      <c r="G743" s="84"/>
      <c r="H743" s="43"/>
      <c r="I743" s="83"/>
      <c r="J743" s="85"/>
      <c r="K743" s="86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18" customHeight="1">
      <c r="A744" s="81"/>
      <c r="B744" s="43"/>
      <c r="C744" s="82"/>
      <c r="D744" s="43"/>
      <c r="E744" s="83"/>
      <c r="F744" s="84"/>
      <c r="G744" s="84"/>
      <c r="H744" s="43"/>
      <c r="I744" s="83"/>
      <c r="J744" s="85"/>
      <c r="K744" s="86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18" customHeight="1">
      <c r="A745" s="81"/>
      <c r="B745" s="43"/>
      <c r="C745" s="82"/>
      <c r="D745" s="43"/>
      <c r="E745" s="83"/>
      <c r="F745" s="84"/>
      <c r="G745" s="84"/>
      <c r="H745" s="43"/>
      <c r="I745" s="83"/>
      <c r="J745" s="85"/>
      <c r="K745" s="86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18" customHeight="1">
      <c r="A746" s="81"/>
      <c r="B746" s="43"/>
      <c r="C746" s="82"/>
      <c r="D746" s="43"/>
      <c r="E746" s="83"/>
      <c r="F746" s="84"/>
      <c r="G746" s="84"/>
      <c r="H746" s="43"/>
      <c r="I746" s="83"/>
      <c r="J746" s="85"/>
      <c r="K746" s="86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18" customHeight="1">
      <c r="A747" s="81"/>
      <c r="B747" s="43"/>
      <c r="C747" s="82"/>
      <c r="D747" s="43"/>
      <c r="E747" s="83"/>
      <c r="F747" s="84"/>
      <c r="G747" s="84"/>
      <c r="H747" s="43"/>
      <c r="I747" s="83"/>
      <c r="J747" s="85"/>
      <c r="K747" s="86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18" customHeight="1">
      <c r="A748" s="81"/>
      <c r="B748" s="43"/>
      <c r="C748" s="82"/>
      <c r="D748" s="43"/>
      <c r="E748" s="83"/>
      <c r="F748" s="84"/>
      <c r="G748" s="84"/>
      <c r="H748" s="43"/>
      <c r="I748" s="83"/>
      <c r="J748" s="85"/>
      <c r="K748" s="86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18" customHeight="1">
      <c r="A749" s="81"/>
      <c r="B749" s="43"/>
      <c r="C749" s="82"/>
      <c r="D749" s="43"/>
      <c r="E749" s="83"/>
      <c r="F749" s="84"/>
      <c r="G749" s="84"/>
      <c r="H749" s="43"/>
      <c r="I749" s="83"/>
      <c r="J749" s="85"/>
      <c r="K749" s="86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18" customHeight="1">
      <c r="A750" s="81"/>
      <c r="B750" s="43"/>
      <c r="C750" s="82"/>
      <c r="D750" s="43"/>
      <c r="E750" s="83"/>
      <c r="F750" s="84"/>
      <c r="G750" s="84"/>
      <c r="H750" s="43"/>
      <c r="I750" s="83"/>
      <c r="J750" s="85"/>
      <c r="K750" s="86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18" customHeight="1">
      <c r="A751" s="81"/>
      <c r="B751" s="43"/>
      <c r="C751" s="82"/>
      <c r="D751" s="43"/>
      <c r="E751" s="83"/>
      <c r="F751" s="84"/>
      <c r="G751" s="84"/>
      <c r="H751" s="43"/>
      <c r="I751" s="83"/>
      <c r="J751" s="85"/>
      <c r="K751" s="86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18" customHeight="1">
      <c r="A752" s="81"/>
      <c r="B752" s="43"/>
      <c r="C752" s="82"/>
      <c r="D752" s="43"/>
      <c r="E752" s="83"/>
      <c r="F752" s="84"/>
      <c r="G752" s="84"/>
      <c r="H752" s="43"/>
      <c r="I752" s="83"/>
      <c r="J752" s="85"/>
      <c r="K752" s="86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18" customHeight="1">
      <c r="A753" s="81"/>
      <c r="B753" s="43"/>
      <c r="C753" s="82"/>
      <c r="D753" s="43"/>
      <c r="E753" s="83"/>
      <c r="F753" s="84"/>
      <c r="G753" s="84"/>
      <c r="H753" s="43"/>
      <c r="I753" s="83"/>
      <c r="J753" s="85"/>
      <c r="K753" s="86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18" customHeight="1">
      <c r="A754" s="81"/>
      <c r="B754" s="43"/>
      <c r="C754" s="82"/>
      <c r="D754" s="43"/>
      <c r="E754" s="83"/>
      <c r="F754" s="84"/>
      <c r="G754" s="84"/>
      <c r="H754" s="43"/>
      <c r="I754" s="83"/>
      <c r="J754" s="85"/>
      <c r="K754" s="86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18" customHeight="1">
      <c r="A755" s="81"/>
      <c r="B755" s="43"/>
      <c r="C755" s="82"/>
      <c r="D755" s="43"/>
      <c r="E755" s="83"/>
      <c r="F755" s="84"/>
      <c r="G755" s="84"/>
      <c r="H755" s="43"/>
      <c r="I755" s="83"/>
      <c r="J755" s="85"/>
      <c r="K755" s="86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18" customHeight="1">
      <c r="A756" s="81"/>
      <c r="B756" s="43"/>
      <c r="C756" s="82"/>
      <c r="D756" s="43"/>
      <c r="E756" s="83"/>
      <c r="F756" s="84"/>
      <c r="G756" s="84"/>
      <c r="H756" s="43"/>
      <c r="I756" s="83"/>
      <c r="J756" s="85"/>
      <c r="K756" s="86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18" customHeight="1">
      <c r="A757" s="81"/>
      <c r="B757" s="43"/>
      <c r="C757" s="82"/>
      <c r="D757" s="43"/>
      <c r="E757" s="83"/>
      <c r="F757" s="84"/>
      <c r="G757" s="84"/>
      <c r="H757" s="43"/>
      <c r="I757" s="83"/>
      <c r="J757" s="85"/>
      <c r="K757" s="86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18" customHeight="1">
      <c r="A758" s="81"/>
      <c r="B758" s="43"/>
      <c r="C758" s="82"/>
      <c r="D758" s="43"/>
      <c r="E758" s="83"/>
      <c r="F758" s="84"/>
      <c r="G758" s="84"/>
      <c r="H758" s="43"/>
      <c r="I758" s="83"/>
      <c r="J758" s="85"/>
      <c r="K758" s="86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18" customHeight="1">
      <c r="A759" s="81"/>
      <c r="B759" s="43"/>
      <c r="C759" s="82"/>
      <c r="D759" s="43"/>
      <c r="E759" s="83"/>
      <c r="F759" s="84"/>
      <c r="G759" s="84"/>
      <c r="H759" s="43"/>
      <c r="I759" s="83"/>
      <c r="J759" s="85"/>
      <c r="K759" s="86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18" customHeight="1">
      <c r="A760" s="81"/>
      <c r="B760" s="43"/>
      <c r="C760" s="82"/>
      <c r="D760" s="43"/>
      <c r="E760" s="83"/>
      <c r="F760" s="84"/>
      <c r="G760" s="84"/>
      <c r="H760" s="43"/>
      <c r="I760" s="83"/>
      <c r="J760" s="85"/>
      <c r="K760" s="86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18" customHeight="1">
      <c r="A761" s="81"/>
      <c r="B761" s="43"/>
      <c r="C761" s="82"/>
      <c r="D761" s="43"/>
      <c r="E761" s="83"/>
      <c r="F761" s="84"/>
      <c r="G761" s="84"/>
      <c r="H761" s="43"/>
      <c r="I761" s="83"/>
      <c r="J761" s="85"/>
      <c r="K761" s="86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18" customHeight="1">
      <c r="A762" s="81"/>
      <c r="B762" s="43"/>
      <c r="C762" s="82"/>
      <c r="D762" s="43"/>
      <c r="E762" s="83"/>
      <c r="F762" s="84"/>
      <c r="G762" s="84"/>
      <c r="H762" s="43"/>
      <c r="I762" s="83"/>
      <c r="J762" s="85"/>
      <c r="K762" s="86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18" customHeight="1">
      <c r="A763" s="81"/>
      <c r="B763" s="43"/>
      <c r="C763" s="82"/>
      <c r="D763" s="43"/>
      <c r="E763" s="83"/>
      <c r="F763" s="84"/>
      <c r="G763" s="84"/>
      <c r="H763" s="43"/>
      <c r="I763" s="83"/>
      <c r="J763" s="85"/>
      <c r="K763" s="86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18" customHeight="1">
      <c r="A764" s="81"/>
      <c r="B764" s="43"/>
      <c r="C764" s="82"/>
      <c r="D764" s="43"/>
      <c r="E764" s="83"/>
      <c r="F764" s="84"/>
      <c r="G764" s="84"/>
      <c r="H764" s="43"/>
      <c r="I764" s="83"/>
      <c r="J764" s="85"/>
      <c r="K764" s="86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18" customHeight="1">
      <c r="A765" s="81"/>
      <c r="B765" s="43"/>
      <c r="C765" s="82"/>
      <c r="D765" s="43"/>
      <c r="E765" s="83"/>
      <c r="F765" s="84"/>
      <c r="G765" s="84"/>
      <c r="H765" s="43"/>
      <c r="I765" s="83"/>
      <c r="J765" s="85"/>
      <c r="K765" s="86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18" customHeight="1">
      <c r="A766" s="81"/>
      <c r="B766" s="43"/>
      <c r="C766" s="82"/>
      <c r="D766" s="43"/>
      <c r="E766" s="83"/>
      <c r="F766" s="84"/>
      <c r="G766" s="84"/>
      <c r="H766" s="43"/>
      <c r="I766" s="83"/>
      <c r="J766" s="85"/>
      <c r="K766" s="86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18" customHeight="1">
      <c r="A767" s="81"/>
      <c r="B767" s="43"/>
      <c r="C767" s="82"/>
      <c r="D767" s="43"/>
      <c r="E767" s="83"/>
      <c r="F767" s="84"/>
      <c r="G767" s="84"/>
      <c r="H767" s="43"/>
      <c r="I767" s="83"/>
      <c r="J767" s="85"/>
      <c r="K767" s="86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18" customHeight="1">
      <c r="A768" s="81"/>
      <c r="B768" s="43"/>
      <c r="C768" s="82"/>
      <c r="D768" s="43"/>
      <c r="E768" s="83"/>
      <c r="F768" s="84"/>
      <c r="G768" s="84"/>
      <c r="H768" s="43"/>
      <c r="I768" s="83"/>
      <c r="J768" s="85"/>
      <c r="K768" s="86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18" customHeight="1">
      <c r="A769" s="81"/>
      <c r="B769" s="43"/>
      <c r="C769" s="82"/>
      <c r="D769" s="43"/>
      <c r="E769" s="83"/>
      <c r="F769" s="84"/>
      <c r="G769" s="84"/>
      <c r="H769" s="43"/>
      <c r="I769" s="83"/>
      <c r="J769" s="85"/>
      <c r="K769" s="86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18" customHeight="1">
      <c r="A770" s="81"/>
      <c r="B770" s="43"/>
      <c r="C770" s="82"/>
      <c r="D770" s="43"/>
      <c r="E770" s="83"/>
      <c r="F770" s="84"/>
      <c r="G770" s="84"/>
      <c r="H770" s="43"/>
      <c r="I770" s="83"/>
      <c r="J770" s="85"/>
      <c r="K770" s="86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18" customHeight="1">
      <c r="A771" s="81"/>
      <c r="B771" s="43"/>
      <c r="C771" s="82"/>
      <c r="D771" s="43"/>
      <c r="E771" s="83"/>
      <c r="F771" s="84"/>
      <c r="G771" s="84"/>
      <c r="H771" s="43"/>
      <c r="I771" s="83"/>
      <c r="J771" s="85"/>
      <c r="K771" s="86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18" customHeight="1">
      <c r="A772" s="81"/>
      <c r="B772" s="43"/>
      <c r="C772" s="82"/>
      <c r="D772" s="43"/>
      <c r="E772" s="83"/>
      <c r="F772" s="84"/>
      <c r="G772" s="84"/>
      <c r="H772" s="43"/>
      <c r="I772" s="83"/>
      <c r="J772" s="85"/>
      <c r="K772" s="86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18" customHeight="1">
      <c r="A773" s="81"/>
      <c r="B773" s="43"/>
      <c r="C773" s="82"/>
      <c r="D773" s="43"/>
      <c r="E773" s="83"/>
      <c r="F773" s="84"/>
      <c r="G773" s="84"/>
      <c r="H773" s="43"/>
      <c r="I773" s="83"/>
      <c r="J773" s="85"/>
      <c r="K773" s="86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18" customHeight="1">
      <c r="A774" s="81"/>
      <c r="B774" s="43"/>
      <c r="C774" s="82"/>
      <c r="D774" s="43"/>
      <c r="E774" s="83"/>
      <c r="F774" s="84"/>
      <c r="G774" s="84"/>
      <c r="H774" s="43"/>
      <c r="I774" s="83"/>
      <c r="J774" s="85"/>
      <c r="K774" s="86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18" customHeight="1">
      <c r="A775" s="81"/>
      <c r="B775" s="43"/>
      <c r="C775" s="82"/>
      <c r="D775" s="43"/>
      <c r="E775" s="83"/>
      <c r="F775" s="84"/>
      <c r="G775" s="84"/>
      <c r="H775" s="43"/>
      <c r="I775" s="83"/>
      <c r="J775" s="85"/>
      <c r="K775" s="86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18" customHeight="1">
      <c r="A776" s="81"/>
      <c r="B776" s="43"/>
      <c r="C776" s="82"/>
      <c r="D776" s="43"/>
      <c r="E776" s="83"/>
      <c r="F776" s="84"/>
      <c r="G776" s="84"/>
      <c r="H776" s="43"/>
      <c r="I776" s="83"/>
      <c r="J776" s="85"/>
      <c r="K776" s="86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18" customHeight="1">
      <c r="A777" s="81"/>
      <c r="B777" s="43"/>
      <c r="C777" s="82"/>
      <c r="D777" s="43"/>
      <c r="E777" s="83"/>
      <c r="F777" s="84"/>
      <c r="G777" s="84"/>
      <c r="H777" s="43"/>
      <c r="I777" s="83"/>
      <c r="J777" s="85"/>
      <c r="K777" s="86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18" customHeight="1">
      <c r="A778" s="81"/>
      <c r="B778" s="43"/>
      <c r="C778" s="82"/>
      <c r="D778" s="43"/>
      <c r="E778" s="83"/>
      <c r="F778" s="84"/>
      <c r="G778" s="84"/>
      <c r="H778" s="43"/>
      <c r="I778" s="83"/>
      <c r="J778" s="85"/>
      <c r="K778" s="86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18" customHeight="1">
      <c r="A779" s="81"/>
      <c r="B779" s="43"/>
      <c r="C779" s="82"/>
      <c r="D779" s="43"/>
      <c r="E779" s="83"/>
      <c r="F779" s="84"/>
      <c r="G779" s="84"/>
      <c r="H779" s="43"/>
      <c r="I779" s="83"/>
      <c r="J779" s="85"/>
      <c r="K779" s="86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18" customHeight="1">
      <c r="A780" s="81"/>
      <c r="B780" s="43"/>
      <c r="C780" s="82"/>
      <c r="D780" s="43"/>
      <c r="E780" s="83"/>
      <c r="F780" s="84"/>
      <c r="G780" s="84"/>
      <c r="H780" s="43"/>
      <c r="I780" s="83"/>
      <c r="J780" s="85"/>
      <c r="K780" s="86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18" customHeight="1">
      <c r="A781" s="81"/>
      <c r="B781" s="43"/>
      <c r="C781" s="82"/>
      <c r="D781" s="43"/>
      <c r="E781" s="83"/>
      <c r="F781" s="84"/>
      <c r="G781" s="84"/>
      <c r="H781" s="43"/>
      <c r="I781" s="83"/>
      <c r="J781" s="85"/>
      <c r="K781" s="86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18" customHeight="1">
      <c r="A782" s="81"/>
      <c r="B782" s="43"/>
      <c r="C782" s="82"/>
      <c r="D782" s="43"/>
      <c r="E782" s="83"/>
      <c r="F782" s="84"/>
      <c r="G782" s="84"/>
      <c r="H782" s="43"/>
      <c r="I782" s="83"/>
      <c r="J782" s="85"/>
      <c r="K782" s="86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18" customHeight="1">
      <c r="A783" s="81"/>
      <c r="B783" s="43"/>
      <c r="C783" s="82"/>
      <c r="D783" s="43"/>
      <c r="E783" s="83"/>
      <c r="F783" s="84"/>
      <c r="G783" s="84"/>
      <c r="H783" s="43"/>
      <c r="I783" s="83"/>
      <c r="J783" s="85"/>
      <c r="K783" s="86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18" customHeight="1">
      <c r="A784" s="81"/>
      <c r="B784" s="43"/>
      <c r="C784" s="82"/>
      <c r="D784" s="43"/>
      <c r="E784" s="83"/>
      <c r="F784" s="84"/>
      <c r="G784" s="84"/>
      <c r="H784" s="43"/>
      <c r="I784" s="83"/>
      <c r="J784" s="85"/>
      <c r="K784" s="86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18" customHeight="1">
      <c r="A785" s="81"/>
      <c r="B785" s="43"/>
      <c r="C785" s="82"/>
      <c r="D785" s="43"/>
      <c r="E785" s="83"/>
      <c r="F785" s="84"/>
      <c r="G785" s="84"/>
      <c r="H785" s="43"/>
      <c r="I785" s="83"/>
      <c r="J785" s="85"/>
      <c r="K785" s="86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18" customHeight="1">
      <c r="A786" s="81"/>
      <c r="B786" s="43"/>
      <c r="C786" s="82"/>
      <c r="D786" s="43"/>
      <c r="E786" s="83"/>
      <c r="F786" s="84"/>
      <c r="G786" s="84"/>
      <c r="H786" s="43"/>
      <c r="I786" s="83"/>
      <c r="J786" s="85"/>
      <c r="K786" s="86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18" customHeight="1">
      <c r="A787" s="81"/>
      <c r="B787" s="43"/>
      <c r="C787" s="82"/>
      <c r="D787" s="43"/>
      <c r="E787" s="83"/>
      <c r="F787" s="84"/>
      <c r="G787" s="84"/>
      <c r="H787" s="43"/>
      <c r="I787" s="83"/>
      <c r="J787" s="85"/>
      <c r="K787" s="86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18" customHeight="1">
      <c r="A788" s="81"/>
      <c r="B788" s="43"/>
      <c r="C788" s="82"/>
      <c r="D788" s="43"/>
      <c r="E788" s="83"/>
      <c r="F788" s="84"/>
      <c r="G788" s="84"/>
      <c r="H788" s="43"/>
      <c r="I788" s="83"/>
      <c r="J788" s="85"/>
      <c r="K788" s="86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18" customHeight="1">
      <c r="A789" s="81"/>
      <c r="B789" s="43"/>
      <c r="C789" s="82"/>
      <c r="D789" s="43"/>
      <c r="E789" s="83"/>
      <c r="F789" s="84"/>
      <c r="G789" s="84"/>
      <c r="H789" s="43"/>
      <c r="I789" s="83"/>
      <c r="J789" s="85"/>
      <c r="K789" s="86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18" customHeight="1">
      <c r="A790" s="81"/>
      <c r="B790" s="43"/>
      <c r="C790" s="82"/>
      <c r="D790" s="43"/>
      <c r="E790" s="83"/>
      <c r="F790" s="84"/>
      <c r="G790" s="84"/>
      <c r="H790" s="43"/>
      <c r="I790" s="83"/>
      <c r="J790" s="85"/>
      <c r="K790" s="86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18" customHeight="1">
      <c r="A791" s="81"/>
      <c r="B791" s="43"/>
      <c r="C791" s="82"/>
      <c r="D791" s="43"/>
      <c r="E791" s="83"/>
      <c r="F791" s="84"/>
      <c r="G791" s="84"/>
      <c r="H791" s="43"/>
      <c r="I791" s="83"/>
      <c r="J791" s="85"/>
      <c r="K791" s="86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18" customHeight="1">
      <c r="A792" s="81"/>
      <c r="B792" s="43"/>
      <c r="C792" s="82"/>
      <c r="D792" s="43"/>
      <c r="E792" s="83"/>
      <c r="F792" s="84"/>
      <c r="G792" s="84"/>
      <c r="H792" s="43"/>
      <c r="I792" s="83"/>
      <c r="J792" s="85"/>
      <c r="K792" s="86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18" customHeight="1">
      <c r="A793" s="81"/>
      <c r="B793" s="43"/>
      <c r="C793" s="82"/>
      <c r="D793" s="43"/>
      <c r="E793" s="83"/>
      <c r="F793" s="84"/>
      <c r="G793" s="84"/>
      <c r="H793" s="43"/>
      <c r="I793" s="83"/>
      <c r="J793" s="85"/>
      <c r="K793" s="86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18" customHeight="1">
      <c r="A794" s="81"/>
      <c r="B794" s="43"/>
      <c r="C794" s="82"/>
      <c r="D794" s="43"/>
      <c r="E794" s="83"/>
      <c r="F794" s="84"/>
      <c r="G794" s="84"/>
      <c r="H794" s="43"/>
      <c r="I794" s="83"/>
      <c r="J794" s="85"/>
      <c r="K794" s="86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18" customHeight="1">
      <c r="A795" s="81"/>
      <c r="B795" s="43"/>
      <c r="C795" s="82"/>
      <c r="D795" s="43"/>
      <c r="E795" s="83"/>
      <c r="F795" s="84"/>
      <c r="G795" s="84"/>
      <c r="H795" s="43"/>
      <c r="I795" s="83"/>
      <c r="J795" s="85"/>
      <c r="K795" s="86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18" customHeight="1">
      <c r="A796" s="81"/>
      <c r="B796" s="43"/>
      <c r="C796" s="82"/>
      <c r="D796" s="43"/>
      <c r="E796" s="83"/>
      <c r="F796" s="84"/>
      <c r="G796" s="84"/>
      <c r="H796" s="43"/>
      <c r="I796" s="83"/>
      <c r="J796" s="85"/>
      <c r="K796" s="86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18" customHeight="1">
      <c r="A797" s="81"/>
      <c r="B797" s="43"/>
      <c r="C797" s="82"/>
      <c r="D797" s="43"/>
      <c r="E797" s="83"/>
      <c r="F797" s="84"/>
      <c r="G797" s="84"/>
      <c r="H797" s="43"/>
      <c r="I797" s="83"/>
      <c r="J797" s="85"/>
      <c r="K797" s="86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18" customHeight="1">
      <c r="A798" s="81"/>
      <c r="B798" s="43"/>
      <c r="C798" s="82"/>
      <c r="D798" s="43"/>
      <c r="E798" s="83"/>
      <c r="F798" s="84"/>
      <c r="G798" s="84"/>
      <c r="H798" s="43"/>
      <c r="I798" s="83"/>
      <c r="J798" s="85"/>
      <c r="K798" s="86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18" customHeight="1">
      <c r="A799" s="81"/>
      <c r="B799" s="43"/>
      <c r="C799" s="82"/>
      <c r="D799" s="43"/>
      <c r="E799" s="83"/>
      <c r="F799" s="84"/>
      <c r="G799" s="84"/>
      <c r="H799" s="43"/>
      <c r="I799" s="83"/>
      <c r="J799" s="85"/>
      <c r="K799" s="86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18" customHeight="1">
      <c r="A800" s="81"/>
      <c r="B800" s="43"/>
      <c r="C800" s="82"/>
      <c r="D800" s="43"/>
      <c r="E800" s="83"/>
      <c r="F800" s="84"/>
      <c r="G800" s="84"/>
      <c r="H800" s="43"/>
      <c r="I800" s="83"/>
      <c r="J800" s="85"/>
      <c r="K800" s="86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18" customHeight="1">
      <c r="A801" s="81"/>
      <c r="B801" s="43"/>
      <c r="C801" s="82"/>
      <c r="D801" s="43"/>
      <c r="E801" s="83"/>
      <c r="F801" s="84"/>
      <c r="G801" s="84"/>
      <c r="H801" s="43"/>
      <c r="I801" s="83"/>
      <c r="J801" s="85"/>
      <c r="K801" s="86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18" customHeight="1">
      <c r="A802" s="81"/>
      <c r="B802" s="43"/>
      <c r="C802" s="82"/>
      <c r="D802" s="43"/>
      <c r="E802" s="83"/>
      <c r="F802" s="84"/>
      <c r="G802" s="84"/>
      <c r="H802" s="43"/>
      <c r="I802" s="83"/>
      <c r="J802" s="85"/>
      <c r="K802" s="86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18" customHeight="1">
      <c r="A803" s="81"/>
      <c r="B803" s="43"/>
      <c r="C803" s="82"/>
      <c r="D803" s="43"/>
      <c r="E803" s="83"/>
      <c r="F803" s="84"/>
      <c r="G803" s="84"/>
      <c r="H803" s="43"/>
      <c r="I803" s="83"/>
      <c r="J803" s="85"/>
      <c r="K803" s="86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18" customHeight="1">
      <c r="A804" s="81"/>
      <c r="B804" s="43"/>
      <c r="C804" s="82"/>
      <c r="D804" s="43"/>
      <c r="E804" s="83"/>
      <c r="F804" s="84"/>
      <c r="G804" s="84"/>
      <c r="H804" s="43"/>
      <c r="I804" s="83"/>
      <c r="J804" s="85"/>
      <c r="K804" s="86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18" customHeight="1">
      <c r="A805" s="81"/>
      <c r="B805" s="43"/>
      <c r="C805" s="82"/>
      <c r="D805" s="43"/>
      <c r="E805" s="83"/>
      <c r="F805" s="84"/>
      <c r="G805" s="84"/>
      <c r="H805" s="43"/>
      <c r="I805" s="83"/>
      <c r="J805" s="85"/>
      <c r="K805" s="86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18" customHeight="1">
      <c r="A806" s="81"/>
      <c r="B806" s="43"/>
      <c r="C806" s="82"/>
      <c r="D806" s="43"/>
      <c r="E806" s="83"/>
      <c r="F806" s="84"/>
      <c r="G806" s="84"/>
      <c r="H806" s="43"/>
      <c r="I806" s="83"/>
      <c r="J806" s="85"/>
      <c r="K806" s="86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18" customHeight="1">
      <c r="A807" s="81"/>
      <c r="B807" s="43"/>
      <c r="C807" s="82"/>
      <c r="D807" s="43"/>
      <c r="E807" s="83"/>
      <c r="F807" s="84"/>
      <c r="G807" s="84"/>
      <c r="H807" s="43"/>
      <c r="I807" s="83"/>
      <c r="J807" s="85"/>
      <c r="K807" s="86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18" customHeight="1">
      <c r="A808" s="81"/>
      <c r="B808" s="43"/>
      <c r="C808" s="82"/>
      <c r="D808" s="43"/>
      <c r="E808" s="83"/>
      <c r="F808" s="84"/>
      <c r="G808" s="84"/>
      <c r="H808" s="43"/>
      <c r="I808" s="83"/>
      <c r="J808" s="85"/>
      <c r="K808" s="86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18" customHeight="1">
      <c r="A809" s="81"/>
      <c r="B809" s="43"/>
      <c r="C809" s="82"/>
      <c r="D809" s="43"/>
      <c r="E809" s="83"/>
      <c r="F809" s="84"/>
      <c r="G809" s="84"/>
      <c r="H809" s="43"/>
      <c r="I809" s="83"/>
      <c r="J809" s="85"/>
      <c r="K809" s="86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18" customHeight="1">
      <c r="A810" s="81"/>
      <c r="B810" s="43"/>
      <c r="C810" s="82"/>
      <c r="D810" s="43"/>
      <c r="E810" s="83"/>
      <c r="F810" s="84"/>
      <c r="G810" s="84"/>
      <c r="H810" s="43"/>
      <c r="I810" s="83"/>
      <c r="J810" s="85"/>
      <c r="K810" s="86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18" customHeight="1">
      <c r="A811" s="81"/>
      <c r="B811" s="43"/>
      <c r="C811" s="82"/>
      <c r="D811" s="43"/>
      <c r="E811" s="83"/>
      <c r="F811" s="84"/>
      <c r="G811" s="84"/>
      <c r="H811" s="43"/>
      <c r="I811" s="83"/>
      <c r="J811" s="85"/>
      <c r="K811" s="86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18" customHeight="1">
      <c r="A812" s="81"/>
      <c r="B812" s="43"/>
      <c r="C812" s="82"/>
      <c r="D812" s="43"/>
      <c r="E812" s="83"/>
      <c r="F812" s="84"/>
      <c r="G812" s="84"/>
      <c r="H812" s="43"/>
      <c r="I812" s="83"/>
      <c r="J812" s="85"/>
      <c r="K812" s="86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18" customHeight="1">
      <c r="A813" s="81"/>
      <c r="B813" s="43"/>
      <c r="C813" s="82"/>
      <c r="D813" s="43"/>
      <c r="E813" s="83"/>
      <c r="F813" s="84"/>
      <c r="G813" s="84"/>
      <c r="H813" s="43"/>
      <c r="I813" s="83"/>
      <c r="J813" s="85"/>
      <c r="K813" s="86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18" customHeight="1">
      <c r="A814" s="81"/>
      <c r="B814" s="43"/>
      <c r="C814" s="82"/>
      <c r="D814" s="43"/>
      <c r="E814" s="83"/>
      <c r="F814" s="84"/>
      <c r="G814" s="84"/>
      <c r="H814" s="43"/>
      <c r="I814" s="83"/>
      <c r="J814" s="85"/>
      <c r="K814" s="86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18" customHeight="1">
      <c r="A815" s="81"/>
      <c r="B815" s="43"/>
      <c r="C815" s="82"/>
      <c r="D815" s="43"/>
      <c r="E815" s="83"/>
      <c r="F815" s="84"/>
      <c r="G815" s="84"/>
      <c r="H815" s="43"/>
      <c r="I815" s="83"/>
      <c r="J815" s="85"/>
      <c r="K815" s="86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18" customHeight="1">
      <c r="A816" s="81"/>
      <c r="B816" s="43"/>
      <c r="C816" s="82"/>
      <c r="D816" s="43"/>
      <c r="E816" s="83"/>
      <c r="F816" s="84"/>
      <c r="G816" s="84"/>
      <c r="H816" s="43"/>
      <c r="I816" s="83"/>
      <c r="J816" s="85"/>
      <c r="K816" s="86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18" customHeight="1">
      <c r="A817" s="81"/>
      <c r="B817" s="43"/>
      <c r="C817" s="82"/>
      <c r="D817" s="43"/>
      <c r="E817" s="83"/>
      <c r="F817" s="84"/>
      <c r="G817" s="84"/>
      <c r="H817" s="43"/>
      <c r="I817" s="83"/>
      <c r="J817" s="85"/>
      <c r="K817" s="86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18" customHeight="1">
      <c r="A818" s="81"/>
      <c r="B818" s="43"/>
      <c r="C818" s="82"/>
      <c r="D818" s="43"/>
      <c r="E818" s="83"/>
      <c r="F818" s="84"/>
      <c r="G818" s="84"/>
      <c r="H818" s="43"/>
      <c r="I818" s="83"/>
      <c r="J818" s="85"/>
      <c r="K818" s="86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18" customHeight="1">
      <c r="A819" s="81"/>
      <c r="B819" s="43"/>
      <c r="C819" s="82"/>
      <c r="D819" s="43"/>
      <c r="E819" s="83"/>
      <c r="F819" s="84"/>
      <c r="G819" s="84"/>
      <c r="H819" s="43"/>
      <c r="I819" s="83"/>
      <c r="J819" s="85"/>
      <c r="K819" s="86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18" customHeight="1">
      <c r="A820" s="81"/>
      <c r="B820" s="43"/>
      <c r="C820" s="82"/>
      <c r="D820" s="43"/>
      <c r="E820" s="83"/>
      <c r="F820" s="84"/>
      <c r="G820" s="84"/>
      <c r="H820" s="43"/>
      <c r="I820" s="83"/>
      <c r="J820" s="85"/>
      <c r="K820" s="86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18" customHeight="1">
      <c r="A821" s="81"/>
      <c r="B821" s="43"/>
      <c r="C821" s="82"/>
      <c r="D821" s="43"/>
      <c r="E821" s="83"/>
      <c r="F821" s="84"/>
      <c r="G821" s="84"/>
      <c r="H821" s="43"/>
      <c r="I821" s="83"/>
      <c r="J821" s="85"/>
      <c r="K821" s="86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18" customHeight="1">
      <c r="A822" s="81"/>
      <c r="B822" s="43"/>
      <c r="C822" s="82"/>
      <c r="D822" s="43"/>
      <c r="E822" s="83"/>
      <c r="F822" s="84"/>
      <c r="G822" s="84"/>
      <c r="H822" s="43"/>
      <c r="I822" s="83"/>
      <c r="J822" s="85"/>
      <c r="K822" s="86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18" customHeight="1">
      <c r="A823" s="81"/>
      <c r="B823" s="43"/>
      <c r="C823" s="82"/>
      <c r="D823" s="43"/>
      <c r="E823" s="83"/>
      <c r="F823" s="84"/>
      <c r="G823" s="84"/>
      <c r="H823" s="43"/>
      <c r="I823" s="83"/>
      <c r="J823" s="85"/>
      <c r="K823" s="86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18" customHeight="1">
      <c r="A824" s="81"/>
      <c r="B824" s="43"/>
      <c r="C824" s="82"/>
      <c r="D824" s="43"/>
      <c r="E824" s="83"/>
      <c r="F824" s="84"/>
      <c r="G824" s="84"/>
      <c r="H824" s="43"/>
      <c r="I824" s="83"/>
      <c r="J824" s="85"/>
      <c r="K824" s="86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18" customHeight="1">
      <c r="A825" s="81"/>
      <c r="B825" s="43"/>
      <c r="C825" s="82"/>
      <c r="D825" s="43"/>
      <c r="E825" s="83"/>
      <c r="F825" s="84"/>
      <c r="G825" s="84"/>
      <c r="H825" s="43"/>
      <c r="I825" s="83"/>
      <c r="J825" s="85"/>
      <c r="K825" s="86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18" customHeight="1">
      <c r="A826" s="81"/>
      <c r="B826" s="43"/>
      <c r="C826" s="82"/>
      <c r="D826" s="43"/>
      <c r="E826" s="83"/>
      <c r="F826" s="84"/>
      <c r="G826" s="84"/>
      <c r="H826" s="43"/>
      <c r="I826" s="83"/>
      <c r="J826" s="85"/>
      <c r="K826" s="86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18" customHeight="1">
      <c r="A827" s="81"/>
      <c r="B827" s="43"/>
      <c r="C827" s="82"/>
      <c r="D827" s="43"/>
      <c r="E827" s="83"/>
      <c r="F827" s="84"/>
      <c r="G827" s="84"/>
      <c r="H827" s="43"/>
      <c r="I827" s="83"/>
      <c r="J827" s="85"/>
      <c r="K827" s="86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18" customHeight="1">
      <c r="A828" s="81"/>
      <c r="B828" s="43"/>
      <c r="C828" s="82"/>
      <c r="D828" s="43"/>
      <c r="E828" s="83"/>
      <c r="F828" s="84"/>
      <c r="G828" s="84"/>
      <c r="H828" s="43"/>
      <c r="I828" s="83"/>
      <c r="J828" s="85"/>
      <c r="K828" s="86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18" customHeight="1">
      <c r="A829" s="81"/>
      <c r="B829" s="43"/>
      <c r="C829" s="82"/>
      <c r="D829" s="43"/>
      <c r="E829" s="83"/>
      <c r="F829" s="84"/>
      <c r="G829" s="84"/>
      <c r="H829" s="43"/>
      <c r="I829" s="83"/>
      <c r="J829" s="85"/>
      <c r="K829" s="86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18" customHeight="1">
      <c r="A830" s="81"/>
      <c r="B830" s="43"/>
      <c r="C830" s="82"/>
      <c r="D830" s="43"/>
      <c r="E830" s="83"/>
      <c r="F830" s="84"/>
      <c r="G830" s="84"/>
      <c r="H830" s="43"/>
      <c r="I830" s="83"/>
      <c r="J830" s="85"/>
      <c r="K830" s="86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18" customHeight="1">
      <c r="A831" s="81"/>
      <c r="B831" s="43"/>
      <c r="C831" s="82"/>
      <c r="D831" s="43"/>
      <c r="E831" s="83"/>
      <c r="F831" s="84"/>
      <c r="G831" s="84"/>
      <c r="H831" s="43"/>
      <c r="I831" s="83"/>
      <c r="J831" s="85"/>
      <c r="K831" s="86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18" customHeight="1">
      <c r="A832" s="81"/>
      <c r="B832" s="43"/>
      <c r="C832" s="82"/>
      <c r="D832" s="43"/>
      <c r="E832" s="83"/>
      <c r="F832" s="84"/>
      <c r="G832" s="84"/>
      <c r="H832" s="43"/>
      <c r="I832" s="83"/>
      <c r="J832" s="85"/>
      <c r="K832" s="86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18" customHeight="1">
      <c r="A833" s="81"/>
      <c r="B833" s="43"/>
      <c r="C833" s="82"/>
      <c r="D833" s="43"/>
      <c r="E833" s="83"/>
      <c r="F833" s="84"/>
      <c r="G833" s="84"/>
      <c r="H833" s="43"/>
      <c r="I833" s="83"/>
      <c r="J833" s="85"/>
      <c r="K833" s="86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18" customHeight="1">
      <c r="A834" s="81"/>
      <c r="B834" s="43"/>
      <c r="C834" s="82"/>
      <c r="D834" s="43"/>
      <c r="E834" s="83"/>
      <c r="F834" s="84"/>
      <c r="G834" s="84"/>
      <c r="H834" s="43"/>
      <c r="I834" s="83"/>
      <c r="J834" s="85"/>
      <c r="K834" s="86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18" customHeight="1">
      <c r="A835" s="81"/>
      <c r="B835" s="43"/>
      <c r="C835" s="82"/>
      <c r="D835" s="43"/>
      <c r="E835" s="83"/>
      <c r="F835" s="84"/>
      <c r="G835" s="84"/>
      <c r="H835" s="43"/>
      <c r="I835" s="83"/>
      <c r="J835" s="85"/>
      <c r="K835" s="86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18" customHeight="1">
      <c r="A836" s="81"/>
      <c r="B836" s="43"/>
      <c r="C836" s="82"/>
      <c r="D836" s="43"/>
      <c r="E836" s="83"/>
      <c r="F836" s="84"/>
      <c r="G836" s="84"/>
      <c r="H836" s="43"/>
      <c r="I836" s="83"/>
      <c r="J836" s="85"/>
      <c r="K836" s="86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18" customHeight="1">
      <c r="A837" s="81"/>
      <c r="B837" s="43"/>
      <c r="C837" s="82"/>
      <c r="D837" s="43"/>
      <c r="E837" s="83"/>
      <c r="F837" s="84"/>
      <c r="G837" s="84"/>
      <c r="H837" s="43"/>
      <c r="I837" s="83"/>
      <c r="J837" s="85"/>
      <c r="K837" s="86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18" customHeight="1">
      <c r="A838" s="81"/>
      <c r="B838" s="43"/>
      <c r="C838" s="82"/>
      <c r="D838" s="43"/>
      <c r="E838" s="83"/>
      <c r="F838" s="84"/>
      <c r="G838" s="84"/>
      <c r="H838" s="43"/>
      <c r="I838" s="83"/>
      <c r="J838" s="85"/>
      <c r="K838" s="86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18" customHeight="1">
      <c r="A839" s="81"/>
      <c r="B839" s="43"/>
      <c r="C839" s="82"/>
      <c r="D839" s="43"/>
      <c r="E839" s="83"/>
      <c r="F839" s="84"/>
      <c r="G839" s="84"/>
      <c r="H839" s="43"/>
      <c r="I839" s="83"/>
      <c r="J839" s="85"/>
      <c r="K839" s="86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18" customHeight="1">
      <c r="A840" s="81"/>
      <c r="B840" s="43"/>
      <c r="C840" s="82"/>
      <c r="D840" s="43"/>
      <c r="E840" s="83"/>
      <c r="F840" s="84"/>
      <c r="G840" s="84"/>
      <c r="H840" s="43"/>
      <c r="I840" s="83"/>
      <c r="J840" s="85"/>
      <c r="K840" s="86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18" customHeight="1">
      <c r="A841" s="81"/>
      <c r="B841" s="43"/>
      <c r="C841" s="82"/>
      <c r="D841" s="43"/>
      <c r="E841" s="83"/>
      <c r="F841" s="84"/>
      <c r="G841" s="84"/>
      <c r="H841" s="43"/>
      <c r="I841" s="83"/>
      <c r="J841" s="85"/>
      <c r="K841" s="86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18" customHeight="1">
      <c r="A842" s="81"/>
      <c r="B842" s="43"/>
      <c r="C842" s="82"/>
      <c r="D842" s="43"/>
      <c r="E842" s="83"/>
      <c r="F842" s="84"/>
      <c r="G842" s="84"/>
      <c r="H842" s="43"/>
      <c r="I842" s="83"/>
      <c r="J842" s="85"/>
      <c r="K842" s="86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18" customHeight="1">
      <c r="A843" s="81"/>
      <c r="B843" s="43"/>
      <c r="C843" s="82"/>
      <c r="D843" s="43"/>
      <c r="E843" s="83"/>
      <c r="F843" s="84"/>
      <c r="G843" s="84"/>
      <c r="H843" s="43"/>
      <c r="I843" s="83"/>
      <c r="J843" s="85"/>
      <c r="K843" s="86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18" customHeight="1">
      <c r="A844" s="81"/>
      <c r="B844" s="43"/>
      <c r="C844" s="82"/>
      <c r="D844" s="43"/>
      <c r="E844" s="83"/>
      <c r="F844" s="84"/>
      <c r="G844" s="84"/>
      <c r="H844" s="43"/>
      <c r="I844" s="83"/>
      <c r="J844" s="85"/>
      <c r="K844" s="86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18" customHeight="1">
      <c r="A845" s="81"/>
      <c r="B845" s="43"/>
      <c r="C845" s="82"/>
      <c r="D845" s="43"/>
      <c r="E845" s="83"/>
      <c r="F845" s="84"/>
      <c r="G845" s="84"/>
      <c r="H845" s="43"/>
      <c r="I845" s="83"/>
      <c r="J845" s="85"/>
      <c r="K845" s="86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18" customHeight="1">
      <c r="A846" s="81"/>
      <c r="B846" s="43"/>
      <c r="C846" s="82"/>
      <c r="D846" s="43"/>
      <c r="E846" s="83"/>
      <c r="F846" s="84"/>
      <c r="G846" s="84"/>
      <c r="H846" s="43"/>
      <c r="I846" s="83"/>
      <c r="J846" s="85"/>
      <c r="K846" s="86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18" customHeight="1">
      <c r="A847" s="81"/>
      <c r="B847" s="43"/>
      <c r="C847" s="82"/>
      <c r="D847" s="43"/>
      <c r="E847" s="83"/>
      <c r="F847" s="84"/>
      <c r="G847" s="84"/>
      <c r="H847" s="43"/>
      <c r="I847" s="83"/>
      <c r="J847" s="85"/>
      <c r="K847" s="86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18" customHeight="1">
      <c r="A848" s="81"/>
      <c r="B848" s="43"/>
      <c r="C848" s="82"/>
      <c r="D848" s="43"/>
      <c r="E848" s="83"/>
      <c r="F848" s="84"/>
      <c r="G848" s="84"/>
      <c r="H848" s="43"/>
      <c r="I848" s="83"/>
      <c r="J848" s="85"/>
      <c r="K848" s="86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18" customHeight="1">
      <c r="A849" s="81"/>
      <c r="B849" s="43"/>
      <c r="C849" s="82"/>
      <c r="D849" s="43"/>
      <c r="E849" s="83"/>
      <c r="F849" s="84"/>
      <c r="G849" s="84"/>
      <c r="H849" s="43"/>
      <c r="I849" s="83"/>
      <c r="J849" s="85"/>
      <c r="K849" s="86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18" customHeight="1">
      <c r="A850" s="81"/>
      <c r="B850" s="43"/>
      <c r="C850" s="82"/>
      <c r="D850" s="43"/>
      <c r="E850" s="83"/>
      <c r="F850" s="84"/>
      <c r="G850" s="84"/>
      <c r="H850" s="43"/>
      <c r="I850" s="83"/>
      <c r="J850" s="85"/>
      <c r="K850" s="86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18" customHeight="1">
      <c r="A851" s="81"/>
      <c r="B851" s="43"/>
      <c r="C851" s="82"/>
      <c r="D851" s="43"/>
      <c r="E851" s="83"/>
      <c r="F851" s="84"/>
      <c r="G851" s="84"/>
      <c r="H851" s="43"/>
      <c r="I851" s="83"/>
      <c r="J851" s="85"/>
      <c r="K851" s="86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18" customHeight="1">
      <c r="A852" s="81"/>
      <c r="B852" s="43"/>
      <c r="C852" s="82"/>
      <c r="D852" s="43"/>
      <c r="E852" s="83"/>
      <c r="F852" s="84"/>
      <c r="G852" s="84"/>
      <c r="H852" s="43"/>
      <c r="I852" s="83"/>
      <c r="J852" s="85"/>
      <c r="K852" s="86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18" customHeight="1">
      <c r="A853" s="81"/>
      <c r="B853" s="43"/>
      <c r="C853" s="82"/>
      <c r="D853" s="43"/>
      <c r="E853" s="83"/>
      <c r="F853" s="84"/>
      <c r="G853" s="84"/>
      <c r="H853" s="43"/>
      <c r="I853" s="83"/>
      <c r="J853" s="85"/>
      <c r="K853" s="86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18" customHeight="1">
      <c r="A854" s="81"/>
      <c r="B854" s="43"/>
      <c r="C854" s="82"/>
      <c r="D854" s="43"/>
      <c r="E854" s="83"/>
      <c r="F854" s="84"/>
      <c r="G854" s="84"/>
      <c r="H854" s="43"/>
      <c r="I854" s="83"/>
      <c r="J854" s="85"/>
      <c r="K854" s="86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18" customHeight="1">
      <c r="A855" s="81"/>
      <c r="B855" s="43"/>
      <c r="C855" s="82"/>
      <c r="D855" s="43"/>
      <c r="E855" s="83"/>
      <c r="F855" s="84"/>
      <c r="G855" s="84"/>
      <c r="H855" s="43"/>
      <c r="I855" s="83"/>
      <c r="J855" s="85"/>
      <c r="K855" s="86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18" customHeight="1">
      <c r="A856" s="81"/>
      <c r="B856" s="43"/>
      <c r="C856" s="82"/>
      <c r="D856" s="43"/>
      <c r="E856" s="83"/>
      <c r="F856" s="84"/>
      <c r="G856" s="84"/>
      <c r="H856" s="43"/>
      <c r="I856" s="83"/>
      <c r="J856" s="85"/>
      <c r="K856" s="86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18" customHeight="1">
      <c r="A857" s="81"/>
      <c r="B857" s="43"/>
      <c r="C857" s="82"/>
      <c r="D857" s="43"/>
      <c r="E857" s="83"/>
      <c r="F857" s="84"/>
      <c r="G857" s="84"/>
      <c r="H857" s="43"/>
      <c r="I857" s="83"/>
      <c r="J857" s="85"/>
      <c r="K857" s="86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18" customHeight="1">
      <c r="A858" s="81"/>
      <c r="B858" s="43"/>
      <c r="C858" s="82"/>
      <c r="D858" s="43"/>
      <c r="E858" s="83"/>
      <c r="F858" s="84"/>
      <c r="G858" s="84"/>
      <c r="H858" s="43"/>
      <c r="I858" s="83"/>
      <c r="J858" s="85"/>
      <c r="K858" s="86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18" customHeight="1">
      <c r="A859" s="81"/>
      <c r="B859" s="43"/>
      <c r="C859" s="82"/>
      <c r="D859" s="43"/>
      <c r="E859" s="83"/>
      <c r="F859" s="84"/>
      <c r="G859" s="84"/>
      <c r="H859" s="43"/>
      <c r="I859" s="83"/>
      <c r="J859" s="85"/>
      <c r="K859" s="86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18" customHeight="1">
      <c r="A860" s="81"/>
      <c r="B860" s="43"/>
      <c r="C860" s="82"/>
      <c r="D860" s="43"/>
      <c r="E860" s="83"/>
      <c r="F860" s="84"/>
      <c r="G860" s="84"/>
      <c r="H860" s="43"/>
      <c r="I860" s="83"/>
      <c r="J860" s="85"/>
      <c r="K860" s="86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18" customHeight="1">
      <c r="A861" s="81"/>
      <c r="B861" s="43"/>
      <c r="C861" s="82"/>
      <c r="D861" s="43"/>
      <c r="E861" s="83"/>
      <c r="F861" s="84"/>
      <c r="G861" s="84"/>
      <c r="H861" s="43"/>
      <c r="I861" s="83"/>
      <c r="J861" s="85"/>
      <c r="K861" s="86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18" customHeight="1">
      <c r="A862" s="81"/>
      <c r="B862" s="43"/>
      <c r="C862" s="82"/>
      <c r="D862" s="43"/>
      <c r="E862" s="83"/>
      <c r="F862" s="84"/>
      <c r="G862" s="84"/>
      <c r="H862" s="43"/>
      <c r="I862" s="83"/>
      <c r="J862" s="85"/>
      <c r="K862" s="86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18" customHeight="1">
      <c r="A863" s="81"/>
      <c r="B863" s="43"/>
      <c r="C863" s="82"/>
      <c r="D863" s="43"/>
      <c r="E863" s="83"/>
      <c r="F863" s="84"/>
      <c r="G863" s="84"/>
      <c r="H863" s="43"/>
      <c r="I863" s="83"/>
      <c r="J863" s="85"/>
      <c r="K863" s="86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18" customHeight="1">
      <c r="A864" s="81"/>
      <c r="B864" s="43"/>
      <c r="C864" s="82"/>
      <c r="D864" s="43"/>
      <c r="E864" s="83"/>
      <c r="F864" s="84"/>
      <c r="G864" s="84"/>
      <c r="H864" s="43"/>
      <c r="I864" s="83"/>
      <c r="J864" s="85"/>
      <c r="K864" s="86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18" customHeight="1">
      <c r="A865" s="81"/>
      <c r="B865" s="43"/>
      <c r="C865" s="82"/>
      <c r="D865" s="43"/>
      <c r="E865" s="83"/>
      <c r="F865" s="84"/>
      <c r="G865" s="84"/>
      <c r="H865" s="43"/>
      <c r="I865" s="83"/>
      <c r="J865" s="85"/>
      <c r="K865" s="86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18" customHeight="1">
      <c r="A866" s="81"/>
      <c r="B866" s="43"/>
      <c r="C866" s="82"/>
      <c r="D866" s="43"/>
      <c r="E866" s="83"/>
      <c r="F866" s="84"/>
      <c r="G866" s="84"/>
      <c r="H866" s="43"/>
      <c r="I866" s="83"/>
      <c r="J866" s="85"/>
      <c r="K866" s="86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18" customHeight="1">
      <c r="A867" s="81"/>
      <c r="B867" s="43"/>
      <c r="C867" s="82"/>
      <c r="D867" s="43"/>
      <c r="E867" s="83"/>
      <c r="F867" s="84"/>
      <c r="G867" s="84"/>
      <c r="H867" s="43"/>
      <c r="I867" s="83"/>
      <c r="J867" s="85"/>
      <c r="K867" s="86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18" customHeight="1">
      <c r="A868" s="81"/>
      <c r="B868" s="43"/>
      <c r="C868" s="82"/>
      <c r="D868" s="43"/>
      <c r="E868" s="83"/>
      <c r="F868" s="84"/>
      <c r="G868" s="84"/>
      <c r="H868" s="43"/>
      <c r="I868" s="83"/>
      <c r="J868" s="85"/>
      <c r="K868" s="86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18" customHeight="1">
      <c r="A869" s="81"/>
      <c r="B869" s="43"/>
      <c r="C869" s="82"/>
      <c r="D869" s="43"/>
      <c r="E869" s="83"/>
      <c r="F869" s="84"/>
      <c r="G869" s="84"/>
      <c r="H869" s="43"/>
      <c r="I869" s="83"/>
      <c r="J869" s="85"/>
      <c r="K869" s="86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18" customHeight="1">
      <c r="A870" s="81"/>
      <c r="B870" s="43"/>
      <c r="C870" s="82"/>
      <c r="D870" s="43"/>
      <c r="E870" s="83"/>
      <c r="F870" s="84"/>
      <c r="G870" s="84"/>
      <c r="H870" s="43"/>
      <c r="I870" s="83"/>
      <c r="J870" s="85"/>
      <c r="K870" s="86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18" customHeight="1">
      <c r="A871" s="81"/>
      <c r="B871" s="43"/>
      <c r="C871" s="82"/>
      <c r="D871" s="43"/>
      <c r="E871" s="83"/>
      <c r="F871" s="84"/>
      <c r="G871" s="84"/>
      <c r="H871" s="43"/>
      <c r="I871" s="83"/>
      <c r="J871" s="85"/>
      <c r="K871" s="86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18" customHeight="1">
      <c r="A872" s="81"/>
      <c r="B872" s="43"/>
      <c r="C872" s="82"/>
      <c r="D872" s="43"/>
      <c r="E872" s="83"/>
      <c r="F872" s="84"/>
      <c r="G872" s="84"/>
      <c r="H872" s="43"/>
      <c r="I872" s="83"/>
      <c r="J872" s="85"/>
      <c r="K872" s="86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18" customHeight="1">
      <c r="A873" s="81"/>
      <c r="B873" s="43"/>
      <c r="C873" s="82"/>
      <c r="D873" s="43"/>
      <c r="E873" s="83"/>
      <c r="F873" s="84"/>
      <c r="G873" s="84"/>
      <c r="H873" s="43"/>
      <c r="I873" s="83"/>
      <c r="J873" s="85"/>
      <c r="K873" s="86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18" customHeight="1">
      <c r="A874" s="81"/>
      <c r="B874" s="43"/>
      <c r="C874" s="82"/>
      <c r="D874" s="43"/>
      <c r="E874" s="83"/>
      <c r="F874" s="84"/>
      <c r="G874" s="84"/>
      <c r="H874" s="43"/>
      <c r="I874" s="83"/>
      <c r="J874" s="85"/>
      <c r="K874" s="86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18" customHeight="1">
      <c r="A875" s="81"/>
      <c r="B875" s="43"/>
      <c r="C875" s="82"/>
      <c r="D875" s="43"/>
      <c r="E875" s="83"/>
      <c r="F875" s="84"/>
      <c r="G875" s="84"/>
      <c r="H875" s="43"/>
      <c r="I875" s="83"/>
      <c r="J875" s="85"/>
      <c r="K875" s="86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18" customHeight="1">
      <c r="A876" s="81"/>
      <c r="B876" s="43"/>
      <c r="C876" s="82"/>
      <c r="D876" s="43"/>
      <c r="E876" s="83"/>
      <c r="F876" s="84"/>
      <c r="G876" s="84"/>
      <c r="H876" s="43"/>
      <c r="I876" s="83"/>
      <c r="J876" s="85"/>
      <c r="K876" s="86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18" customHeight="1">
      <c r="A877" s="81"/>
      <c r="B877" s="43"/>
      <c r="C877" s="82"/>
      <c r="D877" s="43"/>
      <c r="E877" s="83"/>
      <c r="F877" s="84"/>
      <c r="G877" s="84"/>
      <c r="H877" s="43"/>
      <c r="I877" s="83"/>
      <c r="J877" s="85"/>
      <c r="K877" s="86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18" customHeight="1">
      <c r="A878" s="81"/>
      <c r="B878" s="43"/>
      <c r="C878" s="82"/>
      <c r="D878" s="43"/>
      <c r="E878" s="83"/>
      <c r="F878" s="84"/>
      <c r="G878" s="84"/>
      <c r="H878" s="43"/>
      <c r="I878" s="83"/>
      <c r="J878" s="85"/>
      <c r="K878" s="86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18" customHeight="1">
      <c r="A879" s="81"/>
      <c r="B879" s="43"/>
      <c r="C879" s="82"/>
      <c r="D879" s="43"/>
      <c r="E879" s="83"/>
      <c r="F879" s="84"/>
      <c r="G879" s="84"/>
      <c r="H879" s="43"/>
      <c r="I879" s="83"/>
      <c r="J879" s="85"/>
      <c r="K879" s="86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18" customHeight="1">
      <c r="A880" s="81"/>
      <c r="B880" s="43"/>
      <c r="C880" s="82"/>
      <c r="D880" s="43"/>
      <c r="E880" s="83"/>
      <c r="F880" s="84"/>
      <c r="G880" s="84"/>
      <c r="H880" s="43"/>
      <c r="I880" s="83"/>
      <c r="J880" s="85"/>
      <c r="K880" s="86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18" customHeight="1">
      <c r="A881" s="81"/>
      <c r="B881" s="43"/>
      <c r="C881" s="82"/>
      <c r="D881" s="43"/>
      <c r="E881" s="83"/>
      <c r="F881" s="84"/>
      <c r="G881" s="84"/>
      <c r="H881" s="43"/>
      <c r="I881" s="83"/>
      <c r="J881" s="85"/>
      <c r="K881" s="86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18" customHeight="1">
      <c r="A882" s="81"/>
      <c r="B882" s="43"/>
      <c r="C882" s="82"/>
      <c r="D882" s="43"/>
      <c r="E882" s="83"/>
      <c r="F882" s="84"/>
      <c r="G882" s="84"/>
      <c r="H882" s="43"/>
      <c r="I882" s="83"/>
      <c r="J882" s="85"/>
      <c r="K882" s="86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18" customHeight="1">
      <c r="A883" s="81"/>
      <c r="B883" s="43"/>
      <c r="C883" s="82"/>
      <c r="D883" s="43"/>
      <c r="E883" s="83"/>
      <c r="F883" s="84"/>
      <c r="G883" s="84"/>
      <c r="H883" s="43"/>
      <c r="I883" s="83"/>
      <c r="J883" s="85"/>
      <c r="K883" s="86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18" customHeight="1">
      <c r="A884" s="81"/>
      <c r="B884" s="43"/>
      <c r="C884" s="82"/>
      <c r="D884" s="43"/>
      <c r="E884" s="83"/>
      <c r="F884" s="84"/>
      <c r="G884" s="84"/>
      <c r="H884" s="43"/>
      <c r="I884" s="83"/>
      <c r="J884" s="85"/>
      <c r="K884" s="86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18" customHeight="1">
      <c r="A885" s="81"/>
      <c r="B885" s="43"/>
      <c r="C885" s="82"/>
      <c r="D885" s="43"/>
      <c r="E885" s="83"/>
      <c r="F885" s="84"/>
      <c r="G885" s="84"/>
      <c r="H885" s="43"/>
      <c r="I885" s="83"/>
      <c r="J885" s="85"/>
      <c r="K885" s="86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18" customHeight="1">
      <c r="A886" s="81"/>
      <c r="B886" s="43"/>
      <c r="C886" s="82"/>
      <c r="D886" s="43"/>
      <c r="E886" s="83"/>
      <c r="F886" s="84"/>
      <c r="G886" s="84"/>
      <c r="H886" s="43"/>
      <c r="I886" s="83"/>
      <c r="J886" s="85"/>
      <c r="K886" s="86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18" customHeight="1">
      <c r="A887" s="81"/>
      <c r="B887" s="43"/>
      <c r="C887" s="82"/>
      <c r="D887" s="43"/>
      <c r="E887" s="83"/>
      <c r="F887" s="84"/>
      <c r="G887" s="84"/>
      <c r="H887" s="43"/>
      <c r="I887" s="83"/>
      <c r="J887" s="85"/>
      <c r="K887" s="86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18" customHeight="1">
      <c r="A888" s="81"/>
      <c r="B888" s="43"/>
      <c r="C888" s="82"/>
      <c r="D888" s="43"/>
      <c r="E888" s="83"/>
      <c r="F888" s="84"/>
      <c r="G888" s="84"/>
      <c r="H888" s="43"/>
      <c r="I888" s="83"/>
      <c r="J888" s="85"/>
      <c r="K888" s="86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18" customHeight="1">
      <c r="A889" s="81"/>
      <c r="B889" s="43"/>
      <c r="C889" s="82"/>
      <c r="D889" s="43"/>
      <c r="E889" s="83"/>
      <c r="F889" s="84"/>
      <c r="G889" s="84"/>
      <c r="H889" s="43"/>
      <c r="I889" s="83"/>
      <c r="J889" s="85"/>
      <c r="K889" s="86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18" customHeight="1">
      <c r="A890" s="81"/>
      <c r="B890" s="43"/>
      <c r="C890" s="82"/>
      <c r="D890" s="43"/>
      <c r="E890" s="83"/>
      <c r="F890" s="84"/>
      <c r="G890" s="84"/>
      <c r="H890" s="43"/>
      <c r="I890" s="83"/>
      <c r="J890" s="85"/>
      <c r="K890" s="86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18" customHeight="1">
      <c r="A891" s="81"/>
      <c r="B891" s="43"/>
      <c r="C891" s="82"/>
      <c r="D891" s="43"/>
      <c r="E891" s="83"/>
      <c r="F891" s="84"/>
      <c r="G891" s="84"/>
      <c r="H891" s="43"/>
      <c r="I891" s="83"/>
      <c r="J891" s="85"/>
      <c r="K891" s="86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18" customHeight="1">
      <c r="A892" s="81"/>
      <c r="B892" s="43"/>
      <c r="C892" s="82"/>
      <c r="D892" s="43"/>
      <c r="E892" s="83"/>
      <c r="F892" s="84"/>
      <c r="G892" s="84"/>
      <c r="H892" s="43"/>
      <c r="I892" s="83"/>
      <c r="J892" s="85"/>
      <c r="K892" s="86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18" customHeight="1">
      <c r="A893" s="81"/>
      <c r="B893" s="43"/>
      <c r="C893" s="82"/>
      <c r="D893" s="43"/>
      <c r="E893" s="83"/>
      <c r="F893" s="84"/>
      <c r="G893" s="84"/>
      <c r="H893" s="43"/>
      <c r="I893" s="83"/>
      <c r="J893" s="85"/>
      <c r="K893" s="86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18" customHeight="1">
      <c r="A894" s="81"/>
      <c r="B894" s="43"/>
      <c r="C894" s="82"/>
      <c r="D894" s="43"/>
      <c r="E894" s="83"/>
      <c r="F894" s="84"/>
      <c r="G894" s="84"/>
      <c r="H894" s="43"/>
      <c r="I894" s="83"/>
      <c r="J894" s="85"/>
      <c r="K894" s="86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18" customHeight="1">
      <c r="A895" s="81"/>
      <c r="B895" s="43"/>
      <c r="C895" s="82"/>
      <c r="D895" s="43"/>
      <c r="E895" s="83"/>
      <c r="F895" s="84"/>
      <c r="G895" s="84"/>
      <c r="H895" s="43"/>
      <c r="I895" s="83"/>
      <c r="J895" s="85"/>
      <c r="K895" s="86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18" customHeight="1">
      <c r="A896" s="81"/>
      <c r="B896" s="43"/>
      <c r="C896" s="82"/>
      <c r="D896" s="43"/>
      <c r="E896" s="83"/>
      <c r="F896" s="84"/>
      <c r="G896" s="84"/>
      <c r="H896" s="43"/>
      <c r="I896" s="83"/>
      <c r="J896" s="85"/>
      <c r="K896" s="86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18" customHeight="1">
      <c r="A897" s="81"/>
      <c r="B897" s="43"/>
      <c r="C897" s="82"/>
      <c r="D897" s="43"/>
      <c r="E897" s="83"/>
      <c r="F897" s="84"/>
      <c r="G897" s="84"/>
      <c r="H897" s="43"/>
      <c r="I897" s="83"/>
      <c r="J897" s="85"/>
      <c r="K897" s="86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18" customHeight="1">
      <c r="A898" s="81"/>
      <c r="B898" s="43"/>
      <c r="C898" s="82"/>
      <c r="D898" s="43"/>
      <c r="E898" s="83"/>
      <c r="F898" s="84"/>
      <c r="G898" s="84"/>
      <c r="H898" s="43"/>
      <c r="I898" s="83"/>
      <c r="J898" s="85"/>
      <c r="K898" s="86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18" customHeight="1">
      <c r="A899" s="81"/>
      <c r="B899" s="43"/>
      <c r="C899" s="82"/>
      <c r="D899" s="43"/>
      <c r="E899" s="83"/>
      <c r="F899" s="84"/>
      <c r="G899" s="84"/>
      <c r="H899" s="43"/>
      <c r="I899" s="83"/>
      <c r="J899" s="85"/>
      <c r="K899" s="86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18" customHeight="1">
      <c r="A900" s="81"/>
      <c r="B900" s="43"/>
      <c r="C900" s="82"/>
      <c r="D900" s="43"/>
      <c r="E900" s="83"/>
      <c r="F900" s="84"/>
      <c r="G900" s="84"/>
      <c r="H900" s="43"/>
      <c r="I900" s="83"/>
      <c r="J900" s="85"/>
      <c r="K900" s="86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18" customHeight="1">
      <c r="A901" s="81"/>
      <c r="B901" s="43"/>
      <c r="C901" s="82"/>
      <c r="D901" s="43"/>
      <c r="E901" s="83"/>
      <c r="F901" s="84"/>
      <c r="G901" s="84"/>
      <c r="H901" s="43"/>
      <c r="I901" s="83"/>
      <c r="J901" s="85"/>
      <c r="K901" s="86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18" customHeight="1">
      <c r="A902" s="81"/>
      <c r="B902" s="43"/>
      <c r="C902" s="82"/>
      <c r="D902" s="43"/>
      <c r="E902" s="83"/>
      <c r="F902" s="84"/>
      <c r="G902" s="84"/>
      <c r="H902" s="43"/>
      <c r="I902" s="83"/>
      <c r="J902" s="85"/>
      <c r="K902" s="86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18" customHeight="1">
      <c r="A903" s="81"/>
      <c r="B903" s="43"/>
      <c r="C903" s="82"/>
      <c r="D903" s="43"/>
      <c r="E903" s="83"/>
      <c r="F903" s="84"/>
      <c r="G903" s="84"/>
      <c r="H903" s="43"/>
      <c r="I903" s="83"/>
      <c r="J903" s="85"/>
      <c r="K903" s="86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18" customHeight="1">
      <c r="A904" s="81"/>
      <c r="B904" s="43"/>
      <c r="C904" s="82"/>
      <c r="D904" s="43"/>
      <c r="E904" s="83"/>
      <c r="F904" s="84"/>
      <c r="G904" s="84"/>
      <c r="H904" s="43"/>
      <c r="I904" s="83"/>
      <c r="J904" s="85"/>
      <c r="K904" s="86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18" customHeight="1">
      <c r="A905" s="81"/>
      <c r="B905" s="43"/>
      <c r="C905" s="82"/>
      <c r="D905" s="43"/>
      <c r="E905" s="83"/>
      <c r="F905" s="84"/>
      <c r="G905" s="84"/>
      <c r="H905" s="43"/>
      <c r="I905" s="83"/>
      <c r="J905" s="85"/>
      <c r="K905" s="86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18" customHeight="1">
      <c r="A906" s="81"/>
      <c r="B906" s="43"/>
      <c r="C906" s="82"/>
      <c r="D906" s="43"/>
      <c r="E906" s="83"/>
      <c r="F906" s="84"/>
      <c r="G906" s="84"/>
      <c r="H906" s="43"/>
      <c r="I906" s="83"/>
      <c r="J906" s="85"/>
      <c r="K906" s="86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18" customHeight="1">
      <c r="A907" s="81"/>
      <c r="B907" s="43"/>
      <c r="C907" s="82"/>
      <c r="D907" s="43"/>
      <c r="E907" s="83"/>
      <c r="F907" s="84"/>
      <c r="G907" s="84"/>
      <c r="H907" s="43"/>
      <c r="I907" s="83"/>
      <c r="J907" s="85"/>
      <c r="K907" s="86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18" customHeight="1">
      <c r="A908" s="81"/>
      <c r="B908" s="43"/>
      <c r="C908" s="82"/>
      <c r="D908" s="43"/>
      <c r="E908" s="83"/>
      <c r="F908" s="84"/>
      <c r="G908" s="84"/>
      <c r="H908" s="43"/>
      <c r="I908" s="83"/>
      <c r="J908" s="85"/>
      <c r="K908" s="86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18" customHeight="1">
      <c r="A909" s="81"/>
      <c r="B909" s="43"/>
      <c r="C909" s="82"/>
      <c r="D909" s="43"/>
      <c r="E909" s="83"/>
      <c r="F909" s="84"/>
      <c r="G909" s="84"/>
      <c r="H909" s="43"/>
      <c r="I909" s="83"/>
      <c r="J909" s="85"/>
      <c r="K909" s="86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18" customHeight="1">
      <c r="A910" s="81"/>
      <c r="B910" s="43"/>
      <c r="C910" s="82"/>
      <c r="D910" s="43"/>
      <c r="E910" s="83"/>
      <c r="F910" s="84"/>
      <c r="G910" s="84"/>
      <c r="H910" s="43"/>
      <c r="I910" s="83"/>
      <c r="J910" s="85"/>
      <c r="K910" s="86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18" customHeight="1">
      <c r="A911" s="81"/>
      <c r="B911" s="43"/>
      <c r="C911" s="82"/>
      <c r="D911" s="43"/>
      <c r="E911" s="83"/>
      <c r="F911" s="84"/>
      <c r="G911" s="84"/>
      <c r="H911" s="43"/>
      <c r="I911" s="83"/>
      <c r="J911" s="85"/>
      <c r="K911" s="86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18" customHeight="1">
      <c r="A912" s="81"/>
      <c r="B912" s="43"/>
      <c r="C912" s="82"/>
      <c r="D912" s="43"/>
      <c r="E912" s="83"/>
      <c r="F912" s="84"/>
      <c r="G912" s="84"/>
      <c r="H912" s="43"/>
      <c r="I912" s="83"/>
      <c r="J912" s="85"/>
      <c r="K912" s="86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18" customHeight="1">
      <c r="A913" s="81"/>
      <c r="B913" s="43"/>
      <c r="C913" s="82"/>
      <c r="D913" s="43"/>
      <c r="E913" s="83"/>
      <c r="F913" s="84"/>
      <c r="G913" s="84"/>
      <c r="H913" s="43"/>
      <c r="I913" s="83"/>
      <c r="J913" s="85"/>
      <c r="K913" s="86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18" customHeight="1">
      <c r="A914" s="81"/>
      <c r="B914" s="43"/>
      <c r="C914" s="82"/>
      <c r="D914" s="43"/>
      <c r="E914" s="83"/>
      <c r="F914" s="84"/>
      <c r="G914" s="84"/>
      <c r="H914" s="43"/>
      <c r="I914" s="83"/>
      <c r="J914" s="85"/>
      <c r="K914" s="86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18" customHeight="1">
      <c r="A915" s="81"/>
      <c r="B915" s="43"/>
      <c r="C915" s="82"/>
      <c r="D915" s="43"/>
      <c r="E915" s="83"/>
      <c r="F915" s="84"/>
      <c r="G915" s="84"/>
      <c r="H915" s="43"/>
      <c r="I915" s="83"/>
      <c r="J915" s="85"/>
      <c r="K915" s="86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18" customHeight="1">
      <c r="A916" s="81"/>
      <c r="B916" s="43"/>
      <c r="C916" s="82"/>
      <c r="D916" s="43"/>
      <c r="E916" s="83"/>
      <c r="F916" s="84"/>
      <c r="G916" s="84"/>
      <c r="H916" s="43"/>
      <c r="I916" s="83"/>
      <c r="J916" s="85"/>
      <c r="K916" s="86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18" customHeight="1">
      <c r="A917" s="81"/>
      <c r="B917" s="43"/>
      <c r="C917" s="82"/>
      <c r="D917" s="43"/>
      <c r="E917" s="83"/>
      <c r="F917" s="84"/>
      <c r="G917" s="84"/>
      <c r="H917" s="43"/>
      <c r="I917" s="83"/>
      <c r="J917" s="85"/>
      <c r="K917" s="86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18" customHeight="1">
      <c r="A918" s="81"/>
      <c r="B918" s="43"/>
      <c r="C918" s="82"/>
      <c r="D918" s="43"/>
      <c r="E918" s="83"/>
      <c r="F918" s="84"/>
      <c r="G918" s="84"/>
      <c r="H918" s="43"/>
      <c r="I918" s="83"/>
      <c r="J918" s="85"/>
      <c r="K918" s="86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18" customHeight="1">
      <c r="A919" s="81"/>
      <c r="B919" s="43"/>
      <c r="C919" s="82"/>
      <c r="D919" s="43"/>
      <c r="E919" s="83"/>
      <c r="F919" s="84"/>
      <c r="G919" s="84"/>
      <c r="H919" s="43"/>
      <c r="I919" s="83"/>
      <c r="J919" s="85"/>
      <c r="K919" s="86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18" customHeight="1">
      <c r="A920" s="81"/>
      <c r="B920" s="43"/>
      <c r="C920" s="82"/>
      <c r="D920" s="43"/>
      <c r="E920" s="83"/>
      <c r="F920" s="84"/>
      <c r="G920" s="84"/>
      <c r="H920" s="43"/>
      <c r="I920" s="83"/>
      <c r="J920" s="85"/>
      <c r="K920" s="86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18" customHeight="1">
      <c r="A921" s="81"/>
      <c r="B921" s="43"/>
      <c r="C921" s="82"/>
      <c r="D921" s="43"/>
      <c r="E921" s="83"/>
      <c r="F921" s="84"/>
      <c r="G921" s="84"/>
      <c r="H921" s="43"/>
      <c r="I921" s="83"/>
      <c r="J921" s="85"/>
      <c r="K921" s="86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18" customHeight="1">
      <c r="A922" s="81"/>
      <c r="B922" s="43"/>
      <c r="C922" s="82"/>
      <c r="D922" s="43"/>
      <c r="E922" s="83"/>
      <c r="F922" s="84"/>
      <c r="G922" s="84"/>
      <c r="H922" s="43"/>
      <c r="I922" s="83"/>
      <c r="J922" s="85"/>
      <c r="K922" s="86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18" customHeight="1">
      <c r="A923" s="81"/>
      <c r="B923" s="43"/>
      <c r="C923" s="82"/>
      <c r="D923" s="43"/>
      <c r="E923" s="83"/>
      <c r="F923" s="84"/>
      <c r="G923" s="84"/>
      <c r="H923" s="43"/>
      <c r="I923" s="83"/>
      <c r="J923" s="85"/>
      <c r="K923" s="86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18" customHeight="1">
      <c r="A924" s="81"/>
      <c r="B924" s="43"/>
      <c r="C924" s="82"/>
      <c r="D924" s="43"/>
      <c r="E924" s="83"/>
      <c r="F924" s="84"/>
      <c r="G924" s="84"/>
      <c r="H924" s="43"/>
      <c r="I924" s="83"/>
      <c r="J924" s="85"/>
      <c r="K924" s="86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18" customHeight="1">
      <c r="A925" s="81"/>
      <c r="B925" s="43"/>
      <c r="C925" s="82"/>
      <c r="D925" s="43"/>
      <c r="E925" s="83"/>
      <c r="F925" s="84"/>
      <c r="G925" s="84"/>
      <c r="H925" s="43"/>
      <c r="I925" s="83"/>
      <c r="J925" s="85"/>
      <c r="K925" s="86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18" customHeight="1">
      <c r="A926" s="81"/>
      <c r="B926" s="43"/>
      <c r="C926" s="82"/>
      <c r="D926" s="43"/>
      <c r="E926" s="83"/>
      <c r="F926" s="84"/>
      <c r="G926" s="84"/>
      <c r="H926" s="43"/>
      <c r="I926" s="83"/>
      <c r="J926" s="85"/>
      <c r="K926" s="86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18" customHeight="1">
      <c r="A927" s="81"/>
      <c r="B927" s="43"/>
      <c r="C927" s="82"/>
      <c r="D927" s="43"/>
      <c r="E927" s="83"/>
      <c r="F927" s="84"/>
      <c r="G927" s="84"/>
      <c r="H927" s="43"/>
      <c r="I927" s="83"/>
      <c r="J927" s="85"/>
      <c r="K927" s="86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18" customHeight="1">
      <c r="A928" s="81"/>
      <c r="B928" s="43"/>
      <c r="C928" s="82"/>
      <c r="D928" s="43"/>
      <c r="E928" s="83"/>
      <c r="F928" s="84"/>
      <c r="G928" s="84"/>
      <c r="H928" s="43"/>
      <c r="I928" s="83"/>
      <c r="J928" s="85"/>
      <c r="K928" s="86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18" customHeight="1">
      <c r="A929" s="81"/>
      <c r="B929" s="43"/>
      <c r="C929" s="82"/>
      <c r="D929" s="43"/>
      <c r="E929" s="83"/>
      <c r="F929" s="84"/>
      <c r="G929" s="84"/>
      <c r="H929" s="43"/>
      <c r="I929" s="83"/>
      <c r="J929" s="85"/>
      <c r="K929" s="86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18" customHeight="1">
      <c r="A930" s="81"/>
      <c r="B930" s="43"/>
      <c r="C930" s="82"/>
      <c r="D930" s="43"/>
      <c r="E930" s="83"/>
      <c r="F930" s="84"/>
      <c r="G930" s="84"/>
      <c r="H930" s="43"/>
      <c r="I930" s="83"/>
      <c r="J930" s="85"/>
      <c r="K930" s="86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18" customHeight="1">
      <c r="A931" s="81"/>
      <c r="B931" s="43"/>
      <c r="C931" s="82"/>
      <c r="D931" s="43"/>
      <c r="E931" s="83"/>
      <c r="F931" s="84"/>
      <c r="G931" s="84"/>
      <c r="H931" s="43"/>
      <c r="I931" s="83"/>
      <c r="J931" s="85"/>
      <c r="K931" s="86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18" customHeight="1">
      <c r="A932" s="81"/>
      <c r="B932" s="43"/>
      <c r="C932" s="82"/>
      <c r="D932" s="43"/>
      <c r="E932" s="83"/>
      <c r="F932" s="84"/>
      <c r="G932" s="84"/>
      <c r="H932" s="43"/>
      <c r="I932" s="83"/>
      <c r="J932" s="85"/>
      <c r="K932" s="86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18" customHeight="1">
      <c r="A933" s="81"/>
      <c r="B933" s="43"/>
      <c r="C933" s="82"/>
      <c r="D933" s="43"/>
      <c r="E933" s="83"/>
      <c r="F933" s="84"/>
      <c r="G933" s="84"/>
      <c r="H933" s="43"/>
      <c r="I933" s="83"/>
      <c r="J933" s="85"/>
      <c r="K933" s="86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18" customHeight="1">
      <c r="A934" s="81"/>
      <c r="B934" s="43"/>
      <c r="C934" s="82"/>
      <c r="D934" s="43"/>
      <c r="E934" s="83"/>
      <c r="F934" s="84"/>
      <c r="G934" s="84"/>
      <c r="H934" s="43"/>
      <c r="I934" s="83"/>
      <c r="J934" s="85"/>
      <c r="K934" s="86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18" customHeight="1">
      <c r="A935" s="81"/>
      <c r="B935" s="43"/>
      <c r="C935" s="82"/>
      <c r="D935" s="43"/>
      <c r="E935" s="83"/>
      <c r="F935" s="84"/>
      <c r="G935" s="84"/>
      <c r="H935" s="43"/>
      <c r="I935" s="83"/>
      <c r="J935" s="85"/>
      <c r="K935" s="86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18" customHeight="1">
      <c r="A936" s="81"/>
      <c r="B936" s="43"/>
      <c r="C936" s="82"/>
      <c r="D936" s="43"/>
      <c r="E936" s="83"/>
      <c r="F936" s="84"/>
      <c r="G936" s="84"/>
      <c r="H936" s="43"/>
      <c r="I936" s="83"/>
      <c r="J936" s="85"/>
      <c r="K936" s="86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18" customHeight="1">
      <c r="A937" s="81"/>
      <c r="B937" s="43"/>
      <c r="C937" s="82"/>
      <c r="D937" s="43"/>
      <c r="E937" s="83"/>
      <c r="F937" s="84"/>
      <c r="G937" s="84"/>
      <c r="H937" s="43"/>
      <c r="I937" s="83"/>
      <c r="J937" s="85"/>
      <c r="K937" s="86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18" customHeight="1">
      <c r="A938" s="81"/>
      <c r="B938" s="43"/>
      <c r="C938" s="82"/>
      <c r="D938" s="43"/>
      <c r="E938" s="83"/>
      <c r="F938" s="84"/>
      <c r="G938" s="84"/>
      <c r="H938" s="43"/>
      <c r="I938" s="83"/>
      <c r="J938" s="85"/>
      <c r="K938" s="86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18" customHeight="1">
      <c r="A939" s="81"/>
      <c r="B939" s="43"/>
      <c r="C939" s="82"/>
      <c r="D939" s="43"/>
      <c r="E939" s="83"/>
      <c r="F939" s="84"/>
      <c r="G939" s="84"/>
      <c r="H939" s="43"/>
      <c r="I939" s="83"/>
      <c r="J939" s="85"/>
      <c r="K939" s="86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18" customHeight="1">
      <c r="A940" s="81"/>
      <c r="B940" s="43"/>
      <c r="C940" s="82"/>
      <c r="D940" s="43"/>
      <c r="E940" s="83"/>
      <c r="F940" s="84"/>
      <c r="G940" s="84"/>
      <c r="H940" s="43"/>
      <c r="I940" s="83"/>
      <c r="J940" s="85"/>
      <c r="K940" s="86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18" customHeight="1">
      <c r="A941" s="81"/>
      <c r="B941" s="43"/>
      <c r="C941" s="82"/>
      <c r="D941" s="43"/>
      <c r="E941" s="83"/>
      <c r="F941" s="84"/>
      <c r="G941" s="84"/>
      <c r="H941" s="43"/>
      <c r="I941" s="83"/>
      <c r="J941" s="85"/>
      <c r="K941" s="86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18" customHeight="1">
      <c r="A942" s="81"/>
      <c r="B942" s="43"/>
      <c r="C942" s="82"/>
      <c r="D942" s="43"/>
      <c r="E942" s="83"/>
      <c r="F942" s="84"/>
      <c r="G942" s="84"/>
      <c r="H942" s="43"/>
      <c r="I942" s="83"/>
      <c r="J942" s="85"/>
      <c r="K942" s="86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18" customHeight="1">
      <c r="A943" s="81"/>
      <c r="B943" s="43"/>
      <c r="C943" s="82"/>
      <c r="D943" s="43"/>
      <c r="E943" s="83"/>
      <c r="F943" s="84"/>
      <c r="G943" s="84"/>
      <c r="H943" s="43"/>
      <c r="I943" s="83"/>
      <c r="J943" s="85"/>
      <c r="K943" s="86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18" customHeight="1">
      <c r="A944" s="81"/>
      <c r="B944" s="43"/>
      <c r="C944" s="82"/>
      <c r="D944" s="43"/>
      <c r="E944" s="83"/>
      <c r="F944" s="84"/>
      <c r="G944" s="84"/>
      <c r="H944" s="43"/>
      <c r="I944" s="83"/>
      <c r="J944" s="85"/>
      <c r="K944" s="86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18" customHeight="1">
      <c r="A945" s="81"/>
      <c r="B945" s="43"/>
      <c r="C945" s="82"/>
      <c r="D945" s="43"/>
      <c r="E945" s="83"/>
      <c r="F945" s="84"/>
      <c r="G945" s="84"/>
      <c r="H945" s="43"/>
      <c r="I945" s="83"/>
      <c r="J945" s="85"/>
      <c r="K945" s="86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18" customHeight="1">
      <c r="A946" s="81"/>
      <c r="B946" s="43"/>
      <c r="C946" s="82"/>
      <c r="D946" s="43"/>
      <c r="E946" s="83"/>
      <c r="F946" s="84"/>
      <c r="G946" s="84"/>
      <c r="H946" s="43"/>
      <c r="I946" s="83"/>
      <c r="J946" s="85"/>
      <c r="K946" s="86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18" customHeight="1">
      <c r="A947" s="81"/>
      <c r="B947" s="43"/>
      <c r="C947" s="82"/>
      <c r="D947" s="43"/>
      <c r="E947" s="83"/>
      <c r="F947" s="84"/>
      <c r="G947" s="84"/>
      <c r="H947" s="43"/>
      <c r="I947" s="83"/>
      <c r="J947" s="85"/>
      <c r="K947" s="86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18" customHeight="1">
      <c r="A948" s="81"/>
      <c r="B948" s="43"/>
      <c r="C948" s="82"/>
      <c r="D948" s="43"/>
      <c r="E948" s="83"/>
      <c r="F948" s="84"/>
      <c r="G948" s="84"/>
      <c r="H948" s="43"/>
      <c r="I948" s="83"/>
      <c r="J948" s="85"/>
      <c r="K948" s="86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18" customHeight="1">
      <c r="A949" s="81"/>
      <c r="B949" s="43"/>
      <c r="C949" s="82"/>
      <c r="D949" s="43"/>
      <c r="E949" s="83"/>
      <c r="F949" s="84"/>
      <c r="G949" s="84"/>
      <c r="H949" s="43"/>
      <c r="I949" s="83"/>
      <c r="J949" s="85"/>
      <c r="K949" s="86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18" customHeight="1">
      <c r="A950" s="81"/>
      <c r="B950" s="43"/>
      <c r="C950" s="82"/>
      <c r="D950" s="43"/>
      <c r="E950" s="83"/>
      <c r="F950" s="84"/>
      <c r="G950" s="84"/>
      <c r="H950" s="43"/>
      <c r="I950" s="83"/>
      <c r="J950" s="85"/>
      <c r="K950" s="86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18" customHeight="1">
      <c r="A951" s="81"/>
      <c r="B951" s="43"/>
      <c r="C951" s="82"/>
      <c r="D951" s="43"/>
      <c r="E951" s="83"/>
      <c r="F951" s="84"/>
      <c r="G951" s="84"/>
      <c r="H951" s="43"/>
      <c r="I951" s="83"/>
      <c r="J951" s="85"/>
      <c r="K951" s="86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18" customHeight="1">
      <c r="A952" s="81"/>
      <c r="B952" s="43"/>
      <c r="C952" s="82"/>
      <c r="D952" s="43"/>
      <c r="E952" s="83"/>
      <c r="F952" s="84"/>
      <c r="G952" s="84"/>
      <c r="H952" s="43"/>
      <c r="I952" s="83"/>
      <c r="J952" s="85"/>
      <c r="K952" s="86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18" customHeight="1">
      <c r="A953" s="81"/>
      <c r="B953" s="43"/>
      <c r="C953" s="82"/>
      <c r="D953" s="43"/>
      <c r="E953" s="83"/>
      <c r="F953" s="84"/>
      <c r="G953" s="84"/>
      <c r="H953" s="43"/>
      <c r="I953" s="83"/>
      <c r="J953" s="85"/>
      <c r="K953" s="86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18" customHeight="1">
      <c r="A954" s="81"/>
      <c r="B954" s="43"/>
      <c r="C954" s="82"/>
      <c r="D954" s="43"/>
      <c r="E954" s="83"/>
      <c r="F954" s="84"/>
      <c r="G954" s="84"/>
      <c r="H954" s="43"/>
      <c r="I954" s="83"/>
      <c r="J954" s="85"/>
      <c r="K954" s="86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18" customHeight="1">
      <c r="A955" s="81"/>
      <c r="B955" s="43"/>
      <c r="C955" s="82"/>
      <c r="D955" s="43"/>
      <c r="E955" s="83"/>
      <c r="F955" s="84"/>
      <c r="G955" s="84"/>
      <c r="H955" s="43"/>
      <c r="I955" s="83"/>
      <c r="J955" s="85"/>
      <c r="K955" s="86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18" customHeight="1">
      <c r="A956" s="81"/>
      <c r="B956" s="43"/>
      <c r="C956" s="82"/>
      <c r="D956" s="43"/>
      <c r="E956" s="83"/>
      <c r="F956" s="84"/>
      <c r="G956" s="84"/>
      <c r="H956" s="43"/>
      <c r="I956" s="83"/>
      <c r="J956" s="85"/>
      <c r="K956" s="86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18" customHeight="1">
      <c r="A957" s="81"/>
      <c r="B957" s="43"/>
      <c r="C957" s="82"/>
      <c r="D957" s="43"/>
      <c r="E957" s="83"/>
      <c r="F957" s="84"/>
      <c r="G957" s="84"/>
      <c r="H957" s="43"/>
      <c r="I957" s="83"/>
      <c r="J957" s="85"/>
      <c r="K957" s="86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18" customHeight="1">
      <c r="A958" s="81"/>
      <c r="B958" s="43"/>
      <c r="C958" s="82"/>
      <c r="D958" s="43"/>
      <c r="E958" s="83"/>
      <c r="F958" s="84"/>
      <c r="G958" s="84"/>
      <c r="H958" s="43"/>
      <c r="I958" s="83"/>
      <c r="J958" s="85"/>
      <c r="K958" s="86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18" customHeight="1">
      <c r="A959" s="81"/>
      <c r="B959" s="43"/>
      <c r="C959" s="82"/>
      <c r="D959" s="43"/>
      <c r="E959" s="83"/>
      <c r="F959" s="84"/>
      <c r="G959" s="84"/>
      <c r="H959" s="43"/>
      <c r="I959" s="83"/>
      <c r="J959" s="85"/>
      <c r="K959" s="86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18" customHeight="1">
      <c r="A960" s="81"/>
      <c r="B960" s="43"/>
      <c r="C960" s="82"/>
      <c r="D960" s="43"/>
      <c r="E960" s="83"/>
      <c r="F960" s="84"/>
      <c r="G960" s="84"/>
      <c r="H960" s="43"/>
      <c r="I960" s="83"/>
      <c r="J960" s="85"/>
      <c r="K960" s="86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18" customHeight="1">
      <c r="A961" s="81"/>
      <c r="B961" s="43"/>
      <c r="C961" s="82"/>
      <c r="D961" s="43"/>
      <c r="E961" s="83"/>
      <c r="F961" s="84"/>
      <c r="G961" s="84"/>
      <c r="H961" s="43"/>
      <c r="I961" s="83"/>
      <c r="J961" s="85"/>
      <c r="K961" s="86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18" customHeight="1">
      <c r="A962" s="81"/>
      <c r="B962" s="43"/>
      <c r="C962" s="82"/>
      <c r="D962" s="43"/>
      <c r="E962" s="83"/>
      <c r="F962" s="84"/>
      <c r="G962" s="84"/>
      <c r="H962" s="43"/>
      <c r="I962" s="83"/>
      <c r="J962" s="85"/>
      <c r="K962" s="86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18" customHeight="1">
      <c r="A963" s="81"/>
      <c r="B963" s="43"/>
      <c r="C963" s="82"/>
      <c r="D963" s="43"/>
      <c r="E963" s="83"/>
      <c r="F963" s="84"/>
      <c r="G963" s="84"/>
      <c r="H963" s="43"/>
      <c r="I963" s="83"/>
      <c r="J963" s="85"/>
      <c r="K963" s="86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18" customHeight="1">
      <c r="A964" s="81"/>
      <c r="B964" s="43"/>
      <c r="C964" s="82"/>
      <c r="D964" s="43"/>
      <c r="E964" s="83"/>
      <c r="F964" s="84"/>
      <c r="G964" s="84"/>
      <c r="H964" s="43"/>
      <c r="I964" s="83"/>
      <c r="J964" s="85"/>
      <c r="K964" s="86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18" customHeight="1">
      <c r="A965" s="81"/>
      <c r="B965" s="43"/>
      <c r="C965" s="82"/>
      <c r="D965" s="43"/>
      <c r="E965" s="83"/>
      <c r="F965" s="84"/>
      <c r="G965" s="84"/>
      <c r="H965" s="43"/>
      <c r="I965" s="83"/>
      <c r="J965" s="85"/>
      <c r="K965" s="86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18" customHeight="1">
      <c r="A966" s="81"/>
      <c r="B966" s="43"/>
      <c r="C966" s="82"/>
      <c r="D966" s="43"/>
      <c r="E966" s="83"/>
      <c r="F966" s="84"/>
      <c r="G966" s="84"/>
      <c r="H966" s="43"/>
      <c r="I966" s="83"/>
      <c r="J966" s="85"/>
      <c r="K966" s="86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18" customHeight="1">
      <c r="A967" s="81"/>
      <c r="B967" s="43"/>
      <c r="C967" s="82"/>
      <c r="D967" s="43"/>
      <c r="E967" s="83"/>
      <c r="F967" s="84"/>
      <c r="G967" s="84"/>
      <c r="H967" s="43"/>
      <c r="I967" s="83"/>
      <c r="J967" s="85"/>
      <c r="K967" s="86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18" customHeight="1">
      <c r="A968" s="81"/>
      <c r="B968" s="43"/>
      <c r="C968" s="82"/>
      <c r="D968" s="43"/>
      <c r="E968" s="83"/>
      <c r="F968" s="84"/>
      <c r="G968" s="84"/>
      <c r="H968" s="43"/>
      <c r="I968" s="83"/>
      <c r="J968" s="85"/>
      <c r="K968" s="86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18" customHeight="1">
      <c r="A969" s="81"/>
      <c r="B969" s="43"/>
      <c r="C969" s="82"/>
      <c r="D969" s="43"/>
      <c r="E969" s="83"/>
      <c r="F969" s="84"/>
      <c r="G969" s="84"/>
      <c r="H969" s="43"/>
      <c r="I969" s="83"/>
      <c r="J969" s="85"/>
      <c r="K969" s="86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18" customHeight="1">
      <c r="A970" s="81"/>
      <c r="B970" s="43"/>
      <c r="C970" s="82"/>
      <c r="D970" s="43"/>
      <c r="E970" s="83"/>
      <c r="F970" s="84"/>
      <c r="G970" s="84"/>
      <c r="H970" s="43"/>
      <c r="I970" s="83"/>
      <c r="J970" s="85"/>
      <c r="K970" s="86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18" customHeight="1">
      <c r="A971" s="81"/>
      <c r="B971" s="43"/>
      <c r="C971" s="82"/>
      <c r="D971" s="43"/>
      <c r="E971" s="83"/>
      <c r="F971" s="84"/>
      <c r="G971" s="84"/>
      <c r="H971" s="43"/>
      <c r="I971" s="83"/>
      <c r="J971" s="85"/>
      <c r="K971" s="86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18" customHeight="1">
      <c r="A972" s="81"/>
      <c r="B972" s="43"/>
      <c r="C972" s="82"/>
      <c r="D972" s="43"/>
      <c r="E972" s="83"/>
      <c r="F972" s="84"/>
      <c r="G972" s="84"/>
      <c r="H972" s="43"/>
      <c r="I972" s="83"/>
      <c r="J972" s="85"/>
      <c r="K972" s="86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18" customHeight="1">
      <c r="A973" s="81"/>
      <c r="B973" s="43"/>
      <c r="C973" s="82"/>
      <c r="D973" s="43"/>
      <c r="E973" s="83"/>
      <c r="F973" s="84"/>
      <c r="G973" s="84"/>
      <c r="H973" s="43"/>
      <c r="I973" s="83"/>
      <c r="J973" s="85"/>
      <c r="K973" s="86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18" customHeight="1">
      <c r="A974" s="81"/>
      <c r="B974" s="43"/>
      <c r="C974" s="82"/>
      <c r="D974" s="43"/>
      <c r="E974" s="83"/>
      <c r="F974" s="84"/>
      <c r="G974" s="84"/>
      <c r="H974" s="43"/>
      <c r="I974" s="83"/>
      <c r="J974" s="85"/>
      <c r="K974" s="86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18" customHeight="1">
      <c r="A975" s="81"/>
      <c r="B975" s="43"/>
      <c r="C975" s="82"/>
      <c r="D975" s="43"/>
      <c r="E975" s="83"/>
      <c r="F975" s="84"/>
      <c r="G975" s="84"/>
      <c r="H975" s="43"/>
      <c r="I975" s="83"/>
      <c r="J975" s="85"/>
      <c r="K975" s="86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18" customHeight="1">
      <c r="A976" s="81"/>
      <c r="B976" s="43"/>
      <c r="C976" s="82"/>
      <c r="D976" s="43"/>
      <c r="E976" s="83"/>
      <c r="F976" s="84"/>
      <c r="G976" s="84"/>
      <c r="H976" s="43"/>
      <c r="I976" s="83"/>
      <c r="J976" s="85"/>
      <c r="K976" s="86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18" customHeight="1">
      <c r="A977" s="81"/>
      <c r="B977" s="43"/>
      <c r="C977" s="82"/>
      <c r="D977" s="43"/>
      <c r="E977" s="83"/>
      <c r="F977" s="84"/>
      <c r="G977" s="84"/>
      <c r="H977" s="43"/>
      <c r="I977" s="83"/>
      <c r="J977" s="85"/>
      <c r="K977" s="86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18" customHeight="1">
      <c r="A978" s="81"/>
      <c r="B978" s="43"/>
      <c r="C978" s="82"/>
      <c r="D978" s="43"/>
      <c r="E978" s="83"/>
      <c r="F978" s="84"/>
      <c r="G978" s="84"/>
      <c r="H978" s="43"/>
      <c r="I978" s="83"/>
      <c r="J978" s="85"/>
      <c r="K978" s="86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18" customHeight="1">
      <c r="A979" s="81"/>
      <c r="B979" s="43"/>
      <c r="C979" s="82"/>
      <c r="D979" s="43"/>
      <c r="E979" s="83"/>
      <c r="F979" s="84"/>
      <c r="G979" s="84"/>
      <c r="H979" s="43"/>
      <c r="I979" s="83"/>
      <c r="J979" s="85"/>
      <c r="K979" s="86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spans="1:26" ht="18" customHeight="1">
      <c r="A980" s="81"/>
      <c r="B980" s="43"/>
      <c r="C980" s="82"/>
      <c r="D980" s="43"/>
      <c r="E980" s="83"/>
      <c r="F980" s="84"/>
      <c r="G980" s="84"/>
      <c r="H980" s="43"/>
      <c r="I980" s="83"/>
      <c r="J980" s="85"/>
      <c r="K980" s="86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spans="1:26" ht="18" customHeight="1">
      <c r="A981" s="81"/>
      <c r="B981" s="43"/>
      <c r="C981" s="82"/>
      <c r="D981" s="43"/>
      <c r="E981" s="83"/>
      <c r="F981" s="84"/>
      <c r="G981" s="84"/>
      <c r="H981" s="43"/>
      <c r="I981" s="83"/>
      <c r="J981" s="85"/>
      <c r="K981" s="86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spans="1:26" ht="18" customHeight="1">
      <c r="A982" s="81"/>
      <c r="B982" s="43"/>
      <c r="C982" s="82"/>
      <c r="D982" s="43"/>
      <c r="E982" s="83"/>
      <c r="F982" s="84"/>
      <c r="G982" s="84"/>
      <c r="H982" s="43"/>
      <c r="I982" s="83"/>
      <c r="J982" s="85"/>
      <c r="K982" s="86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spans="1:26" ht="18" customHeight="1">
      <c r="A983" s="81"/>
      <c r="B983" s="43"/>
      <c r="C983" s="82"/>
      <c r="D983" s="43"/>
      <c r="E983" s="83"/>
      <c r="F983" s="84"/>
      <c r="G983" s="84"/>
      <c r="H983" s="43"/>
      <c r="I983" s="83"/>
      <c r="J983" s="85"/>
      <c r="K983" s="86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spans="1:26" ht="18" customHeight="1">
      <c r="A984" s="81"/>
      <c r="B984" s="43"/>
      <c r="C984" s="82"/>
      <c r="D984" s="43"/>
      <c r="E984" s="83"/>
      <c r="F984" s="84"/>
      <c r="G984" s="84"/>
      <c r="H984" s="43"/>
      <c r="I984" s="83"/>
      <c r="J984" s="85"/>
      <c r="K984" s="86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spans="1:26" ht="18" customHeight="1">
      <c r="A985" s="81"/>
      <c r="B985" s="43"/>
      <c r="C985" s="82"/>
      <c r="D985" s="43"/>
      <c r="E985" s="83"/>
      <c r="F985" s="84"/>
      <c r="G985" s="84"/>
      <c r="H985" s="43"/>
      <c r="I985" s="83"/>
      <c r="J985" s="85"/>
      <c r="K985" s="86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spans="1:26" ht="18" customHeight="1">
      <c r="A986" s="81"/>
      <c r="B986" s="43"/>
      <c r="C986" s="82"/>
      <c r="D986" s="43"/>
      <c r="E986" s="83"/>
      <c r="F986" s="84"/>
      <c r="G986" s="84"/>
      <c r="H986" s="43"/>
      <c r="I986" s="83"/>
      <c r="J986" s="85"/>
      <c r="K986" s="86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spans="1:26" ht="18" customHeight="1">
      <c r="A987" s="81"/>
      <c r="B987" s="43"/>
      <c r="C987" s="82"/>
      <c r="D987" s="43"/>
      <c r="E987" s="83"/>
      <c r="F987" s="84"/>
      <c r="G987" s="84"/>
      <c r="H987" s="43"/>
      <c r="I987" s="83"/>
      <c r="J987" s="85"/>
      <c r="K987" s="86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spans="1:26" ht="18" customHeight="1">
      <c r="A988" s="81"/>
      <c r="B988" s="43"/>
      <c r="C988" s="82"/>
      <c r="D988" s="43"/>
      <c r="E988" s="83"/>
      <c r="F988" s="84"/>
      <c r="G988" s="84"/>
      <c r="H988" s="43"/>
      <c r="I988" s="83"/>
      <c r="J988" s="85"/>
      <c r="K988" s="86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spans="1:26" ht="18" customHeight="1">
      <c r="A989" s="81"/>
      <c r="B989" s="43"/>
      <c r="C989" s="82"/>
      <c r="D989" s="43"/>
      <c r="E989" s="83"/>
      <c r="F989" s="84"/>
      <c r="G989" s="84"/>
      <c r="H989" s="43"/>
      <c r="I989" s="83"/>
      <c r="J989" s="85"/>
      <c r="K989" s="86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spans="1:26" ht="18" customHeight="1">
      <c r="A990" s="81"/>
      <c r="B990" s="43"/>
      <c r="C990" s="82"/>
      <c r="D990" s="43"/>
      <c r="E990" s="83"/>
      <c r="F990" s="84"/>
      <c r="G990" s="84"/>
      <c r="H990" s="43"/>
      <c r="I990" s="83"/>
      <c r="J990" s="85"/>
      <c r="K990" s="86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spans="1:26" ht="18" customHeight="1">
      <c r="A991" s="81"/>
      <c r="B991" s="43"/>
      <c r="C991" s="82"/>
      <c r="D991" s="43"/>
      <c r="E991" s="83"/>
      <c r="F991" s="84"/>
      <c r="G991" s="84"/>
      <c r="H991" s="43"/>
      <c r="I991" s="83"/>
      <c r="J991" s="85"/>
      <c r="K991" s="86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spans="1:26" ht="18" customHeight="1">
      <c r="A992" s="81"/>
      <c r="B992" s="43"/>
      <c r="C992" s="82"/>
      <c r="D992" s="43"/>
      <c r="E992" s="83"/>
      <c r="F992" s="84"/>
      <c r="G992" s="84"/>
      <c r="H992" s="43"/>
      <c r="I992" s="83"/>
      <c r="J992" s="85"/>
      <c r="K992" s="86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spans="1:26" ht="18" customHeight="1">
      <c r="A993" s="81"/>
      <c r="B993" s="43"/>
      <c r="C993" s="82"/>
      <c r="D993" s="43"/>
      <c r="E993" s="83"/>
      <c r="F993" s="84"/>
      <c r="G993" s="84"/>
      <c r="H993" s="43"/>
      <c r="I993" s="83"/>
      <c r="J993" s="85"/>
      <c r="K993" s="86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spans="1:26" ht="18" customHeight="1">
      <c r="A994" s="81"/>
      <c r="B994" s="43"/>
      <c r="C994" s="82"/>
      <c r="D994" s="43"/>
      <c r="E994" s="83"/>
      <c r="F994" s="84"/>
      <c r="G994" s="84"/>
      <c r="H994" s="43"/>
      <c r="I994" s="83"/>
      <c r="J994" s="85"/>
      <c r="K994" s="86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spans="1:26" ht="18" customHeight="1">
      <c r="A995" s="81"/>
      <c r="B995" s="43"/>
      <c r="C995" s="82"/>
      <c r="D995" s="43"/>
      <c r="E995" s="83"/>
      <c r="F995" s="84"/>
      <c r="G995" s="84"/>
      <c r="H995" s="43"/>
      <c r="I995" s="83"/>
      <c r="J995" s="85"/>
      <c r="K995" s="86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spans="1:26" ht="18" customHeight="1">
      <c r="A996" s="81"/>
      <c r="B996" s="43"/>
      <c r="C996" s="82"/>
      <c r="D996" s="43"/>
      <c r="E996" s="83"/>
      <c r="F996" s="84"/>
      <c r="G996" s="84"/>
      <c r="H996" s="43"/>
      <c r="I996" s="83"/>
      <c r="J996" s="85"/>
      <c r="K996" s="86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spans="1:26" ht="18" customHeight="1">
      <c r="A997" s="81"/>
      <c r="B997" s="43"/>
      <c r="C997" s="82"/>
      <c r="D997" s="43"/>
      <c r="E997" s="83"/>
      <c r="F997" s="84"/>
      <c r="G997" s="84"/>
      <c r="H997" s="43"/>
      <c r="I997" s="83"/>
      <c r="J997" s="85"/>
      <c r="K997" s="86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spans="1:26" ht="18" customHeight="1">
      <c r="A998" s="81"/>
      <c r="B998" s="43"/>
      <c r="C998" s="82"/>
      <c r="D998" s="43"/>
      <c r="E998" s="83"/>
      <c r="F998" s="84"/>
      <c r="G998" s="84"/>
      <c r="H998" s="43"/>
      <c r="I998" s="83"/>
      <c r="J998" s="85"/>
      <c r="K998" s="86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spans="1:26" ht="18" customHeight="1">
      <c r="A999" s="81"/>
      <c r="B999" s="43"/>
      <c r="C999" s="82"/>
      <c r="D999" s="43"/>
      <c r="E999" s="83"/>
      <c r="F999" s="84"/>
      <c r="G999" s="84"/>
      <c r="H999" s="43"/>
      <c r="I999" s="83"/>
      <c r="J999" s="85"/>
      <c r="K999" s="86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spans="1:26" ht="18" customHeight="1">
      <c r="A1000" s="81"/>
      <c r="B1000" s="43"/>
      <c r="C1000" s="82"/>
      <c r="D1000" s="43"/>
      <c r="E1000" s="83"/>
      <c r="F1000" s="84"/>
      <c r="G1000" s="84"/>
      <c r="H1000" s="43"/>
      <c r="I1000" s="83"/>
      <c r="J1000" s="85"/>
      <c r="K1000" s="86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</sheetData>
  <autoFilter ref="A4:N327"/>
  <mergeCells count="4">
    <mergeCell ref="A1:N2"/>
    <mergeCell ref="I3:M3"/>
    <mergeCell ref="O3:O4"/>
    <mergeCell ref="P3:P4"/>
  </mergeCells>
  <printOptions horizontalCentered="1"/>
  <pageMargins left="0.15748031496063" right="0.15748031496063" top="0.35433070866141703" bottom="0.15748031496063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D1000"/>
  <sheetViews>
    <sheetView workbookViewId="0"/>
  </sheetViews>
  <sheetFormatPr defaultColWidth="14.42578125" defaultRowHeight="15" customHeight="1"/>
  <cols>
    <col min="1" max="1" width="3.85546875" customWidth="1"/>
    <col min="2" max="2" width="24.42578125" customWidth="1"/>
    <col min="3" max="3" width="19.7109375" customWidth="1"/>
    <col min="4" max="26" width="9" customWidth="1"/>
  </cols>
  <sheetData>
    <row r="2" spans="1:4" ht="47.25">
      <c r="A2" s="30" t="s">
        <v>1206</v>
      </c>
      <c r="B2" s="30" t="s">
        <v>47</v>
      </c>
      <c r="C2" s="30" t="s">
        <v>1207</v>
      </c>
      <c r="D2" s="87" t="s">
        <v>1208</v>
      </c>
    </row>
    <row r="3" spans="1:4" ht="15.75">
      <c r="A3" s="47">
        <v>1</v>
      </c>
      <c r="B3" s="61" t="s">
        <v>161</v>
      </c>
      <c r="C3" s="50" t="s">
        <v>1209</v>
      </c>
      <c r="D3" s="88">
        <v>278</v>
      </c>
    </row>
    <row r="4" spans="1:4" ht="15.75">
      <c r="A4" s="47">
        <v>2</v>
      </c>
      <c r="B4" s="61" t="s">
        <v>54</v>
      </c>
      <c r="C4" s="50" t="s">
        <v>1210</v>
      </c>
      <c r="D4" s="88">
        <v>280</v>
      </c>
    </row>
    <row r="5" spans="1:4" ht="15.75">
      <c r="A5" s="47">
        <v>3</v>
      </c>
      <c r="B5" s="61" t="s">
        <v>891</v>
      </c>
      <c r="C5" s="50" t="s">
        <v>1211</v>
      </c>
      <c r="D5" s="88">
        <v>134</v>
      </c>
    </row>
    <row r="6" spans="1:4" ht="15.75">
      <c r="A6" s="47">
        <v>4</v>
      </c>
      <c r="B6" s="61" t="s">
        <v>1212</v>
      </c>
      <c r="C6" s="50" t="s">
        <v>1213</v>
      </c>
      <c r="D6" s="88">
        <v>172</v>
      </c>
    </row>
    <row r="7" spans="1:4" ht="15.75">
      <c r="A7" s="47">
        <v>5</v>
      </c>
      <c r="B7" s="61" t="s">
        <v>72</v>
      </c>
      <c r="C7" s="50" t="s">
        <v>1214</v>
      </c>
      <c r="D7" s="88">
        <v>766</v>
      </c>
    </row>
    <row r="8" spans="1:4" ht="15.75">
      <c r="A8" s="47">
        <v>6</v>
      </c>
      <c r="B8" s="61" t="s">
        <v>1098</v>
      </c>
      <c r="C8" s="50" t="s">
        <v>1215</v>
      </c>
      <c r="D8" s="88">
        <v>157</v>
      </c>
    </row>
    <row r="9" spans="1:4" ht="15.75">
      <c r="A9" s="47">
        <v>7</v>
      </c>
      <c r="B9" s="61" t="s">
        <v>91</v>
      </c>
      <c r="C9" s="50" t="s">
        <v>1216</v>
      </c>
      <c r="D9" s="88">
        <v>378</v>
      </c>
    </row>
    <row r="10" spans="1:4" ht="15.75">
      <c r="A10" s="47">
        <v>8</v>
      </c>
      <c r="B10" s="61" t="s">
        <v>83</v>
      </c>
      <c r="C10" s="50" t="s">
        <v>1217</v>
      </c>
      <c r="D10" s="88">
        <v>430</v>
      </c>
    </row>
    <row r="11" spans="1:4" ht="15.75">
      <c r="A11" s="47">
        <v>9</v>
      </c>
      <c r="B11" s="61" t="s">
        <v>1218</v>
      </c>
      <c r="C11" s="50" t="s">
        <v>1219</v>
      </c>
      <c r="D11" s="88">
        <v>494</v>
      </c>
    </row>
    <row r="12" spans="1:4" ht="15.75">
      <c r="A12" s="47">
        <v>10</v>
      </c>
      <c r="B12" s="61" t="s">
        <v>139</v>
      </c>
      <c r="C12" s="50" t="s">
        <v>1220</v>
      </c>
      <c r="D12" s="88">
        <v>556</v>
      </c>
    </row>
    <row r="13" spans="1:4" ht="15.75">
      <c r="A13" s="47">
        <v>11</v>
      </c>
      <c r="B13" s="61" t="s">
        <v>566</v>
      </c>
      <c r="C13" s="50" t="s">
        <v>1221</v>
      </c>
      <c r="D13" s="88">
        <v>1216</v>
      </c>
    </row>
    <row r="14" spans="1:4" ht="15.75">
      <c r="A14" s="47">
        <v>12</v>
      </c>
      <c r="B14" s="61" t="s">
        <v>274</v>
      </c>
      <c r="C14" s="50" t="s">
        <v>1222</v>
      </c>
      <c r="D14" s="88">
        <v>244</v>
      </c>
    </row>
    <row r="15" spans="1:4" ht="15.75">
      <c r="A15" s="47">
        <v>13</v>
      </c>
      <c r="B15" s="61" t="s">
        <v>101</v>
      </c>
      <c r="C15" s="50" t="s">
        <v>887</v>
      </c>
      <c r="D15" s="88">
        <v>580</v>
      </c>
    </row>
    <row r="16" spans="1:4" ht="15.75">
      <c r="A16" s="47">
        <v>14</v>
      </c>
      <c r="B16" s="61" t="s">
        <v>68</v>
      </c>
      <c r="C16" s="50" t="s">
        <v>1223</v>
      </c>
      <c r="D16" s="88">
        <v>948</v>
      </c>
    </row>
    <row r="17" spans="1:4" ht="15.75">
      <c r="A17" s="47">
        <v>15</v>
      </c>
      <c r="B17" s="61" t="s">
        <v>1224</v>
      </c>
      <c r="C17" s="50" t="s">
        <v>1225</v>
      </c>
      <c r="D17" s="88">
        <v>1040</v>
      </c>
    </row>
    <row r="18" spans="1:4" ht="15.75">
      <c r="A18" s="47">
        <v>16</v>
      </c>
      <c r="B18" s="61" t="s">
        <v>79</v>
      </c>
      <c r="C18" s="50" t="s">
        <v>1226</v>
      </c>
      <c r="D18" s="89"/>
    </row>
    <row r="19" spans="1:4" ht="15.75">
      <c r="A19" s="47">
        <v>17</v>
      </c>
      <c r="B19" s="61" t="s">
        <v>1077</v>
      </c>
      <c r="C19" s="50" t="s">
        <v>1227</v>
      </c>
      <c r="D19" s="89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000"/>
  <sheetViews>
    <sheetView tabSelected="1" topLeftCell="A4" workbookViewId="0">
      <selection activeCell="G5" sqref="G5"/>
    </sheetView>
  </sheetViews>
  <sheetFormatPr defaultColWidth="14.42578125" defaultRowHeight="15" customHeight="1"/>
  <cols>
    <col min="1" max="5" width="10" customWidth="1"/>
    <col min="6" max="6" width="15.85546875" customWidth="1"/>
    <col min="7" max="7" width="16.7109375" customWidth="1"/>
    <col min="8" max="8" width="10" customWidth="1"/>
    <col min="9" max="10" width="9" customWidth="1"/>
    <col min="11" max="11" width="10.28515625" customWidth="1"/>
    <col min="12" max="17" width="10" customWidth="1"/>
    <col min="18" max="18" width="8.85546875" customWidth="1"/>
    <col min="19" max="26" width="10" customWidth="1"/>
  </cols>
  <sheetData>
    <row r="1" spans="1:18" ht="15.75">
      <c r="A1" s="140" t="s">
        <v>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28"/>
      <c r="P1" s="28"/>
    </row>
    <row r="2" spans="1:18" ht="15.7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28"/>
      <c r="P2" s="28"/>
    </row>
    <row r="3" spans="1:18" ht="15.75">
      <c r="I3" s="142"/>
      <c r="J3" s="133"/>
      <c r="K3" s="133"/>
      <c r="L3" s="133"/>
      <c r="M3" s="116"/>
    </row>
    <row r="4" spans="1:18" ht="63">
      <c r="A4" s="90" t="s">
        <v>33</v>
      </c>
      <c r="B4" s="91" t="s">
        <v>34</v>
      </c>
      <c r="C4" s="92" t="s">
        <v>35</v>
      </c>
      <c r="D4" s="93" t="s">
        <v>36</v>
      </c>
      <c r="E4" s="94" t="s">
        <v>1228</v>
      </c>
      <c r="F4" s="95" t="s">
        <v>38</v>
      </c>
      <c r="G4" s="96" t="s">
        <v>39</v>
      </c>
      <c r="H4" s="91" t="s">
        <v>19</v>
      </c>
      <c r="I4" s="40" t="s">
        <v>1229</v>
      </c>
      <c r="J4" s="41" t="s">
        <v>1230</v>
      </c>
      <c r="K4" s="42" t="s">
        <v>1231</v>
      </c>
      <c r="L4" s="30" t="s">
        <v>47</v>
      </c>
      <c r="M4" s="30" t="s">
        <v>48</v>
      </c>
      <c r="N4" s="91" t="s">
        <v>41</v>
      </c>
      <c r="O4" s="97" t="s">
        <v>42</v>
      </c>
      <c r="P4" s="97" t="s">
        <v>43</v>
      </c>
      <c r="Q4" s="98" t="s">
        <v>1232</v>
      </c>
    </row>
    <row r="5" spans="1:18" ht="405">
      <c r="A5" s="44" t="s">
        <v>49</v>
      </c>
      <c r="B5" s="45" t="s">
        <v>50</v>
      </c>
      <c r="C5" s="46" t="s">
        <v>51</v>
      </c>
      <c r="D5" s="47" t="s">
        <v>52</v>
      </c>
      <c r="E5" s="99">
        <v>220</v>
      </c>
      <c r="F5" s="49">
        <v>46191</v>
      </c>
      <c r="G5" s="49">
        <v>46282</v>
      </c>
      <c r="H5" s="50" t="s">
        <v>53</v>
      </c>
      <c r="I5" s="100">
        <v>280</v>
      </c>
      <c r="J5" s="52">
        <v>26.2</v>
      </c>
      <c r="K5" s="101" t="s">
        <v>1233</v>
      </c>
      <c r="L5" s="50" t="s">
        <v>54</v>
      </c>
      <c r="M5" s="54" t="str">
        <f>VLOOKUP(L5,Packaging!$B$3:$C$21,2,0)</f>
        <v>290 X 200 X 140</v>
      </c>
      <c r="N5" s="47"/>
      <c r="O5" s="100">
        <v>5</v>
      </c>
      <c r="P5" s="47" t="s">
        <v>55</v>
      </c>
      <c r="Q5" s="98" t="s">
        <v>1234</v>
      </c>
      <c r="R5" s="102" t="str">
        <f t="shared" ref="R5:R374" si="0">IF(D5="PT. KAWAI INDONESIA","A9,A10,A15,A20,C4,C6,C12,D1,D2,D3,D4,D5,D6,D7,D8,D9,D10,D11,D12,D13,D14,D15,D17,D18,D19,D20,E1,E2,E3,E4,E5,E6,E7,E8,E9,E10,E11,E12,E14,E15,E16",IF(D5="PT. YEMI","A5,B1,B2,B5,B8,B9,B10,B11,B14,B15,C9,D16",IF(D5="PT. YMMA","A1,A2,A3,A4,A6,A7,A8,A11,A12,A13,A14,A16,A17,A18,A19,B3,B7,B12,B13,B16,B17,B18,C1,C2,C3,C5,C7,C8,C11,E13,F1,F2,F3,F4,F5,F6,F7,F8,F9,F10,F11,F12,F13,F14,F15,F16,G1,G2,G3,G4,G5,G6,G7,G8,G9,G10,G11,G12,G13,G14,G15,G16",IF(D5="PT. IKPI","B19,B20",IF(D5="PT. TOA GALVA INDONESIA","B4,B6,C10","")))))</f>
        <v>A1,A2,A3,A4,A6,A7,A8,A11,A12,A13,A14,A16,A17,A18,A19,B3,B7,B12,B13,B16,B17,B18,C1,C2,C3,C5,C7,C8,C11,E13,F1,F2,F3,F4,F5,F6,F7,F8,F9,F10,F11,F12,F13,F14,F15,F16,G1,G2,G3,G4,G5,G6,G7,G8,G9,G10,G11,G12,G13,G14,G15,G16</v>
      </c>
    </row>
    <row r="6" spans="1:18" ht="405">
      <c r="A6" s="44" t="s">
        <v>56</v>
      </c>
      <c r="B6" s="45" t="s">
        <v>57</v>
      </c>
      <c r="C6" s="46" t="s">
        <v>58</v>
      </c>
      <c r="D6" s="47" t="s">
        <v>52</v>
      </c>
      <c r="E6" s="99">
        <v>220</v>
      </c>
      <c r="F6" s="49">
        <v>46191</v>
      </c>
      <c r="G6" s="49">
        <v>46282</v>
      </c>
      <c r="H6" s="50" t="s">
        <v>53</v>
      </c>
      <c r="I6" s="100">
        <v>280</v>
      </c>
      <c r="J6" s="52">
        <v>38.6</v>
      </c>
      <c r="K6" s="103" t="s">
        <v>1235</v>
      </c>
      <c r="L6" s="50" t="s">
        <v>54</v>
      </c>
      <c r="M6" s="54" t="str">
        <f>VLOOKUP(L6,Packaging!$B$3:$C$21,2,0)</f>
        <v>290 X 200 X 140</v>
      </c>
      <c r="N6" s="47"/>
      <c r="O6" s="100">
        <v>5</v>
      </c>
      <c r="P6" s="47" t="s">
        <v>55</v>
      </c>
      <c r="Q6" s="98" t="s">
        <v>1234</v>
      </c>
      <c r="R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" spans="1:18" ht="405">
      <c r="A7" s="44" t="s">
        <v>59</v>
      </c>
      <c r="B7" s="45" t="s">
        <v>60</v>
      </c>
      <c r="C7" s="46" t="s">
        <v>61</v>
      </c>
      <c r="D7" s="47" t="s">
        <v>52</v>
      </c>
      <c r="E7" s="99">
        <v>220</v>
      </c>
      <c r="F7" s="49">
        <v>46191</v>
      </c>
      <c r="G7" s="49">
        <v>46282</v>
      </c>
      <c r="H7" s="50" t="s">
        <v>53</v>
      </c>
      <c r="I7" s="100">
        <v>280</v>
      </c>
      <c r="J7" s="52">
        <v>26.2</v>
      </c>
      <c r="K7" s="103" t="s">
        <v>1236</v>
      </c>
      <c r="L7" s="50" t="s">
        <v>54</v>
      </c>
      <c r="M7" s="54" t="str">
        <f>VLOOKUP(L7,Packaging!$B$3:$C$21,2,0)</f>
        <v>290 X 200 X 140</v>
      </c>
      <c r="N7" s="47"/>
      <c r="O7" s="100">
        <v>5</v>
      </c>
      <c r="P7" s="47" t="s">
        <v>55</v>
      </c>
      <c r="Q7" s="98" t="s">
        <v>1234</v>
      </c>
      <c r="R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" spans="1:18" ht="405">
      <c r="A8" s="44" t="s">
        <v>62</v>
      </c>
      <c r="B8" s="45" t="s">
        <v>63</v>
      </c>
      <c r="C8" s="46" t="s">
        <v>64</v>
      </c>
      <c r="D8" s="47" t="s">
        <v>52</v>
      </c>
      <c r="E8" s="99">
        <v>220</v>
      </c>
      <c r="F8" s="49">
        <v>46191</v>
      </c>
      <c r="G8" s="49">
        <v>46282</v>
      </c>
      <c r="H8" s="50" t="s">
        <v>53</v>
      </c>
      <c r="I8" s="100">
        <v>280</v>
      </c>
      <c r="J8" s="52">
        <v>38.6</v>
      </c>
      <c r="K8" s="103" t="s">
        <v>1237</v>
      </c>
      <c r="L8" s="50" t="s">
        <v>54</v>
      </c>
      <c r="M8" s="54" t="str">
        <f>VLOOKUP(L8,Packaging!$B$3:$C$21,2,0)</f>
        <v>290 X 200 X 140</v>
      </c>
      <c r="N8" s="47"/>
      <c r="O8" s="100">
        <v>5</v>
      </c>
      <c r="P8" s="47" t="s">
        <v>55</v>
      </c>
      <c r="Q8" s="98" t="s">
        <v>1234</v>
      </c>
      <c r="R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" spans="1:18" ht="405">
      <c r="A9" s="44" t="s">
        <v>65</v>
      </c>
      <c r="B9" s="47" t="s">
        <v>66</v>
      </c>
      <c r="C9" s="46" t="s">
        <v>67</v>
      </c>
      <c r="D9" s="47" t="s">
        <v>52</v>
      </c>
      <c r="E9" s="99">
        <v>16</v>
      </c>
      <c r="F9" s="49">
        <v>46191</v>
      </c>
      <c r="G9" s="49">
        <v>46282</v>
      </c>
      <c r="H9" s="50" t="s">
        <v>53</v>
      </c>
      <c r="I9" s="100">
        <v>948</v>
      </c>
      <c r="J9" s="52">
        <v>1650.4</v>
      </c>
      <c r="K9" s="103" t="s">
        <v>1238</v>
      </c>
      <c r="L9" s="50" t="s">
        <v>68</v>
      </c>
      <c r="M9" s="54" t="str">
        <f>VLOOKUP(L9,Packaging!$B$3:$C$21,2,0)</f>
        <v>1410 X 165 X 175</v>
      </c>
      <c r="N9" s="47"/>
      <c r="O9" s="100">
        <v>1</v>
      </c>
      <c r="P9" s="47" t="s">
        <v>55</v>
      </c>
      <c r="Q9" s="98" t="s">
        <v>1234</v>
      </c>
      <c r="R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" spans="1:18" ht="405">
      <c r="A10" s="44" t="s">
        <v>69</v>
      </c>
      <c r="B10" s="47" t="s">
        <v>70</v>
      </c>
      <c r="C10" s="46" t="s">
        <v>71</v>
      </c>
      <c r="D10" s="47" t="s">
        <v>52</v>
      </c>
      <c r="E10" s="99">
        <v>40</v>
      </c>
      <c r="F10" s="49">
        <v>46191</v>
      </c>
      <c r="G10" s="49">
        <v>46282</v>
      </c>
      <c r="H10" s="50" t="s">
        <v>53</v>
      </c>
      <c r="I10" s="100">
        <v>766</v>
      </c>
      <c r="J10" s="52">
        <v>170</v>
      </c>
      <c r="K10" s="103" t="s">
        <v>1239</v>
      </c>
      <c r="L10" s="50" t="s">
        <v>72</v>
      </c>
      <c r="M10" s="54" t="str">
        <f>VLOOKUP(L10,Packaging!$B$3:$C$21,2,0)</f>
        <v>390 X 350 X 280</v>
      </c>
      <c r="N10" s="47"/>
      <c r="O10" s="100">
        <v>2</v>
      </c>
      <c r="P10" s="47" t="s">
        <v>55</v>
      </c>
      <c r="Q10" s="98" t="s">
        <v>1234</v>
      </c>
      <c r="R1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" spans="1:18" ht="405">
      <c r="A11" s="44" t="s">
        <v>73</v>
      </c>
      <c r="B11" s="45" t="s">
        <v>74</v>
      </c>
      <c r="C11" s="46" t="s">
        <v>75</v>
      </c>
      <c r="D11" s="47" t="s">
        <v>52</v>
      </c>
      <c r="E11" s="99">
        <v>60</v>
      </c>
      <c r="F11" s="49">
        <v>46191</v>
      </c>
      <c r="G11" s="49">
        <v>46282</v>
      </c>
      <c r="H11" s="50" t="s">
        <v>53</v>
      </c>
      <c r="I11" s="100">
        <v>280</v>
      </c>
      <c r="J11" s="52">
        <v>68.2</v>
      </c>
      <c r="K11" s="103" t="s">
        <v>1240</v>
      </c>
      <c r="L11" s="50" t="s">
        <v>54</v>
      </c>
      <c r="M11" s="54" t="str">
        <f>VLOOKUP(L11,Packaging!$B$3:$C$21,2,0)</f>
        <v>290 X 200 X 140</v>
      </c>
      <c r="N11" s="47"/>
      <c r="O11" s="100">
        <v>5</v>
      </c>
      <c r="P11" s="47" t="s">
        <v>55</v>
      </c>
      <c r="Q11" s="98" t="s">
        <v>1234</v>
      </c>
      <c r="R1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" spans="1:18" ht="405">
      <c r="A12" s="44" t="s">
        <v>76</v>
      </c>
      <c r="B12" s="47" t="s">
        <v>77</v>
      </c>
      <c r="C12" s="46" t="s">
        <v>78</v>
      </c>
      <c r="D12" s="47" t="s">
        <v>52</v>
      </c>
      <c r="E12" s="99">
        <v>20</v>
      </c>
      <c r="F12" s="49">
        <v>46191</v>
      </c>
      <c r="G12" s="49">
        <v>46282</v>
      </c>
      <c r="H12" s="50" t="s">
        <v>53</v>
      </c>
      <c r="I12" s="104"/>
      <c r="J12" s="52">
        <v>5076.8</v>
      </c>
      <c r="K12" s="103" t="s">
        <v>1241</v>
      </c>
      <c r="L12" s="50" t="s">
        <v>79</v>
      </c>
      <c r="M12" s="54" t="str">
        <f>VLOOKUP(L12,Packaging!$B$3:$C$21,2,0)</f>
        <v>1000 X 880 X 1230</v>
      </c>
      <c r="N12" s="47"/>
      <c r="O12" s="100">
        <v>1</v>
      </c>
      <c r="P12" s="47" t="s">
        <v>55</v>
      </c>
      <c r="Q12" s="98" t="s">
        <v>1234</v>
      </c>
      <c r="R1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" spans="1:18" ht="405">
      <c r="A13" s="44" t="s">
        <v>80</v>
      </c>
      <c r="B13" s="45" t="s">
        <v>81</v>
      </c>
      <c r="C13" s="46" t="s">
        <v>82</v>
      </c>
      <c r="D13" s="47" t="s">
        <v>52</v>
      </c>
      <c r="E13" s="99">
        <v>30</v>
      </c>
      <c r="F13" s="49">
        <v>46191</v>
      </c>
      <c r="G13" s="49">
        <v>46282</v>
      </c>
      <c r="H13" s="50" t="s">
        <v>53</v>
      </c>
      <c r="I13" s="100">
        <v>430</v>
      </c>
      <c r="J13" s="52">
        <v>411</v>
      </c>
      <c r="K13" s="103" t="s">
        <v>1242</v>
      </c>
      <c r="L13" s="50" t="s">
        <v>83</v>
      </c>
      <c r="M13" s="54" t="str">
        <f>VLOOKUP(L13,Packaging!$B$3:$C$21,2,0)</f>
        <v>560 X 175 X 155</v>
      </c>
      <c r="N13" s="47"/>
      <c r="O13" s="100">
        <v>1</v>
      </c>
      <c r="P13" s="47" t="s">
        <v>55</v>
      </c>
      <c r="Q13" s="98" t="s">
        <v>1234</v>
      </c>
      <c r="R1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" spans="1:18" ht="405">
      <c r="A14" s="44" t="s">
        <v>84</v>
      </c>
      <c r="B14" s="45" t="s">
        <v>85</v>
      </c>
      <c r="C14" s="46" t="s">
        <v>86</v>
      </c>
      <c r="D14" s="47" t="s">
        <v>52</v>
      </c>
      <c r="E14" s="99">
        <v>30</v>
      </c>
      <c r="F14" s="49">
        <v>46191</v>
      </c>
      <c r="G14" s="49">
        <v>46282</v>
      </c>
      <c r="H14" s="50" t="s">
        <v>53</v>
      </c>
      <c r="I14" s="100">
        <v>430</v>
      </c>
      <c r="J14" s="52">
        <v>411</v>
      </c>
      <c r="K14" s="103" t="s">
        <v>1243</v>
      </c>
      <c r="L14" s="50" t="s">
        <v>83</v>
      </c>
      <c r="M14" s="54" t="str">
        <f>VLOOKUP(L14,Packaging!$B$3:$C$21,2,0)</f>
        <v>560 X 175 X 155</v>
      </c>
      <c r="N14" s="47" t="s">
        <v>87</v>
      </c>
      <c r="O14" s="100">
        <v>1</v>
      </c>
      <c r="P14" s="47" t="s">
        <v>55</v>
      </c>
      <c r="Q14" s="98" t="s">
        <v>1234</v>
      </c>
      <c r="R1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" spans="1:18" ht="405">
      <c r="A15" s="44" t="s">
        <v>88</v>
      </c>
      <c r="B15" s="45" t="s">
        <v>89</v>
      </c>
      <c r="C15" s="46" t="s">
        <v>90</v>
      </c>
      <c r="D15" s="47" t="s">
        <v>52</v>
      </c>
      <c r="E15" s="99">
        <v>28</v>
      </c>
      <c r="F15" s="49">
        <v>46191</v>
      </c>
      <c r="G15" s="49">
        <v>46282</v>
      </c>
      <c r="H15" s="50" t="s">
        <v>53</v>
      </c>
      <c r="I15" s="100">
        <v>378</v>
      </c>
      <c r="J15" s="52">
        <v>437.8</v>
      </c>
      <c r="K15" s="103" t="s">
        <v>1244</v>
      </c>
      <c r="L15" s="50" t="s">
        <v>91</v>
      </c>
      <c r="M15" s="54" t="str">
        <f>VLOOKUP(L15,Packaging!$B$3:$C$21,2,0)</f>
        <v>400 X 240 X 130</v>
      </c>
      <c r="N15" s="47"/>
      <c r="O15" s="100">
        <v>2</v>
      </c>
      <c r="P15" s="47" t="s">
        <v>55</v>
      </c>
      <c r="Q15" s="98" t="s">
        <v>1234</v>
      </c>
      <c r="R1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" spans="1:18" ht="405">
      <c r="A16" s="44" t="s">
        <v>92</v>
      </c>
      <c r="B16" s="45" t="s">
        <v>93</v>
      </c>
      <c r="C16" s="46" t="s">
        <v>94</v>
      </c>
      <c r="D16" s="47" t="s">
        <v>52</v>
      </c>
      <c r="E16" s="99">
        <v>100</v>
      </c>
      <c r="F16" s="49">
        <v>46191</v>
      </c>
      <c r="G16" s="49">
        <v>46282</v>
      </c>
      <c r="H16" s="50" t="s">
        <v>53</v>
      </c>
      <c r="I16" s="100">
        <v>280</v>
      </c>
      <c r="J16" s="52">
        <v>91</v>
      </c>
      <c r="K16" s="103" t="s">
        <v>1245</v>
      </c>
      <c r="L16" s="50" t="s">
        <v>54</v>
      </c>
      <c r="M16" s="54" t="str">
        <f>VLOOKUP(L16,Packaging!$B$3:$C$21,2,0)</f>
        <v>290 X 200 X 140</v>
      </c>
      <c r="N16" s="47"/>
      <c r="O16" s="100">
        <v>5</v>
      </c>
      <c r="P16" s="47" t="s">
        <v>55</v>
      </c>
      <c r="Q16" s="98" t="s">
        <v>1234</v>
      </c>
      <c r="R1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7" spans="1:18" ht="405">
      <c r="A17" s="44" t="s">
        <v>95</v>
      </c>
      <c r="B17" s="45" t="s">
        <v>96</v>
      </c>
      <c r="C17" s="46" t="s">
        <v>97</v>
      </c>
      <c r="D17" s="47" t="s">
        <v>52</v>
      </c>
      <c r="E17" s="99">
        <v>100</v>
      </c>
      <c r="F17" s="49">
        <v>46191</v>
      </c>
      <c r="G17" s="49">
        <v>46282</v>
      </c>
      <c r="H17" s="50" t="s">
        <v>53</v>
      </c>
      <c r="I17" s="100">
        <v>280</v>
      </c>
      <c r="J17" s="52">
        <v>91</v>
      </c>
      <c r="K17" s="103" t="s">
        <v>1246</v>
      </c>
      <c r="L17" s="50" t="s">
        <v>54</v>
      </c>
      <c r="M17" s="54" t="str">
        <f>VLOOKUP(L17,Packaging!$B$3:$C$21,2,0)</f>
        <v>290 X 200 X 140</v>
      </c>
      <c r="N17" s="47"/>
      <c r="O17" s="100">
        <v>5</v>
      </c>
      <c r="P17" s="47" t="s">
        <v>55</v>
      </c>
      <c r="Q17" s="98" t="s">
        <v>1234</v>
      </c>
      <c r="R1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8" spans="1:18" ht="405">
      <c r="A18" s="44" t="s">
        <v>98</v>
      </c>
      <c r="B18" s="45" t="s">
        <v>99</v>
      </c>
      <c r="C18" s="46" t="s">
        <v>100</v>
      </c>
      <c r="D18" s="47" t="s">
        <v>52</v>
      </c>
      <c r="E18" s="99">
        <v>20</v>
      </c>
      <c r="F18" s="49">
        <v>46191</v>
      </c>
      <c r="G18" s="49">
        <v>46282</v>
      </c>
      <c r="H18" s="50" t="s">
        <v>53</v>
      </c>
      <c r="I18" s="100">
        <v>580</v>
      </c>
      <c r="J18" s="52">
        <v>1034</v>
      </c>
      <c r="K18" s="103" t="s">
        <v>1247</v>
      </c>
      <c r="L18" s="50" t="s">
        <v>101</v>
      </c>
      <c r="M18" s="54" t="str">
        <f>VLOOKUP(L18,Packaging!$B$3:$C$21,2,0)</f>
        <v>1380 X 150 X 80</v>
      </c>
      <c r="N18" s="47"/>
      <c r="O18" s="100">
        <v>1</v>
      </c>
      <c r="P18" s="47" t="s">
        <v>55</v>
      </c>
      <c r="Q18" s="98" t="s">
        <v>1234</v>
      </c>
      <c r="R1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9" spans="1:18" ht="405">
      <c r="A19" s="44" t="s">
        <v>102</v>
      </c>
      <c r="B19" s="45" t="s">
        <v>103</v>
      </c>
      <c r="C19" s="46" t="s">
        <v>104</v>
      </c>
      <c r="D19" s="47" t="s">
        <v>52</v>
      </c>
      <c r="E19" s="99">
        <v>20</v>
      </c>
      <c r="F19" s="49">
        <v>46191</v>
      </c>
      <c r="G19" s="49">
        <v>46282</v>
      </c>
      <c r="H19" s="50" t="s">
        <v>53</v>
      </c>
      <c r="I19" s="100">
        <v>580</v>
      </c>
      <c r="J19" s="52">
        <v>1034</v>
      </c>
      <c r="K19" s="103" t="s">
        <v>1248</v>
      </c>
      <c r="L19" s="50" t="s">
        <v>101</v>
      </c>
      <c r="M19" s="54" t="str">
        <f>VLOOKUP(L19,Packaging!$B$3:$C$21,2,0)</f>
        <v>1380 X 150 X 80</v>
      </c>
      <c r="N19" s="47"/>
      <c r="O19" s="100">
        <v>1</v>
      </c>
      <c r="P19" s="47" t="s">
        <v>55</v>
      </c>
      <c r="Q19" s="98" t="s">
        <v>1234</v>
      </c>
      <c r="R1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0" spans="1:18" ht="405">
      <c r="A20" s="44" t="s">
        <v>105</v>
      </c>
      <c r="B20" s="45" t="s">
        <v>106</v>
      </c>
      <c r="C20" s="46" t="s">
        <v>107</v>
      </c>
      <c r="D20" s="47" t="s">
        <v>52</v>
      </c>
      <c r="E20" s="99">
        <v>12</v>
      </c>
      <c r="F20" s="49">
        <v>46191</v>
      </c>
      <c r="G20" s="49">
        <v>46282</v>
      </c>
      <c r="H20" s="50" t="s">
        <v>53</v>
      </c>
      <c r="I20" s="100">
        <v>766</v>
      </c>
      <c r="J20" s="52">
        <v>610</v>
      </c>
      <c r="K20" s="103" t="s">
        <v>1249</v>
      </c>
      <c r="L20" s="50" t="s">
        <v>72</v>
      </c>
      <c r="M20" s="54" t="str">
        <f>VLOOKUP(L20,Packaging!$B$3:$C$21,2,0)</f>
        <v>390 X 350 X 280</v>
      </c>
      <c r="N20" s="47"/>
      <c r="O20" s="100">
        <v>1</v>
      </c>
      <c r="P20" s="47" t="s">
        <v>55</v>
      </c>
      <c r="Q20" s="98" t="s">
        <v>1234</v>
      </c>
      <c r="R2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1" spans="1:18" ht="15.75" customHeight="1">
      <c r="A21" s="44" t="s">
        <v>108</v>
      </c>
      <c r="B21" s="45" t="s">
        <v>109</v>
      </c>
      <c r="C21" s="57" t="s">
        <v>110</v>
      </c>
      <c r="D21" s="47" t="s">
        <v>52</v>
      </c>
      <c r="E21" s="99">
        <v>40</v>
      </c>
      <c r="F21" s="49">
        <v>46191</v>
      </c>
      <c r="G21" s="49">
        <v>46282</v>
      </c>
      <c r="H21" s="50" t="s">
        <v>53</v>
      </c>
      <c r="I21" s="100">
        <v>378</v>
      </c>
      <c r="J21" s="52">
        <v>724</v>
      </c>
      <c r="K21" s="103" t="s">
        <v>1250</v>
      </c>
      <c r="L21" s="50" t="s">
        <v>91</v>
      </c>
      <c r="M21" s="54" t="str">
        <f>VLOOKUP(L21,Packaging!$B$3:$C$21,2,0)</f>
        <v>400 X 240 X 130</v>
      </c>
      <c r="N21" s="47"/>
      <c r="O21" s="100">
        <v>4</v>
      </c>
      <c r="P21" s="47" t="s">
        <v>55</v>
      </c>
      <c r="Q21" s="98" t="s">
        <v>1234</v>
      </c>
      <c r="R2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2" spans="1:18" ht="15.75" customHeight="1">
      <c r="A22" s="44" t="s">
        <v>111</v>
      </c>
      <c r="B22" s="45" t="s">
        <v>112</v>
      </c>
      <c r="C22" s="57" t="s">
        <v>113</v>
      </c>
      <c r="D22" s="47" t="s">
        <v>52</v>
      </c>
      <c r="E22" s="99">
        <v>360</v>
      </c>
      <c r="F22" s="49">
        <v>46191</v>
      </c>
      <c r="G22" s="49">
        <v>46282</v>
      </c>
      <c r="H22" s="50" t="s">
        <v>53</v>
      </c>
      <c r="I22" s="100">
        <v>280</v>
      </c>
      <c r="J22" s="52">
        <v>26</v>
      </c>
      <c r="K22" s="103" t="s">
        <v>1251</v>
      </c>
      <c r="L22" s="50" t="s">
        <v>54</v>
      </c>
      <c r="M22" s="54" t="str">
        <f>VLOOKUP(L22,Packaging!$B$3:$C$21,2,0)</f>
        <v>290 X 200 X 140</v>
      </c>
      <c r="N22" s="47"/>
      <c r="O22" s="100">
        <v>20</v>
      </c>
      <c r="P22" s="47" t="s">
        <v>55</v>
      </c>
      <c r="Q22" s="98" t="s">
        <v>1234</v>
      </c>
      <c r="R2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3" spans="1:18" ht="15.75" customHeight="1">
      <c r="A23" s="44" t="s">
        <v>114</v>
      </c>
      <c r="B23" s="45" t="s">
        <v>115</v>
      </c>
      <c r="C23" s="57" t="s">
        <v>116</v>
      </c>
      <c r="D23" s="47" t="s">
        <v>52</v>
      </c>
      <c r="E23" s="99">
        <v>360</v>
      </c>
      <c r="F23" s="49">
        <v>46191</v>
      </c>
      <c r="G23" s="49">
        <v>46282</v>
      </c>
      <c r="H23" s="50" t="s">
        <v>53</v>
      </c>
      <c r="I23" s="100">
        <v>280</v>
      </c>
      <c r="J23" s="52">
        <v>26.8</v>
      </c>
      <c r="K23" s="103" t="s">
        <v>1252</v>
      </c>
      <c r="L23" s="50" t="s">
        <v>54</v>
      </c>
      <c r="M23" s="54" t="str">
        <f>VLOOKUP(L23,Packaging!$B$3:$C$21,2,0)</f>
        <v>290 X 200 X 140</v>
      </c>
      <c r="N23" s="47"/>
      <c r="O23" s="100">
        <v>5</v>
      </c>
      <c r="P23" s="47" t="s">
        <v>55</v>
      </c>
      <c r="Q23" s="98" t="s">
        <v>1234</v>
      </c>
      <c r="R2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4" spans="1:18" ht="15.75" customHeight="1">
      <c r="A24" s="44" t="s">
        <v>117</v>
      </c>
      <c r="B24" s="45" t="s">
        <v>118</v>
      </c>
      <c r="C24" s="58" t="s">
        <v>119</v>
      </c>
      <c r="D24" s="47" t="s">
        <v>52</v>
      </c>
      <c r="E24" s="99">
        <v>360</v>
      </c>
      <c r="F24" s="49">
        <v>46191</v>
      </c>
      <c r="G24" s="49">
        <v>46282</v>
      </c>
      <c r="H24" s="50" t="s">
        <v>53</v>
      </c>
      <c r="I24" s="100">
        <v>280</v>
      </c>
      <c r="J24" s="52">
        <v>26</v>
      </c>
      <c r="K24" s="103" t="s">
        <v>1253</v>
      </c>
      <c r="L24" s="50" t="s">
        <v>54</v>
      </c>
      <c r="M24" s="54" t="str">
        <f>VLOOKUP(L24,Packaging!$B$3:$C$21,2,0)</f>
        <v>290 X 200 X 140</v>
      </c>
      <c r="N24" s="47"/>
      <c r="O24" s="100">
        <v>20</v>
      </c>
      <c r="P24" s="47" t="s">
        <v>55</v>
      </c>
      <c r="Q24" s="98" t="s">
        <v>1234</v>
      </c>
      <c r="R2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5" spans="1:18" ht="15.75" customHeight="1">
      <c r="A25" s="44" t="s">
        <v>120</v>
      </c>
      <c r="B25" s="45" t="s">
        <v>121</v>
      </c>
      <c r="C25" s="57" t="s">
        <v>122</v>
      </c>
      <c r="D25" s="47" t="s">
        <v>52</v>
      </c>
      <c r="E25" s="99">
        <v>360</v>
      </c>
      <c r="F25" s="49">
        <v>46191</v>
      </c>
      <c r="G25" s="49">
        <v>46282</v>
      </c>
      <c r="H25" s="50" t="s">
        <v>53</v>
      </c>
      <c r="I25" s="100">
        <v>280</v>
      </c>
      <c r="J25" s="52">
        <v>26.8</v>
      </c>
      <c r="K25" s="103" t="s">
        <v>1254</v>
      </c>
      <c r="L25" s="50" t="s">
        <v>54</v>
      </c>
      <c r="M25" s="54" t="str">
        <f>VLOOKUP(L25,Packaging!$B$3:$C$21,2,0)</f>
        <v>290 X 200 X 140</v>
      </c>
      <c r="N25" s="47"/>
      <c r="O25" s="100">
        <v>5</v>
      </c>
      <c r="P25" s="47" t="s">
        <v>55</v>
      </c>
      <c r="Q25" s="98" t="s">
        <v>1234</v>
      </c>
      <c r="R2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6" spans="1:18" ht="15.75" customHeight="1">
      <c r="A26" s="44" t="s">
        <v>123</v>
      </c>
      <c r="B26" s="47" t="s">
        <v>124</v>
      </c>
      <c r="C26" s="46" t="s">
        <v>125</v>
      </c>
      <c r="D26" s="47" t="s">
        <v>52</v>
      </c>
      <c r="E26" s="99">
        <v>20</v>
      </c>
      <c r="F26" s="49">
        <v>46191</v>
      </c>
      <c r="G26" s="49">
        <v>46282</v>
      </c>
      <c r="H26" s="50" t="s">
        <v>53</v>
      </c>
      <c r="I26" s="100">
        <v>1128</v>
      </c>
      <c r="J26" s="51">
        <v>1076</v>
      </c>
      <c r="K26" s="103" t="s">
        <v>1255</v>
      </c>
      <c r="L26" s="50" t="s">
        <v>126</v>
      </c>
      <c r="M26" s="54" t="e">
        <f>VLOOKUP(L26,Packaging!$B$3:$C$21,2,0)</f>
        <v>#N/A</v>
      </c>
      <c r="N26" s="47"/>
      <c r="O26" s="100">
        <v>1</v>
      </c>
      <c r="P26" s="47" t="s">
        <v>55</v>
      </c>
      <c r="Q26" s="98" t="s">
        <v>1234</v>
      </c>
      <c r="R2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7" spans="1:18" ht="15.75" customHeight="1">
      <c r="A27" s="44" t="s">
        <v>127</v>
      </c>
      <c r="B27" s="47" t="s">
        <v>128</v>
      </c>
      <c r="C27" s="46" t="s">
        <v>129</v>
      </c>
      <c r="D27" s="47" t="s">
        <v>52</v>
      </c>
      <c r="E27" s="99">
        <v>20</v>
      </c>
      <c r="F27" s="49">
        <v>46191</v>
      </c>
      <c r="G27" s="49">
        <v>46282</v>
      </c>
      <c r="H27" s="50" t="s">
        <v>53</v>
      </c>
      <c r="I27" s="100">
        <v>1128</v>
      </c>
      <c r="J27" s="51">
        <v>1076</v>
      </c>
      <c r="K27" s="103" t="s">
        <v>1256</v>
      </c>
      <c r="L27" s="50" t="s">
        <v>126</v>
      </c>
      <c r="M27" s="54" t="e">
        <f>VLOOKUP(L27,Packaging!$B$3:$C$21,2,0)</f>
        <v>#N/A</v>
      </c>
      <c r="N27" s="47"/>
      <c r="O27" s="100">
        <v>1</v>
      </c>
      <c r="P27" s="47" t="s">
        <v>55</v>
      </c>
      <c r="Q27" s="98" t="s">
        <v>1234</v>
      </c>
      <c r="R2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8" spans="1:18" ht="15.75" customHeight="1">
      <c r="A28" s="44" t="s">
        <v>130</v>
      </c>
      <c r="B28" s="45" t="s">
        <v>131</v>
      </c>
      <c r="C28" s="46" t="s">
        <v>132</v>
      </c>
      <c r="D28" s="47" t="s">
        <v>52</v>
      </c>
      <c r="E28" s="99">
        <v>150</v>
      </c>
      <c r="F28" s="49">
        <v>46191</v>
      </c>
      <c r="G28" s="49">
        <v>46282</v>
      </c>
      <c r="H28" s="50" t="s">
        <v>53</v>
      </c>
      <c r="I28" s="100">
        <v>280</v>
      </c>
      <c r="J28" s="52">
        <v>120</v>
      </c>
      <c r="K28" s="103" t="s">
        <v>1257</v>
      </c>
      <c r="L28" s="50" t="s">
        <v>54</v>
      </c>
      <c r="M28" s="54" t="str">
        <f>VLOOKUP(L28,Packaging!$B$3:$C$21,2,0)</f>
        <v>290 X 200 X 140</v>
      </c>
      <c r="N28" s="47"/>
      <c r="O28" s="100">
        <v>10</v>
      </c>
      <c r="P28" s="47" t="s">
        <v>55</v>
      </c>
      <c r="Q28" s="98" t="s">
        <v>1234</v>
      </c>
      <c r="R2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29" spans="1:18" ht="15.75" customHeight="1">
      <c r="A29" s="44" t="s">
        <v>133</v>
      </c>
      <c r="B29" s="45" t="s">
        <v>134</v>
      </c>
      <c r="C29" s="46" t="s">
        <v>135</v>
      </c>
      <c r="D29" s="47" t="s">
        <v>52</v>
      </c>
      <c r="E29" s="99">
        <v>150</v>
      </c>
      <c r="F29" s="49">
        <v>46191</v>
      </c>
      <c r="G29" s="49">
        <v>46282</v>
      </c>
      <c r="H29" s="50" t="s">
        <v>53</v>
      </c>
      <c r="I29" s="100">
        <v>280</v>
      </c>
      <c r="J29" s="52">
        <v>120</v>
      </c>
      <c r="K29" s="103" t="s">
        <v>1258</v>
      </c>
      <c r="L29" s="50" t="s">
        <v>54</v>
      </c>
      <c r="M29" s="54" t="str">
        <f>VLOOKUP(L29,Packaging!$B$3:$C$21,2,0)</f>
        <v>290 X 200 X 140</v>
      </c>
      <c r="N29" s="47"/>
      <c r="O29" s="100">
        <v>10</v>
      </c>
      <c r="P29" s="47" t="s">
        <v>55</v>
      </c>
      <c r="Q29" s="98" t="s">
        <v>1234</v>
      </c>
      <c r="R2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0" spans="1:18" ht="15.75" customHeight="1">
      <c r="A30" s="44" t="s">
        <v>136</v>
      </c>
      <c r="B30" s="47" t="s">
        <v>137</v>
      </c>
      <c r="C30" s="46" t="s">
        <v>138</v>
      </c>
      <c r="D30" s="47" t="s">
        <v>52</v>
      </c>
      <c r="E30" s="99">
        <v>6</v>
      </c>
      <c r="F30" s="49">
        <v>46191</v>
      </c>
      <c r="G30" s="49">
        <v>46282</v>
      </c>
      <c r="H30" s="50" t="s">
        <v>53</v>
      </c>
      <c r="I30" s="100">
        <v>1040</v>
      </c>
      <c r="J30" s="51">
        <v>1873.4</v>
      </c>
      <c r="K30" s="103" t="s">
        <v>1259</v>
      </c>
      <c r="L30" s="50" t="s">
        <v>139</v>
      </c>
      <c r="M30" s="54" t="str">
        <f>VLOOKUP(L30,Packaging!$B$3:$C$21,2,0)</f>
        <v>810 X 160 X180</v>
      </c>
      <c r="N30" s="47"/>
      <c r="O30" s="100">
        <v>1</v>
      </c>
      <c r="P30" s="47" t="s">
        <v>55</v>
      </c>
      <c r="Q30" s="98" t="s">
        <v>1234</v>
      </c>
      <c r="R3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1" spans="1:18" ht="15.75" customHeight="1">
      <c r="A31" s="44" t="s">
        <v>140</v>
      </c>
      <c r="B31" s="47" t="s">
        <v>141</v>
      </c>
      <c r="C31" s="46" t="s">
        <v>142</v>
      </c>
      <c r="D31" s="47" t="s">
        <v>52</v>
      </c>
      <c r="E31" s="99">
        <v>24</v>
      </c>
      <c r="F31" s="49">
        <v>46191</v>
      </c>
      <c r="G31" s="49">
        <v>46282</v>
      </c>
      <c r="H31" s="50" t="s">
        <v>53</v>
      </c>
      <c r="I31" s="100">
        <v>378</v>
      </c>
      <c r="J31" s="52">
        <v>236</v>
      </c>
      <c r="K31" s="103" t="s">
        <v>1260</v>
      </c>
      <c r="L31" s="50" t="s">
        <v>91</v>
      </c>
      <c r="M31" s="54" t="str">
        <f>VLOOKUP(L31,Packaging!$B$3:$C$21,2,0)</f>
        <v>400 X 240 X 130</v>
      </c>
      <c r="N31" s="47"/>
      <c r="O31" s="100">
        <v>1</v>
      </c>
      <c r="P31" s="47" t="s">
        <v>55</v>
      </c>
      <c r="Q31" s="98" t="s">
        <v>1234</v>
      </c>
      <c r="R3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2" spans="1:18" ht="15.75" customHeight="1">
      <c r="A32" s="44" t="s">
        <v>143</v>
      </c>
      <c r="B32" s="45" t="s">
        <v>144</v>
      </c>
      <c r="C32" s="46" t="s">
        <v>145</v>
      </c>
      <c r="D32" s="47" t="s">
        <v>52</v>
      </c>
      <c r="E32" s="99">
        <v>240</v>
      </c>
      <c r="F32" s="49">
        <v>46191</v>
      </c>
      <c r="G32" s="49">
        <v>46282</v>
      </c>
      <c r="H32" s="50" t="s">
        <v>53</v>
      </c>
      <c r="I32" s="100">
        <v>378</v>
      </c>
      <c r="J32" s="52">
        <v>34.6</v>
      </c>
      <c r="K32" s="103" t="s">
        <v>1261</v>
      </c>
      <c r="L32" s="50" t="s">
        <v>91</v>
      </c>
      <c r="M32" s="54" t="str">
        <f>VLOOKUP(L32,Packaging!$B$3:$C$21,2,0)</f>
        <v>400 X 240 X 130</v>
      </c>
      <c r="N32" s="47"/>
      <c r="O32" s="100">
        <v>20</v>
      </c>
      <c r="P32" s="47" t="s">
        <v>55</v>
      </c>
      <c r="Q32" s="98" t="s">
        <v>1234</v>
      </c>
      <c r="R3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3" spans="1:18" ht="15.75" customHeight="1">
      <c r="A33" s="44" t="s">
        <v>146</v>
      </c>
      <c r="B33" s="47" t="s">
        <v>147</v>
      </c>
      <c r="C33" s="46" t="s">
        <v>148</v>
      </c>
      <c r="D33" s="47" t="s">
        <v>52</v>
      </c>
      <c r="E33" s="99">
        <v>500</v>
      </c>
      <c r="F33" s="49">
        <v>46191</v>
      </c>
      <c r="G33" s="49">
        <v>46282</v>
      </c>
      <c r="H33" s="50" t="s">
        <v>53</v>
      </c>
      <c r="I33" s="100">
        <v>378</v>
      </c>
      <c r="J33" s="52">
        <v>17.399999999999999</v>
      </c>
      <c r="K33" s="103" t="s">
        <v>1262</v>
      </c>
      <c r="L33" s="50" t="s">
        <v>91</v>
      </c>
      <c r="M33" s="54" t="str">
        <f>VLOOKUP(L33,Packaging!$B$3:$C$21,2,0)</f>
        <v>400 X 240 X 130</v>
      </c>
      <c r="N33" s="47"/>
      <c r="O33" s="100">
        <v>50</v>
      </c>
      <c r="P33" s="47" t="s">
        <v>55</v>
      </c>
      <c r="Q33" s="98" t="s">
        <v>1234</v>
      </c>
      <c r="R3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4" spans="1:18" ht="15.75" customHeight="1">
      <c r="A34" s="44" t="s">
        <v>149</v>
      </c>
      <c r="B34" s="47" t="s">
        <v>150</v>
      </c>
      <c r="C34" s="46" t="s">
        <v>151</v>
      </c>
      <c r="D34" s="47" t="s">
        <v>52</v>
      </c>
      <c r="E34" s="99">
        <v>12</v>
      </c>
      <c r="F34" s="49">
        <v>46191</v>
      </c>
      <c r="G34" s="49">
        <v>46282</v>
      </c>
      <c r="H34" s="50" t="s">
        <v>53</v>
      </c>
      <c r="I34" s="100">
        <v>948</v>
      </c>
      <c r="J34" s="52">
        <v>1071.8</v>
      </c>
      <c r="K34" s="103" t="s">
        <v>1263</v>
      </c>
      <c r="L34" s="50" t="s">
        <v>68</v>
      </c>
      <c r="M34" s="54" t="str">
        <f>VLOOKUP(L34,Packaging!$B$3:$C$21,2,0)</f>
        <v>1410 X 165 X 175</v>
      </c>
      <c r="N34" s="47"/>
      <c r="O34" s="100">
        <v>1</v>
      </c>
      <c r="P34" s="47" t="s">
        <v>55</v>
      </c>
      <c r="Q34" s="98" t="s">
        <v>1234</v>
      </c>
      <c r="R3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5" spans="1:18" ht="15.75" customHeight="1">
      <c r="A35" s="44" t="s">
        <v>152</v>
      </c>
      <c r="B35" s="47" t="s">
        <v>153</v>
      </c>
      <c r="C35" s="46" t="s">
        <v>154</v>
      </c>
      <c r="D35" s="47" t="s">
        <v>52</v>
      </c>
      <c r="E35" s="99">
        <v>60</v>
      </c>
      <c r="F35" s="49">
        <v>46191</v>
      </c>
      <c r="G35" s="49">
        <v>46282</v>
      </c>
      <c r="H35" s="50" t="s">
        <v>53</v>
      </c>
      <c r="I35" s="100">
        <v>378</v>
      </c>
      <c r="J35" s="52">
        <v>57.6</v>
      </c>
      <c r="K35" s="103" t="s">
        <v>1264</v>
      </c>
      <c r="L35" s="50" t="s">
        <v>91</v>
      </c>
      <c r="M35" s="54" t="str">
        <f>VLOOKUP(L35,Packaging!$B$3:$C$21,2,0)</f>
        <v>400 X 240 X 130</v>
      </c>
      <c r="N35" s="47"/>
      <c r="O35" s="100">
        <v>2</v>
      </c>
      <c r="P35" s="47" t="s">
        <v>55</v>
      </c>
      <c r="Q35" s="98" t="s">
        <v>1234</v>
      </c>
      <c r="R3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6" spans="1:18" ht="15.75" customHeight="1">
      <c r="A36" s="44" t="s">
        <v>155</v>
      </c>
      <c r="B36" s="47" t="s">
        <v>156</v>
      </c>
      <c r="C36" s="46" t="s">
        <v>157</v>
      </c>
      <c r="D36" s="47" t="s">
        <v>52</v>
      </c>
      <c r="E36" s="99">
        <v>100</v>
      </c>
      <c r="F36" s="49">
        <v>46191</v>
      </c>
      <c r="G36" s="49">
        <v>46282</v>
      </c>
      <c r="H36" s="50" t="s">
        <v>53</v>
      </c>
      <c r="I36" s="100">
        <v>280</v>
      </c>
      <c r="J36" s="52">
        <v>60.4</v>
      </c>
      <c r="K36" s="103" t="s">
        <v>1265</v>
      </c>
      <c r="L36" s="50" t="s">
        <v>54</v>
      </c>
      <c r="M36" s="54" t="str">
        <f>VLOOKUP(L36,Packaging!$B$3:$C$21,2,0)</f>
        <v>290 X 200 X 140</v>
      </c>
      <c r="N36" s="47"/>
      <c r="O36" s="100">
        <v>10</v>
      </c>
      <c r="P36" s="47" t="s">
        <v>55</v>
      </c>
      <c r="Q36" s="98" t="s">
        <v>1234</v>
      </c>
      <c r="R3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7" spans="1:18" ht="15.75" customHeight="1">
      <c r="A37" s="44" t="s">
        <v>158</v>
      </c>
      <c r="B37" s="47" t="s">
        <v>159</v>
      </c>
      <c r="C37" s="46" t="s">
        <v>160</v>
      </c>
      <c r="D37" s="47" t="s">
        <v>52</v>
      </c>
      <c r="E37" s="99">
        <v>32</v>
      </c>
      <c r="F37" s="49">
        <v>46191</v>
      </c>
      <c r="G37" s="49">
        <v>46282</v>
      </c>
      <c r="H37" s="50" t="s">
        <v>53</v>
      </c>
      <c r="I37" s="100">
        <v>278</v>
      </c>
      <c r="J37" s="52">
        <v>75.400000000000006</v>
      </c>
      <c r="K37" s="103" t="s">
        <v>1266</v>
      </c>
      <c r="L37" s="50" t="s">
        <v>161</v>
      </c>
      <c r="M37" s="54" t="str">
        <f>VLOOKUP(L37,Packaging!$B$3:$C$21,2,0)</f>
        <v>360 X 270 X 128</v>
      </c>
      <c r="N37" s="47"/>
      <c r="O37" s="100">
        <v>4</v>
      </c>
      <c r="P37" s="47" t="s">
        <v>55</v>
      </c>
      <c r="Q37" s="98" t="s">
        <v>1234</v>
      </c>
      <c r="R3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8" spans="1:18" ht="15.75" customHeight="1">
      <c r="A38" s="44" t="s">
        <v>162</v>
      </c>
      <c r="B38" s="45" t="s">
        <v>163</v>
      </c>
      <c r="C38" s="46" t="s">
        <v>164</v>
      </c>
      <c r="D38" s="47" t="s">
        <v>52</v>
      </c>
      <c r="E38" s="99">
        <v>120</v>
      </c>
      <c r="F38" s="49">
        <v>46191</v>
      </c>
      <c r="G38" s="49">
        <v>46282</v>
      </c>
      <c r="H38" s="50" t="s">
        <v>53</v>
      </c>
      <c r="I38" s="100">
        <v>280</v>
      </c>
      <c r="J38" s="52">
        <v>66.2</v>
      </c>
      <c r="K38" s="103" t="s">
        <v>1267</v>
      </c>
      <c r="L38" s="50" t="s">
        <v>54</v>
      </c>
      <c r="M38" s="54" t="str">
        <f>VLOOKUP(L38,Packaging!$B$3:$C$21,2,0)</f>
        <v>290 X 200 X 140</v>
      </c>
      <c r="N38" s="47"/>
      <c r="O38" s="100">
        <v>24</v>
      </c>
      <c r="P38" s="47" t="s">
        <v>55</v>
      </c>
      <c r="Q38" s="98" t="s">
        <v>1234</v>
      </c>
      <c r="R3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9" spans="1:18" ht="15.75" customHeight="1">
      <c r="A39" s="44" t="s">
        <v>165</v>
      </c>
      <c r="B39" s="45" t="s">
        <v>166</v>
      </c>
      <c r="C39" s="46" t="s">
        <v>167</v>
      </c>
      <c r="D39" s="47" t="s">
        <v>52</v>
      </c>
      <c r="E39" s="99">
        <v>1000</v>
      </c>
      <c r="F39" s="49">
        <v>46191</v>
      </c>
      <c r="G39" s="49">
        <v>46282</v>
      </c>
      <c r="H39" s="50" t="s">
        <v>53</v>
      </c>
      <c r="I39" s="100">
        <v>280</v>
      </c>
      <c r="J39" s="52">
        <v>19</v>
      </c>
      <c r="K39" s="103" t="s">
        <v>1268</v>
      </c>
      <c r="L39" s="50" t="s">
        <v>54</v>
      </c>
      <c r="M39" s="54" t="str">
        <f>VLOOKUP(L39,Packaging!$B$3:$C$21,2,0)</f>
        <v>290 X 200 X 140</v>
      </c>
      <c r="N39" s="47"/>
      <c r="O39" s="100">
        <v>100</v>
      </c>
      <c r="P39" s="47" t="s">
        <v>55</v>
      </c>
      <c r="Q39" s="98" t="s">
        <v>1234</v>
      </c>
      <c r="R3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0" spans="1:18" ht="15.75" customHeight="1">
      <c r="A40" s="44" t="s">
        <v>168</v>
      </c>
      <c r="B40" s="47" t="s">
        <v>169</v>
      </c>
      <c r="C40" s="46" t="s">
        <v>170</v>
      </c>
      <c r="D40" s="47" t="s">
        <v>52</v>
      </c>
      <c r="E40" s="99">
        <v>500</v>
      </c>
      <c r="F40" s="49">
        <v>46191</v>
      </c>
      <c r="G40" s="49">
        <v>46282</v>
      </c>
      <c r="H40" s="50" t="s">
        <v>53</v>
      </c>
      <c r="I40" s="100">
        <v>280</v>
      </c>
      <c r="J40" s="52">
        <v>9.4</v>
      </c>
      <c r="K40" s="103" t="s">
        <v>1269</v>
      </c>
      <c r="L40" s="50" t="s">
        <v>54</v>
      </c>
      <c r="M40" s="54" t="str">
        <f>VLOOKUP(L40,Packaging!$B$3:$C$21,2,0)</f>
        <v>290 X 200 X 140</v>
      </c>
      <c r="N40" s="47"/>
      <c r="O40" s="100">
        <v>100</v>
      </c>
      <c r="P40" s="47" t="s">
        <v>55</v>
      </c>
      <c r="Q40" s="98" t="s">
        <v>1234</v>
      </c>
      <c r="R4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1" spans="1:18" ht="15.75" customHeight="1">
      <c r="A41" s="44" t="s">
        <v>171</v>
      </c>
      <c r="B41" s="45" t="s">
        <v>172</v>
      </c>
      <c r="C41" s="46" t="s">
        <v>173</v>
      </c>
      <c r="D41" s="47" t="s">
        <v>52</v>
      </c>
      <c r="E41" s="99">
        <v>500</v>
      </c>
      <c r="F41" s="49">
        <v>46191</v>
      </c>
      <c r="G41" s="49">
        <v>46282</v>
      </c>
      <c r="H41" s="50" t="s">
        <v>53</v>
      </c>
      <c r="I41" s="100">
        <v>280</v>
      </c>
      <c r="J41" s="52">
        <v>21.6</v>
      </c>
      <c r="K41" s="103" t="s">
        <v>1270</v>
      </c>
      <c r="L41" s="50" t="s">
        <v>54</v>
      </c>
      <c r="M41" s="54" t="str">
        <f>VLOOKUP(L41,Packaging!$B$3:$C$21,2,0)</f>
        <v>290 X 200 X 140</v>
      </c>
      <c r="N41" s="47"/>
      <c r="O41" s="100">
        <v>100</v>
      </c>
      <c r="P41" s="47" t="s">
        <v>55</v>
      </c>
      <c r="Q41" s="98" t="s">
        <v>1234</v>
      </c>
      <c r="R4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2" spans="1:18" ht="15.75" customHeight="1">
      <c r="A42" s="44" t="s">
        <v>174</v>
      </c>
      <c r="B42" s="47" t="s">
        <v>175</v>
      </c>
      <c r="C42" s="46" t="s">
        <v>176</v>
      </c>
      <c r="D42" s="47" t="s">
        <v>52</v>
      </c>
      <c r="E42" s="99">
        <v>100</v>
      </c>
      <c r="F42" s="49">
        <v>46191</v>
      </c>
      <c r="G42" s="49">
        <v>46282</v>
      </c>
      <c r="H42" s="50" t="s">
        <v>53</v>
      </c>
      <c r="I42" s="100">
        <v>280</v>
      </c>
      <c r="J42" s="52">
        <v>33.200000000000003</v>
      </c>
      <c r="K42" s="103" t="s">
        <v>1271</v>
      </c>
      <c r="L42" s="50" t="s">
        <v>54</v>
      </c>
      <c r="M42" s="54" t="str">
        <f>VLOOKUP(L42,Packaging!$B$3:$C$21,2,0)</f>
        <v>290 X 200 X 140</v>
      </c>
      <c r="N42" s="47"/>
      <c r="O42" s="100">
        <v>10</v>
      </c>
      <c r="P42" s="47" t="s">
        <v>55</v>
      </c>
      <c r="Q42" s="98" t="s">
        <v>1234</v>
      </c>
      <c r="R4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3" spans="1:18" ht="15.75" customHeight="1">
      <c r="A43" s="44" t="s">
        <v>177</v>
      </c>
      <c r="B43" s="47" t="s">
        <v>178</v>
      </c>
      <c r="C43" s="46" t="s">
        <v>179</v>
      </c>
      <c r="D43" s="47" t="s">
        <v>52</v>
      </c>
      <c r="E43" s="99">
        <v>32</v>
      </c>
      <c r="F43" s="49">
        <v>46191</v>
      </c>
      <c r="G43" s="49">
        <v>46282</v>
      </c>
      <c r="H43" s="50" t="s">
        <v>53</v>
      </c>
      <c r="I43" s="100">
        <v>378</v>
      </c>
      <c r="J43" s="52">
        <v>44.4</v>
      </c>
      <c r="K43" s="103" t="s">
        <v>1272</v>
      </c>
      <c r="L43" s="50" t="s">
        <v>91</v>
      </c>
      <c r="M43" s="54" t="str">
        <f>VLOOKUP(L43,Packaging!$B$3:$C$21,2,0)</f>
        <v>400 X 240 X 130</v>
      </c>
      <c r="N43" s="47"/>
      <c r="O43" s="100">
        <v>2</v>
      </c>
      <c r="P43" s="47" t="s">
        <v>55</v>
      </c>
      <c r="Q43" s="98" t="s">
        <v>1234</v>
      </c>
      <c r="R4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4" spans="1:18" ht="15.75" customHeight="1">
      <c r="A44" s="44" t="s">
        <v>180</v>
      </c>
      <c r="B44" s="47" t="s">
        <v>181</v>
      </c>
      <c r="C44" s="46" t="s">
        <v>182</v>
      </c>
      <c r="D44" s="47" t="s">
        <v>52</v>
      </c>
      <c r="E44" s="99">
        <v>250</v>
      </c>
      <c r="F44" s="49">
        <v>46191</v>
      </c>
      <c r="G44" s="49">
        <v>46282</v>
      </c>
      <c r="H44" s="50" t="s">
        <v>53</v>
      </c>
      <c r="I44" s="100">
        <v>280</v>
      </c>
      <c r="J44" s="52">
        <v>43.2</v>
      </c>
      <c r="K44" s="103" t="s">
        <v>1273</v>
      </c>
      <c r="L44" s="50" t="s">
        <v>54</v>
      </c>
      <c r="M44" s="54" t="str">
        <f>VLOOKUP(L44,Packaging!$B$3:$C$21,2,0)</f>
        <v>290 X 200 X 140</v>
      </c>
      <c r="N44" s="47"/>
      <c r="O44" s="100">
        <v>15</v>
      </c>
      <c r="P44" s="47" t="s">
        <v>55</v>
      </c>
      <c r="Q44" s="98" t="s">
        <v>1234</v>
      </c>
      <c r="R4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5" spans="1:18" ht="15.75" customHeight="1">
      <c r="A45" s="44" t="s">
        <v>183</v>
      </c>
      <c r="B45" s="47" t="s">
        <v>184</v>
      </c>
      <c r="C45" s="46" t="s">
        <v>185</v>
      </c>
      <c r="D45" s="47" t="s">
        <v>52</v>
      </c>
      <c r="E45" s="99">
        <v>180</v>
      </c>
      <c r="F45" s="49">
        <v>46191</v>
      </c>
      <c r="G45" s="49">
        <v>46282</v>
      </c>
      <c r="H45" s="50" t="s">
        <v>53</v>
      </c>
      <c r="I45" s="100">
        <v>280</v>
      </c>
      <c r="J45" s="52">
        <v>38</v>
      </c>
      <c r="K45" s="103" t="s">
        <v>1274</v>
      </c>
      <c r="L45" s="50" t="s">
        <v>54</v>
      </c>
      <c r="M45" s="54" t="str">
        <f>VLOOKUP(L45,Packaging!$B$3:$C$21,2,0)</f>
        <v>290 X 200 X 140</v>
      </c>
      <c r="N45" s="47"/>
      <c r="O45" s="100">
        <v>18</v>
      </c>
      <c r="P45" s="47" t="s">
        <v>55</v>
      </c>
      <c r="Q45" s="98" t="s">
        <v>1234</v>
      </c>
      <c r="R4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6" spans="1:18" ht="15.75" customHeight="1">
      <c r="A46" s="44" t="s">
        <v>186</v>
      </c>
      <c r="B46" s="45" t="s">
        <v>187</v>
      </c>
      <c r="C46" s="46" t="s">
        <v>188</v>
      </c>
      <c r="D46" s="47" t="s">
        <v>52</v>
      </c>
      <c r="E46" s="99">
        <v>20</v>
      </c>
      <c r="F46" s="49">
        <v>46191</v>
      </c>
      <c r="G46" s="49">
        <v>46282</v>
      </c>
      <c r="H46" s="50" t="s">
        <v>53</v>
      </c>
      <c r="I46" s="100">
        <v>378</v>
      </c>
      <c r="J46" s="52">
        <v>315.39999999999998</v>
      </c>
      <c r="K46" s="103" t="s">
        <v>1275</v>
      </c>
      <c r="L46" s="50" t="s">
        <v>91</v>
      </c>
      <c r="M46" s="54" t="str">
        <f>VLOOKUP(L46,Packaging!$B$3:$C$21,2,0)</f>
        <v>400 X 240 X 130</v>
      </c>
      <c r="N46" s="47"/>
      <c r="O46" s="100">
        <v>2</v>
      </c>
      <c r="P46" s="47" t="s">
        <v>55</v>
      </c>
      <c r="Q46" s="98" t="s">
        <v>1234</v>
      </c>
      <c r="R4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7" spans="1:18" ht="15.75" customHeight="1">
      <c r="A47" s="44" t="s">
        <v>189</v>
      </c>
      <c r="B47" s="45" t="s">
        <v>190</v>
      </c>
      <c r="C47" s="46" t="s">
        <v>191</v>
      </c>
      <c r="D47" s="47" t="s">
        <v>52</v>
      </c>
      <c r="E47" s="99">
        <v>20</v>
      </c>
      <c r="F47" s="49">
        <v>46191</v>
      </c>
      <c r="G47" s="49">
        <v>46282</v>
      </c>
      <c r="H47" s="50" t="s">
        <v>53</v>
      </c>
      <c r="I47" s="100">
        <v>378</v>
      </c>
      <c r="J47" s="52">
        <v>315.8</v>
      </c>
      <c r="K47" s="103" t="s">
        <v>1276</v>
      </c>
      <c r="L47" s="50" t="s">
        <v>91</v>
      </c>
      <c r="M47" s="54" t="str">
        <f>VLOOKUP(L47,Packaging!$B$3:$C$21,2,0)</f>
        <v>400 X 240 X 130</v>
      </c>
      <c r="N47" s="47"/>
      <c r="O47" s="100">
        <v>2</v>
      </c>
      <c r="P47" s="47" t="s">
        <v>55</v>
      </c>
      <c r="Q47" s="98" t="s">
        <v>1234</v>
      </c>
      <c r="R4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8" spans="1:18" ht="15.75" customHeight="1">
      <c r="A48" s="44" t="s">
        <v>192</v>
      </c>
      <c r="B48" s="47" t="s">
        <v>193</v>
      </c>
      <c r="C48" s="46" t="s">
        <v>194</v>
      </c>
      <c r="D48" s="47" t="s">
        <v>52</v>
      </c>
      <c r="E48" s="99">
        <v>50</v>
      </c>
      <c r="F48" s="49">
        <v>46191</v>
      </c>
      <c r="G48" s="49">
        <v>46282</v>
      </c>
      <c r="H48" s="50" t="s">
        <v>53</v>
      </c>
      <c r="I48" s="100">
        <v>280</v>
      </c>
      <c r="J48" s="52">
        <v>128.6</v>
      </c>
      <c r="K48" s="103" t="s">
        <v>1277</v>
      </c>
      <c r="L48" s="50" t="s">
        <v>54</v>
      </c>
      <c r="M48" s="54" t="str">
        <f>VLOOKUP(L48,Packaging!$B$3:$C$21,2,0)</f>
        <v>290 X 200 X 140</v>
      </c>
      <c r="N48" s="47"/>
      <c r="O48" s="100">
        <v>10</v>
      </c>
      <c r="P48" s="47" t="s">
        <v>55</v>
      </c>
      <c r="Q48" s="98" t="s">
        <v>1234</v>
      </c>
      <c r="R4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49" spans="1:18" ht="15.75" customHeight="1">
      <c r="A49" s="44" t="s">
        <v>195</v>
      </c>
      <c r="B49" s="45" t="s">
        <v>196</v>
      </c>
      <c r="C49" s="46" t="s">
        <v>197</v>
      </c>
      <c r="D49" s="47" t="s">
        <v>52</v>
      </c>
      <c r="E49" s="99">
        <v>200</v>
      </c>
      <c r="F49" s="49">
        <v>46191</v>
      </c>
      <c r="G49" s="49">
        <v>46282</v>
      </c>
      <c r="H49" s="50" t="s">
        <v>53</v>
      </c>
      <c r="I49" s="100">
        <v>280</v>
      </c>
      <c r="J49" s="52">
        <v>61.8</v>
      </c>
      <c r="K49" s="103" t="s">
        <v>1278</v>
      </c>
      <c r="L49" s="50" t="s">
        <v>54</v>
      </c>
      <c r="M49" s="54" t="str">
        <f>VLOOKUP(L49,Packaging!$B$3:$C$21,2,0)</f>
        <v>290 X 200 X 140</v>
      </c>
      <c r="N49" s="47"/>
      <c r="O49" s="100">
        <v>1</v>
      </c>
      <c r="P49" s="47" t="s">
        <v>55</v>
      </c>
      <c r="Q49" s="98" t="s">
        <v>1234</v>
      </c>
      <c r="R4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0" spans="1:18" ht="15.75" customHeight="1">
      <c r="A50" s="44" t="s">
        <v>198</v>
      </c>
      <c r="B50" s="45" t="s">
        <v>199</v>
      </c>
      <c r="C50" s="46" t="s">
        <v>200</v>
      </c>
      <c r="D50" s="47" t="s">
        <v>52</v>
      </c>
      <c r="E50" s="99">
        <v>200</v>
      </c>
      <c r="F50" s="49">
        <v>46191</v>
      </c>
      <c r="G50" s="49">
        <v>46282</v>
      </c>
      <c r="H50" s="50" t="s">
        <v>53</v>
      </c>
      <c r="I50" s="100">
        <v>280</v>
      </c>
      <c r="J50" s="52">
        <v>60.2</v>
      </c>
      <c r="K50" s="103" t="s">
        <v>1279</v>
      </c>
      <c r="L50" s="50" t="s">
        <v>54</v>
      </c>
      <c r="M50" s="54" t="str">
        <f>VLOOKUP(L50,Packaging!$B$3:$C$21,2,0)</f>
        <v>290 X 200 X 140</v>
      </c>
      <c r="N50" s="47"/>
      <c r="O50" s="100">
        <v>1</v>
      </c>
      <c r="P50" s="47" t="s">
        <v>55</v>
      </c>
      <c r="Q50" s="98" t="s">
        <v>1234</v>
      </c>
      <c r="R5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1" spans="1:18" ht="15.75" customHeight="1">
      <c r="A51" s="44" t="s">
        <v>201</v>
      </c>
      <c r="B51" s="47" t="s">
        <v>202</v>
      </c>
      <c r="C51" s="46" t="s">
        <v>203</v>
      </c>
      <c r="D51" s="47" t="s">
        <v>52</v>
      </c>
      <c r="E51" s="99">
        <v>500</v>
      </c>
      <c r="F51" s="49">
        <v>46191</v>
      </c>
      <c r="G51" s="49">
        <v>46282</v>
      </c>
      <c r="H51" s="50" t="s">
        <v>53</v>
      </c>
      <c r="I51" s="100">
        <v>280</v>
      </c>
      <c r="J51" s="52">
        <v>31.6</v>
      </c>
      <c r="K51" s="103" t="s">
        <v>1280</v>
      </c>
      <c r="L51" s="50" t="s">
        <v>54</v>
      </c>
      <c r="M51" s="54" t="str">
        <f>VLOOKUP(L51,Packaging!$B$3:$C$21,2,0)</f>
        <v>290 X 200 X 140</v>
      </c>
      <c r="N51" s="47"/>
      <c r="O51" s="100">
        <v>100</v>
      </c>
      <c r="P51" s="47" t="s">
        <v>55</v>
      </c>
      <c r="Q51" s="98" t="s">
        <v>1234</v>
      </c>
      <c r="R5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2" spans="1:18" ht="15.75" customHeight="1">
      <c r="A52" s="44" t="s">
        <v>204</v>
      </c>
      <c r="B52" s="45" t="s">
        <v>205</v>
      </c>
      <c r="C52" s="46" t="s">
        <v>206</v>
      </c>
      <c r="D52" s="47" t="s">
        <v>52</v>
      </c>
      <c r="E52" s="99">
        <v>100</v>
      </c>
      <c r="F52" s="49">
        <v>46191</v>
      </c>
      <c r="G52" s="49">
        <v>46282</v>
      </c>
      <c r="H52" s="50" t="s">
        <v>53</v>
      </c>
      <c r="I52" s="100">
        <v>280</v>
      </c>
      <c r="J52" s="52">
        <v>33.799999999999997</v>
      </c>
      <c r="K52" s="103" t="s">
        <v>1281</v>
      </c>
      <c r="L52" s="50" t="s">
        <v>54</v>
      </c>
      <c r="M52" s="54" t="str">
        <f>VLOOKUP(L52,Packaging!$B$3:$C$21,2,0)</f>
        <v>290 X 200 X 140</v>
      </c>
      <c r="N52" s="47"/>
      <c r="O52" s="100">
        <v>10</v>
      </c>
      <c r="P52" s="47" t="s">
        <v>55</v>
      </c>
      <c r="Q52" s="98" t="s">
        <v>1234</v>
      </c>
      <c r="R5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3" spans="1:18" ht="15.75" customHeight="1">
      <c r="A53" s="44" t="s">
        <v>207</v>
      </c>
      <c r="B53" s="45" t="s">
        <v>208</v>
      </c>
      <c r="C53" s="46" t="s">
        <v>209</v>
      </c>
      <c r="D53" s="47" t="s">
        <v>52</v>
      </c>
      <c r="E53" s="99">
        <v>200</v>
      </c>
      <c r="F53" s="49">
        <v>46191</v>
      </c>
      <c r="G53" s="49">
        <v>46282</v>
      </c>
      <c r="H53" s="50" t="s">
        <v>53</v>
      </c>
      <c r="I53" s="100">
        <v>280</v>
      </c>
      <c r="J53" s="52">
        <v>81.8</v>
      </c>
      <c r="K53" s="103" t="s">
        <v>1282</v>
      </c>
      <c r="L53" s="50" t="s">
        <v>54</v>
      </c>
      <c r="M53" s="54" t="str">
        <f>VLOOKUP(L53,Packaging!$B$3:$C$21,2,0)</f>
        <v>290 X 200 X 140</v>
      </c>
      <c r="N53" s="47"/>
      <c r="O53" s="100">
        <v>10</v>
      </c>
      <c r="P53" s="47" t="s">
        <v>55</v>
      </c>
      <c r="Q53" s="98" t="s">
        <v>1234</v>
      </c>
      <c r="R5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4" spans="1:18" ht="15.75" customHeight="1">
      <c r="A54" s="44" t="s">
        <v>210</v>
      </c>
      <c r="B54" s="47" t="s">
        <v>211</v>
      </c>
      <c r="C54" s="46" t="s">
        <v>212</v>
      </c>
      <c r="D54" s="47" t="s">
        <v>52</v>
      </c>
      <c r="E54" s="99">
        <v>180</v>
      </c>
      <c r="F54" s="49">
        <v>46191</v>
      </c>
      <c r="G54" s="49">
        <v>46282</v>
      </c>
      <c r="H54" s="50" t="s">
        <v>53</v>
      </c>
      <c r="I54" s="100">
        <v>280</v>
      </c>
      <c r="J54" s="52">
        <v>17.8</v>
      </c>
      <c r="K54" s="103" t="s">
        <v>1283</v>
      </c>
      <c r="L54" s="50" t="s">
        <v>54</v>
      </c>
      <c r="M54" s="54" t="str">
        <f>VLOOKUP(L54,Packaging!$B$3:$C$21,2,0)</f>
        <v>290 X 200 X 140</v>
      </c>
      <c r="N54" s="47"/>
      <c r="O54" s="100">
        <v>10</v>
      </c>
      <c r="P54" s="47" t="s">
        <v>55</v>
      </c>
      <c r="Q54" s="98" t="s">
        <v>1234</v>
      </c>
      <c r="R5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5" spans="1:18" ht="15.75" customHeight="1">
      <c r="A55" s="44" t="s">
        <v>213</v>
      </c>
      <c r="B55" s="47" t="s">
        <v>214</v>
      </c>
      <c r="C55" s="46" t="s">
        <v>215</v>
      </c>
      <c r="D55" s="47" t="s">
        <v>52</v>
      </c>
      <c r="E55" s="99">
        <v>20</v>
      </c>
      <c r="F55" s="49">
        <v>46191</v>
      </c>
      <c r="G55" s="49">
        <v>46282</v>
      </c>
      <c r="H55" s="50" t="s">
        <v>53</v>
      </c>
      <c r="I55" s="100">
        <v>278</v>
      </c>
      <c r="J55" s="52">
        <v>112.2</v>
      </c>
      <c r="K55" s="103" t="s">
        <v>1284</v>
      </c>
      <c r="L55" s="50" t="s">
        <v>161</v>
      </c>
      <c r="M55" s="54" t="str">
        <f>VLOOKUP(L55,Packaging!$B$3:$C$21,2,0)</f>
        <v>360 X 270 X 128</v>
      </c>
      <c r="N55" s="47"/>
      <c r="O55" s="100">
        <v>2</v>
      </c>
      <c r="P55" s="47" t="s">
        <v>55</v>
      </c>
      <c r="Q55" s="98" t="s">
        <v>1234</v>
      </c>
      <c r="R5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6" spans="1:18" ht="15.75" customHeight="1">
      <c r="A56" s="44" t="s">
        <v>216</v>
      </c>
      <c r="B56" s="45" t="s">
        <v>217</v>
      </c>
      <c r="C56" s="46" t="s">
        <v>218</v>
      </c>
      <c r="D56" s="47" t="s">
        <v>52</v>
      </c>
      <c r="E56" s="99">
        <v>18</v>
      </c>
      <c r="F56" s="49">
        <v>46191</v>
      </c>
      <c r="G56" s="49">
        <v>46282</v>
      </c>
      <c r="H56" s="50" t="s">
        <v>53</v>
      </c>
      <c r="I56" s="100">
        <v>556</v>
      </c>
      <c r="J56" s="52">
        <v>781</v>
      </c>
      <c r="K56" s="103" t="s">
        <v>1285</v>
      </c>
      <c r="L56" s="50" t="s">
        <v>139</v>
      </c>
      <c r="M56" s="54" t="str">
        <f>VLOOKUP(L56,Packaging!$B$3:$C$21,2,0)</f>
        <v>810 X 160 X180</v>
      </c>
      <c r="N56" s="47"/>
      <c r="O56" s="100">
        <v>1</v>
      </c>
      <c r="P56" s="47" t="s">
        <v>55</v>
      </c>
      <c r="Q56" s="98" t="s">
        <v>1234</v>
      </c>
      <c r="R5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7" spans="1:18" ht="15.75" customHeight="1">
      <c r="A57" s="44" t="s">
        <v>219</v>
      </c>
      <c r="B57" s="45" t="s">
        <v>220</v>
      </c>
      <c r="C57" s="46" t="s">
        <v>221</v>
      </c>
      <c r="D57" s="47" t="s">
        <v>52</v>
      </c>
      <c r="E57" s="99">
        <v>20</v>
      </c>
      <c r="F57" s="49">
        <v>46191</v>
      </c>
      <c r="G57" s="49">
        <v>46282</v>
      </c>
      <c r="H57" s="50" t="s">
        <v>53</v>
      </c>
      <c r="I57" s="100">
        <v>280</v>
      </c>
      <c r="J57" s="52">
        <v>419.2</v>
      </c>
      <c r="K57" s="103" t="s">
        <v>1286</v>
      </c>
      <c r="L57" s="50" t="s">
        <v>54</v>
      </c>
      <c r="M57" s="54" t="str">
        <f>VLOOKUP(L57,Packaging!$B$3:$C$21,2,0)</f>
        <v>290 X 200 X 140</v>
      </c>
      <c r="N57" s="47"/>
      <c r="O57" s="100">
        <v>5</v>
      </c>
      <c r="P57" s="47" t="s">
        <v>55</v>
      </c>
      <c r="Q57" s="98" t="s">
        <v>1234</v>
      </c>
      <c r="R5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8" spans="1:18" ht="15.75" customHeight="1">
      <c r="A58" s="44" t="s">
        <v>222</v>
      </c>
      <c r="B58" s="47" t="s">
        <v>223</v>
      </c>
      <c r="C58" s="46" t="s">
        <v>224</v>
      </c>
      <c r="D58" s="47" t="s">
        <v>52</v>
      </c>
      <c r="E58" s="99">
        <v>20</v>
      </c>
      <c r="F58" s="49">
        <v>46191</v>
      </c>
      <c r="G58" s="49">
        <v>46282</v>
      </c>
      <c r="H58" s="50" t="s">
        <v>53</v>
      </c>
      <c r="I58" s="104"/>
      <c r="J58" s="52">
        <v>4152.3999999999996</v>
      </c>
      <c r="K58" s="103" t="s">
        <v>1287</v>
      </c>
      <c r="L58" s="50" t="s">
        <v>79</v>
      </c>
      <c r="M58" s="54" t="str">
        <f>VLOOKUP(L58,Packaging!$B$3:$C$21,2,0)</f>
        <v>1000 X 880 X 1230</v>
      </c>
      <c r="N58" s="47"/>
      <c r="O58" s="100">
        <v>1</v>
      </c>
      <c r="P58" s="47" t="s">
        <v>55</v>
      </c>
      <c r="Q58" s="98" t="s">
        <v>1234</v>
      </c>
      <c r="R5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59" spans="1:18" ht="15.75" customHeight="1">
      <c r="A59" s="59" t="s">
        <v>225</v>
      </c>
      <c r="B59" s="45" t="s">
        <v>226</v>
      </c>
      <c r="C59" s="46" t="s">
        <v>227</v>
      </c>
      <c r="D59" s="47" t="s">
        <v>52</v>
      </c>
      <c r="E59" s="99">
        <v>32</v>
      </c>
      <c r="F59" s="49">
        <v>46191</v>
      </c>
      <c r="G59" s="49">
        <v>46282</v>
      </c>
      <c r="H59" s="50" t="s">
        <v>53</v>
      </c>
      <c r="I59" s="100">
        <v>280</v>
      </c>
      <c r="J59" s="52">
        <v>110</v>
      </c>
      <c r="K59" s="103" t="s">
        <v>1288</v>
      </c>
      <c r="L59" s="50" t="s">
        <v>54</v>
      </c>
      <c r="M59" s="54" t="str">
        <f>VLOOKUP(L59,Packaging!$B$3:$C$21,2,0)</f>
        <v>290 X 200 X 140</v>
      </c>
      <c r="N59" s="47"/>
      <c r="O59" s="100">
        <v>2</v>
      </c>
      <c r="P59" s="47" t="s">
        <v>55</v>
      </c>
      <c r="Q59" s="98" t="s">
        <v>1234</v>
      </c>
      <c r="R5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0" spans="1:18" ht="15.75" customHeight="1">
      <c r="A60" s="44" t="s">
        <v>228</v>
      </c>
      <c r="B60" s="45" t="s">
        <v>229</v>
      </c>
      <c r="C60" s="46" t="s">
        <v>230</v>
      </c>
      <c r="D60" s="47" t="s">
        <v>52</v>
      </c>
      <c r="E60" s="99">
        <v>9</v>
      </c>
      <c r="F60" s="49">
        <v>46191</v>
      </c>
      <c r="G60" s="49">
        <v>46282</v>
      </c>
      <c r="H60" s="50" t="s">
        <v>53</v>
      </c>
      <c r="I60" s="100">
        <v>278</v>
      </c>
      <c r="J60" s="52">
        <v>332.2</v>
      </c>
      <c r="K60" s="103" t="s">
        <v>1289</v>
      </c>
      <c r="L60" s="50" t="s">
        <v>161</v>
      </c>
      <c r="M60" s="54" t="str">
        <f>VLOOKUP(L60,Packaging!$B$3:$C$21,2,0)</f>
        <v>360 X 270 X 128</v>
      </c>
      <c r="N60" s="47"/>
      <c r="O60" s="100">
        <v>1</v>
      </c>
      <c r="P60" s="47" t="s">
        <v>55</v>
      </c>
      <c r="Q60" s="98" t="s">
        <v>1234</v>
      </c>
      <c r="R6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1" spans="1:18" ht="15.75" customHeight="1">
      <c r="A61" s="44" t="s">
        <v>231</v>
      </c>
      <c r="B61" s="47" t="s">
        <v>232</v>
      </c>
      <c r="C61" s="46" t="s">
        <v>233</v>
      </c>
      <c r="D61" s="47" t="s">
        <v>52</v>
      </c>
      <c r="E61" s="99">
        <v>250</v>
      </c>
      <c r="F61" s="49">
        <v>46191</v>
      </c>
      <c r="G61" s="49">
        <v>46282</v>
      </c>
      <c r="H61" s="50" t="s">
        <v>53</v>
      </c>
      <c r="I61" s="100">
        <v>280</v>
      </c>
      <c r="J61" s="52">
        <v>87.4</v>
      </c>
      <c r="K61" s="103" t="s">
        <v>1290</v>
      </c>
      <c r="L61" s="50" t="s">
        <v>54</v>
      </c>
      <c r="M61" s="54" t="str">
        <f>VLOOKUP(L61,Packaging!$B$3:$C$21,2,0)</f>
        <v>290 X 200 X 140</v>
      </c>
      <c r="N61" s="47"/>
      <c r="O61" s="100">
        <v>50</v>
      </c>
      <c r="P61" s="47" t="s">
        <v>55</v>
      </c>
      <c r="Q61" s="98" t="s">
        <v>1234</v>
      </c>
      <c r="R6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2" spans="1:18" ht="15.75" customHeight="1">
      <c r="A62" s="44" t="s">
        <v>234</v>
      </c>
      <c r="B62" s="45" t="s">
        <v>235</v>
      </c>
      <c r="C62" s="46" t="s">
        <v>236</v>
      </c>
      <c r="D62" s="47" t="s">
        <v>52</v>
      </c>
      <c r="E62" s="99">
        <v>9</v>
      </c>
      <c r="F62" s="49">
        <v>46191</v>
      </c>
      <c r="G62" s="49">
        <v>46282</v>
      </c>
      <c r="H62" s="50" t="s">
        <v>53</v>
      </c>
      <c r="I62" s="100">
        <v>278</v>
      </c>
      <c r="J62" s="52">
        <v>320</v>
      </c>
      <c r="K62" s="103" t="s">
        <v>1291</v>
      </c>
      <c r="L62" s="50" t="s">
        <v>161</v>
      </c>
      <c r="M62" s="54" t="str">
        <f>VLOOKUP(L62,Packaging!$B$3:$C$21,2,0)</f>
        <v>360 X 270 X 128</v>
      </c>
      <c r="N62" s="60" t="s">
        <v>237</v>
      </c>
      <c r="O62" s="100">
        <v>1</v>
      </c>
      <c r="P62" s="47" t="s">
        <v>55</v>
      </c>
      <c r="Q62" s="98" t="s">
        <v>1234</v>
      </c>
      <c r="R6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3" spans="1:18" ht="15.75" customHeight="1">
      <c r="A63" s="44" t="s">
        <v>238</v>
      </c>
      <c r="B63" s="45" t="s">
        <v>239</v>
      </c>
      <c r="C63" s="46" t="s">
        <v>240</v>
      </c>
      <c r="D63" s="47" t="s">
        <v>52</v>
      </c>
      <c r="E63" s="99">
        <v>600</v>
      </c>
      <c r="F63" s="49">
        <v>46191</v>
      </c>
      <c r="G63" s="49">
        <v>46282</v>
      </c>
      <c r="H63" s="50" t="s">
        <v>53</v>
      </c>
      <c r="I63" s="100">
        <v>280</v>
      </c>
      <c r="J63" s="52">
        <v>8.4</v>
      </c>
      <c r="K63" s="103" t="s">
        <v>1292</v>
      </c>
      <c r="L63" s="50" t="s">
        <v>54</v>
      </c>
      <c r="M63" s="54" t="str">
        <f>VLOOKUP(L63,Packaging!$B$3:$C$21,2,0)</f>
        <v>290 X 200 X 140</v>
      </c>
      <c r="N63" s="47"/>
      <c r="O63" s="100">
        <v>150</v>
      </c>
      <c r="P63" s="47" t="s">
        <v>55</v>
      </c>
      <c r="Q63" s="98" t="s">
        <v>1234</v>
      </c>
      <c r="R6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4" spans="1:18" ht="15.75" customHeight="1">
      <c r="A64" s="44" t="s">
        <v>241</v>
      </c>
      <c r="B64" s="45" t="s">
        <v>242</v>
      </c>
      <c r="C64" s="46" t="s">
        <v>243</v>
      </c>
      <c r="D64" s="47" t="s">
        <v>52</v>
      </c>
      <c r="E64" s="99">
        <v>400</v>
      </c>
      <c r="F64" s="49">
        <v>46191</v>
      </c>
      <c r="G64" s="49">
        <v>46282</v>
      </c>
      <c r="H64" s="50" t="s">
        <v>53</v>
      </c>
      <c r="I64" s="100">
        <v>278</v>
      </c>
      <c r="J64" s="52">
        <v>12.4</v>
      </c>
      <c r="K64" s="103" t="s">
        <v>1293</v>
      </c>
      <c r="L64" s="50" t="s">
        <v>161</v>
      </c>
      <c r="M64" s="54" t="str">
        <f>VLOOKUP(L64,Packaging!$B$3:$C$21,2,0)</f>
        <v>360 X 270 X 128</v>
      </c>
      <c r="N64" s="47"/>
      <c r="O64" s="100">
        <v>50</v>
      </c>
      <c r="P64" s="47" t="s">
        <v>55</v>
      </c>
      <c r="Q64" s="98" t="s">
        <v>1234</v>
      </c>
      <c r="R6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5" spans="1:18" ht="15.75" customHeight="1">
      <c r="A65" s="44" t="s">
        <v>244</v>
      </c>
      <c r="B65" s="45" t="s">
        <v>245</v>
      </c>
      <c r="C65" s="46" t="s">
        <v>246</v>
      </c>
      <c r="D65" s="47" t="s">
        <v>52</v>
      </c>
      <c r="E65" s="99">
        <v>600</v>
      </c>
      <c r="F65" s="49">
        <v>46191</v>
      </c>
      <c r="G65" s="49">
        <v>46282</v>
      </c>
      <c r="H65" s="50" t="s">
        <v>53</v>
      </c>
      <c r="I65" s="100">
        <v>280</v>
      </c>
      <c r="J65" s="52">
        <v>7.8</v>
      </c>
      <c r="K65" s="103" t="s">
        <v>1294</v>
      </c>
      <c r="L65" s="50" t="s">
        <v>54</v>
      </c>
      <c r="M65" s="54" t="str">
        <f>VLOOKUP(L65,Packaging!$B$3:$C$21,2,0)</f>
        <v>290 X 200 X 140</v>
      </c>
      <c r="N65" s="47"/>
      <c r="O65" s="100">
        <v>150</v>
      </c>
      <c r="P65" s="47" t="s">
        <v>55</v>
      </c>
      <c r="Q65" s="98" t="s">
        <v>1234</v>
      </c>
      <c r="R6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6" spans="1:18" ht="15.75" customHeight="1">
      <c r="A66" s="44" t="s">
        <v>247</v>
      </c>
      <c r="B66" s="45" t="s">
        <v>248</v>
      </c>
      <c r="C66" s="46" t="s">
        <v>249</v>
      </c>
      <c r="D66" s="47" t="s">
        <v>52</v>
      </c>
      <c r="E66" s="99">
        <v>30</v>
      </c>
      <c r="F66" s="49">
        <v>46191</v>
      </c>
      <c r="G66" s="49">
        <v>46282</v>
      </c>
      <c r="H66" s="50" t="s">
        <v>53</v>
      </c>
      <c r="I66" s="100">
        <v>278</v>
      </c>
      <c r="J66" s="52">
        <v>124.4</v>
      </c>
      <c r="K66" s="103" t="s">
        <v>1295</v>
      </c>
      <c r="L66" s="50" t="s">
        <v>161</v>
      </c>
      <c r="M66" s="54" t="str">
        <f>VLOOKUP(L66,Packaging!$B$3:$C$21,2,0)</f>
        <v>360 X 270 X 128</v>
      </c>
      <c r="N66" s="47"/>
      <c r="O66" s="100">
        <v>1</v>
      </c>
      <c r="P66" s="47" t="s">
        <v>55</v>
      </c>
      <c r="Q66" s="98" t="s">
        <v>1234</v>
      </c>
      <c r="R6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7" spans="1:18" ht="15.75" customHeight="1">
      <c r="A67" s="44" t="s">
        <v>250</v>
      </c>
      <c r="B67" s="45" t="s">
        <v>251</v>
      </c>
      <c r="C67" s="46" t="s">
        <v>252</v>
      </c>
      <c r="D67" s="47" t="s">
        <v>52</v>
      </c>
      <c r="E67" s="99">
        <v>1000</v>
      </c>
      <c r="F67" s="49">
        <v>46191</v>
      </c>
      <c r="G67" s="49">
        <v>46282</v>
      </c>
      <c r="H67" s="50" t="s">
        <v>53</v>
      </c>
      <c r="I67" s="100">
        <v>280</v>
      </c>
      <c r="J67" s="52">
        <v>10</v>
      </c>
      <c r="K67" s="103" t="s">
        <v>1296</v>
      </c>
      <c r="L67" s="50" t="s">
        <v>54</v>
      </c>
      <c r="M67" s="54" t="str">
        <f>VLOOKUP(L67,Packaging!$B$3:$C$21,2,0)</f>
        <v>290 X 200 X 140</v>
      </c>
      <c r="N67" s="47"/>
      <c r="O67" s="100">
        <v>10</v>
      </c>
      <c r="P67" s="47" t="s">
        <v>55</v>
      </c>
      <c r="Q67" s="98" t="s">
        <v>1234</v>
      </c>
      <c r="R6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8" spans="1:18" ht="15.75" customHeight="1">
      <c r="A68" s="44" t="s">
        <v>253</v>
      </c>
      <c r="B68" s="45" t="s">
        <v>254</v>
      </c>
      <c r="C68" s="46" t="s">
        <v>255</v>
      </c>
      <c r="D68" s="47" t="s">
        <v>52</v>
      </c>
      <c r="E68" s="99">
        <v>30</v>
      </c>
      <c r="F68" s="49">
        <v>46191</v>
      </c>
      <c r="G68" s="49">
        <v>46282</v>
      </c>
      <c r="H68" s="50" t="s">
        <v>53</v>
      </c>
      <c r="I68" s="100">
        <v>430</v>
      </c>
      <c r="J68" s="52">
        <v>333.6</v>
      </c>
      <c r="K68" s="103" t="s">
        <v>1297</v>
      </c>
      <c r="L68" s="50" t="s">
        <v>83</v>
      </c>
      <c r="M68" s="54" t="str">
        <f>VLOOKUP(L68,Packaging!$B$3:$C$21,2,0)</f>
        <v>560 X 175 X 155</v>
      </c>
      <c r="N68" s="47"/>
      <c r="O68" s="100">
        <v>5</v>
      </c>
      <c r="P68" s="47" t="s">
        <v>55</v>
      </c>
      <c r="Q68" s="98" t="s">
        <v>1234</v>
      </c>
      <c r="R6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69" spans="1:18" ht="15.75" customHeight="1">
      <c r="A69" s="44" t="s">
        <v>256</v>
      </c>
      <c r="B69" s="45" t="s">
        <v>257</v>
      </c>
      <c r="C69" s="46" t="s">
        <v>258</v>
      </c>
      <c r="D69" s="47" t="s">
        <v>52</v>
      </c>
      <c r="E69" s="99">
        <v>30</v>
      </c>
      <c r="F69" s="49">
        <v>46191</v>
      </c>
      <c r="G69" s="49">
        <v>46282</v>
      </c>
      <c r="H69" s="50" t="s">
        <v>53</v>
      </c>
      <c r="I69" s="100">
        <v>430</v>
      </c>
      <c r="J69" s="52">
        <v>333.6</v>
      </c>
      <c r="K69" s="103" t="s">
        <v>1298</v>
      </c>
      <c r="L69" s="50" t="s">
        <v>83</v>
      </c>
      <c r="M69" s="54" t="str">
        <f>VLOOKUP(L69,Packaging!$B$3:$C$21,2,0)</f>
        <v>560 X 175 X 155</v>
      </c>
      <c r="N69" s="47"/>
      <c r="O69" s="100">
        <v>5</v>
      </c>
      <c r="P69" s="47" t="s">
        <v>55</v>
      </c>
      <c r="Q69" s="98" t="s">
        <v>1234</v>
      </c>
      <c r="R6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0" spans="1:18" ht="15.75" customHeight="1">
      <c r="A70" s="44" t="s">
        <v>259</v>
      </c>
      <c r="B70" s="47" t="s">
        <v>260</v>
      </c>
      <c r="C70" s="46" t="s">
        <v>261</v>
      </c>
      <c r="D70" s="47" t="s">
        <v>52</v>
      </c>
      <c r="E70" s="99">
        <v>100</v>
      </c>
      <c r="F70" s="49">
        <v>46191</v>
      </c>
      <c r="G70" s="49">
        <v>46282</v>
      </c>
      <c r="H70" s="50" t="s">
        <v>53</v>
      </c>
      <c r="I70" s="100">
        <v>278</v>
      </c>
      <c r="J70" s="52">
        <v>36</v>
      </c>
      <c r="K70" s="103" t="s">
        <v>1299</v>
      </c>
      <c r="L70" s="50" t="s">
        <v>161</v>
      </c>
      <c r="M70" s="54" t="str">
        <f>VLOOKUP(L70,Packaging!$B$3:$C$21,2,0)</f>
        <v>360 X 270 X 128</v>
      </c>
      <c r="N70" s="47"/>
      <c r="O70" s="100">
        <v>4</v>
      </c>
      <c r="P70" s="47" t="s">
        <v>55</v>
      </c>
      <c r="Q70" s="98" t="s">
        <v>1234</v>
      </c>
      <c r="R7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1" spans="1:18" ht="15.75" customHeight="1">
      <c r="A71" s="44" t="s">
        <v>262</v>
      </c>
      <c r="B71" s="47" t="s">
        <v>263</v>
      </c>
      <c r="C71" s="46" t="s">
        <v>264</v>
      </c>
      <c r="D71" s="47" t="s">
        <v>52</v>
      </c>
      <c r="E71" s="99">
        <v>20</v>
      </c>
      <c r="F71" s="49">
        <v>46191</v>
      </c>
      <c r="G71" s="49">
        <v>46282</v>
      </c>
      <c r="H71" s="50" t="s">
        <v>53</v>
      </c>
      <c r="I71" s="100">
        <v>580</v>
      </c>
      <c r="J71" s="52">
        <v>952.4</v>
      </c>
      <c r="K71" s="103" t="s">
        <v>1300</v>
      </c>
      <c r="L71" s="50" t="s">
        <v>101</v>
      </c>
      <c r="M71" s="54" t="str">
        <f>VLOOKUP(L71,Packaging!$B$3:$C$21,2,0)</f>
        <v>1380 X 150 X 80</v>
      </c>
      <c r="N71" s="47"/>
      <c r="O71" s="100">
        <v>20</v>
      </c>
      <c r="P71" s="47" t="s">
        <v>55</v>
      </c>
      <c r="Q71" s="98" t="s">
        <v>1234</v>
      </c>
      <c r="R7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2" spans="1:18" ht="15.75" customHeight="1">
      <c r="A72" s="44" t="s">
        <v>265</v>
      </c>
      <c r="B72" s="47" t="s">
        <v>266</v>
      </c>
      <c r="C72" s="46" t="s">
        <v>267</v>
      </c>
      <c r="D72" s="47" t="s">
        <v>52</v>
      </c>
      <c r="E72" s="99">
        <v>1000</v>
      </c>
      <c r="F72" s="49">
        <v>46191</v>
      </c>
      <c r="G72" s="49">
        <v>46282</v>
      </c>
      <c r="H72" s="50" t="s">
        <v>53</v>
      </c>
      <c r="I72" s="100">
        <v>280</v>
      </c>
      <c r="J72" s="52">
        <v>1.6</v>
      </c>
      <c r="K72" s="103" t="s">
        <v>1301</v>
      </c>
      <c r="L72" s="50" t="s">
        <v>54</v>
      </c>
      <c r="M72" s="54" t="str">
        <f>VLOOKUP(L72,Packaging!$B$3:$C$21,2,0)</f>
        <v>290 X 200 X 140</v>
      </c>
      <c r="N72" s="47"/>
      <c r="O72" s="100">
        <v>250</v>
      </c>
      <c r="P72" s="47" t="s">
        <v>55</v>
      </c>
      <c r="Q72" s="98" t="s">
        <v>1234</v>
      </c>
      <c r="R7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3" spans="1:18" ht="15.75" customHeight="1">
      <c r="A73" s="44" t="s">
        <v>268</v>
      </c>
      <c r="B73" s="47" t="s">
        <v>269</v>
      </c>
      <c r="C73" s="46" t="s">
        <v>270</v>
      </c>
      <c r="D73" s="47" t="s">
        <v>52</v>
      </c>
      <c r="E73" s="99">
        <v>500</v>
      </c>
      <c r="F73" s="49">
        <v>46191</v>
      </c>
      <c r="G73" s="49">
        <v>46282</v>
      </c>
      <c r="H73" s="50" t="s">
        <v>53</v>
      </c>
      <c r="I73" s="100">
        <v>280</v>
      </c>
      <c r="J73" s="52">
        <v>25</v>
      </c>
      <c r="K73" s="103" t="s">
        <v>1302</v>
      </c>
      <c r="L73" s="50" t="s">
        <v>54</v>
      </c>
      <c r="M73" s="54" t="str">
        <f>VLOOKUP(L73,Packaging!$B$3:$C$21,2,0)</f>
        <v>290 X 200 X 140</v>
      </c>
      <c r="N73" s="47"/>
      <c r="O73" s="100">
        <v>50</v>
      </c>
      <c r="P73" s="47" t="s">
        <v>55</v>
      </c>
      <c r="Q73" s="98" t="s">
        <v>1234</v>
      </c>
      <c r="R7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4" spans="1:18" ht="15.75" customHeight="1">
      <c r="A74" s="44" t="s">
        <v>271</v>
      </c>
      <c r="B74" s="47" t="s">
        <v>272</v>
      </c>
      <c r="C74" s="46" t="s">
        <v>273</v>
      </c>
      <c r="D74" s="47" t="s">
        <v>52</v>
      </c>
      <c r="E74" s="99">
        <v>170</v>
      </c>
      <c r="F74" s="49">
        <v>46191</v>
      </c>
      <c r="G74" s="49">
        <v>46282</v>
      </c>
      <c r="H74" s="50" t="s">
        <v>53</v>
      </c>
      <c r="I74" s="100">
        <v>244</v>
      </c>
      <c r="J74" s="52">
        <v>52.8</v>
      </c>
      <c r="K74" s="103" t="s">
        <v>1303</v>
      </c>
      <c r="L74" s="50" t="s">
        <v>274</v>
      </c>
      <c r="M74" s="54" t="str">
        <f>VLOOKUP(L74,Packaging!$B$3:$C$21,2,0)</f>
        <v>290 X 200 X 100</v>
      </c>
      <c r="N74" s="47"/>
      <c r="O74" s="100">
        <v>10</v>
      </c>
      <c r="P74" s="47" t="s">
        <v>55</v>
      </c>
      <c r="Q74" s="98" t="s">
        <v>1234</v>
      </c>
      <c r="R7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5" spans="1:18" ht="15.75" customHeight="1">
      <c r="A75" s="44" t="s">
        <v>275</v>
      </c>
      <c r="B75" s="45" t="s">
        <v>276</v>
      </c>
      <c r="C75" s="46" t="s">
        <v>277</v>
      </c>
      <c r="D75" s="47" t="s">
        <v>52</v>
      </c>
      <c r="E75" s="99">
        <v>250</v>
      </c>
      <c r="F75" s="49">
        <v>46191</v>
      </c>
      <c r="G75" s="49">
        <v>46282</v>
      </c>
      <c r="H75" s="50" t="s">
        <v>53</v>
      </c>
      <c r="I75" s="100">
        <v>280</v>
      </c>
      <c r="J75" s="52">
        <v>91.4</v>
      </c>
      <c r="K75" s="103" t="s">
        <v>1304</v>
      </c>
      <c r="L75" s="50" t="s">
        <v>54</v>
      </c>
      <c r="M75" s="54" t="str">
        <f>VLOOKUP(L75,Packaging!$B$3:$C$21,2,0)</f>
        <v>290 X 200 X 140</v>
      </c>
      <c r="N75" s="47"/>
      <c r="O75" s="100">
        <v>50</v>
      </c>
      <c r="P75" s="47" t="s">
        <v>55</v>
      </c>
      <c r="Q75" s="98" t="s">
        <v>1234</v>
      </c>
      <c r="R7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6" spans="1:18" ht="15.75" customHeight="1">
      <c r="A76" s="44" t="s">
        <v>278</v>
      </c>
      <c r="B76" s="47" t="s">
        <v>279</v>
      </c>
      <c r="C76" s="46" t="s">
        <v>280</v>
      </c>
      <c r="D76" s="47" t="s">
        <v>52</v>
      </c>
      <c r="E76" s="99">
        <v>200</v>
      </c>
      <c r="F76" s="49">
        <v>46191</v>
      </c>
      <c r="G76" s="49">
        <v>46282</v>
      </c>
      <c r="H76" s="50" t="s">
        <v>53</v>
      </c>
      <c r="I76" s="100">
        <v>280</v>
      </c>
      <c r="J76" s="52">
        <v>16</v>
      </c>
      <c r="K76" s="103" t="s">
        <v>1305</v>
      </c>
      <c r="L76" s="50" t="s">
        <v>54</v>
      </c>
      <c r="M76" s="54" t="str">
        <f>VLOOKUP(L76,Packaging!$B$3:$C$21,2,0)</f>
        <v>290 X 200 X 140</v>
      </c>
      <c r="N76" s="47"/>
      <c r="O76" s="100">
        <v>10</v>
      </c>
      <c r="P76" s="47" t="s">
        <v>55</v>
      </c>
      <c r="Q76" s="98" t="s">
        <v>1234</v>
      </c>
      <c r="R7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7" spans="1:18" ht="15.75" customHeight="1">
      <c r="A77" s="44" t="s">
        <v>281</v>
      </c>
      <c r="B77" s="45" t="s">
        <v>282</v>
      </c>
      <c r="C77" s="46" t="s">
        <v>283</v>
      </c>
      <c r="D77" s="47" t="s">
        <v>52</v>
      </c>
      <c r="E77" s="99">
        <v>30</v>
      </c>
      <c r="F77" s="49">
        <v>46191</v>
      </c>
      <c r="G77" s="49">
        <v>46282</v>
      </c>
      <c r="H77" s="50" t="s">
        <v>53</v>
      </c>
      <c r="I77" s="100">
        <v>378</v>
      </c>
      <c r="J77" s="52">
        <v>290</v>
      </c>
      <c r="K77" s="103" t="s">
        <v>1306</v>
      </c>
      <c r="L77" s="50" t="s">
        <v>91</v>
      </c>
      <c r="M77" s="54" t="str">
        <f>VLOOKUP(L77,Packaging!$B$3:$C$21,2,0)</f>
        <v>400 X 240 X 130</v>
      </c>
      <c r="N77" s="47"/>
      <c r="O77" s="100">
        <v>1</v>
      </c>
      <c r="P77" s="47" t="s">
        <v>55</v>
      </c>
      <c r="Q77" s="98" t="s">
        <v>1234</v>
      </c>
      <c r="R7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8" spans="1:18" ht="15.75" customHeight="1">
      <c r="A78" s="44" t="s">
        <v>284</v>
      </c>
      <c r="B78" s="47" t="s">
        <v>285</v>
      </c>
      <c r="C78" s="46" t="s">
        <v>286</v>
      </c>
      <c r="D78" s="47" t="s">
        <v>52</v>
      </c>
      <c r="E78" s="99">
        <v>36</v>
      </c>
      <c r="F78" s="49">
        <v>46191</v>
      </c>
      <c r="G78" s="49">
        <v>46282</v>
      </c>
      <c r="H78" s="50" t="s">
        <v>53</v>
      </c>
      <c r="I78" s="100">
        <v>766</v>
      </c>
      <c r="J78" s="52">
        <v>198.8</v>
      </c>
      <c r="K78" s="103" t="s">
        <v>1307</v>
      </c>
      <c r="L78" s="50" t="s">
        <v>72</v>
      </c>
      <c r="M78" s="54" t="str">
        <f>VLOOKUP(L78,Packaging!$B$3:$C$21,2,0)</f>
        <v>390 X 350 X 280</v>
      </c>
      <c r="N78" s="47"/>
      <c r="O78" s="100">
        <v>2</v>
      </c>
      <c r="P78" s="47" t="s">
        <v>55</v>
      </c>
      <c r="Q78" s="98" t="s">
        <v>1234</v>
      </c>
      <c r="R7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79" spans="1:18" ht="15.75" customHeight="1">
      <c r="A79" s="44" t="s">
        <v>287</v>
      </c>
      <c r="B79" s="47" t="s">
        <v>288</v>
      </c>
      <c r="C79" s="46" t="s">
        <v>289</v>
      </c>
      <c r="D79" s="47" t="s">
        <v>52</v>
      </c>
      <c r="E79" s="99">
        <v>36</v>
      </c>
      <c r="F79" s="49">
        <v>46191</v>
      </c>
      <c r="G79" s="49">
        <v>46282</v>
      </c>
      <c r="H79" s="50" t="s">
        <v>53</v>
      </c>
      <c r="I79" s="100">
        <v>766</v>
      </c>
      <c r="J79" s="52">
        <v>198.8</v>
      </c>
      <c r="K79" s="103" t="s">
        <v>1308</v>
      </c>
      <c r="L79" s="50" t="s">
        <v>72</v>
      </c>
      <c r="M79" s="54" t="str">
        <f>VLOOKUP(L79,Packaging!$B$3:$C$21,2,0)</f>
        <v>390 X 350 X 280</v>
      </c>
      <c r="N79" s="47" t="s">
        <v>290</v>
      </c>
      <c r="O79" s="100">
        <v>2</v>
      </c>
      <c r="P79" s="47" t="s">
        <v>55</v>
      </c>
      <c r="Q79" s="98" t="s">
        <v>1234</v>
      </c>
      <c r="R7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0" spans="1:18" ht="15.75" customHeight="1">
      <c r="A80" s="44" t="s">
        <v>291</v>
      </c>
      <c r="B80" s="47" t="s">
        <v>292</v>
      </c>
      <c r="C80" s="46" t="s">
        <v>293</v>
      </c>
      <c r="D80" s="47" t="s">
        <v>52</v>
      </c>
      <c r="E80" s="99">
        <v>54</v>
      </c>
      <c r="F80" s="49">
        <v>46191</v>
      </c>
      <c r="G80" s="49">
        <v>46282</v>
      </c>
      <c r="H80" s="50" t="s">
        <v>53</v>
      </c>
      <c r="I80" s="100">
        <v>766</v>
      </c>
      <c r="J80" s="52">
        <v>128</v>
      </c>
      <c r="K80" s="103" t="s">
        <v>1309</v>
      </c>
      <c r="L80" s="50" t="s">
        <v>72</v>
      </c>
      <c r="M80" s="54" t="str">
        <f>VLOOKUP(L80,Packaging!$B$3:$C$21,2,0)</f>
        <v>390 X 350 X 280</v>
      </c>
      <c r="N80" s="47"/>
      <c r="O80" s="100">
        <v>2</v>
      </c>
      <c r="P80" s="47" t="s">
        <v>55</v>
      </c>
      <c r="Q80" s="98" t="s">
        <v>1234</v>
      </c>
      <c r="R8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1" spans="1:18" ht="15.75" customHeight="1">
      <c r="A81" s="44" t="s">
        <v>294</v>
      </c>
      <c r="B81" s="47" t="s">
        <v>295</v>
      </c>
      <c r="C81" s="46" t="s">
        <v>296</v>
      </c>
      <c r="D81" s="47" t="s">
        <v>52</v>
      </c>
      <c r="E81" s="99">
        <v>54</v>
      </c>
      <c r="F81" s="49">
        <v>46191</v>
      </c>
      <c r="G81" s="49">
        <v>46282</v>
      </c>
      <c r="H81" s="50" t="s">
        <v>53</v>
      </c>
      <c r="I81" s="100">
        <v>766</v>
      </c>
      <c r="J81" s="52">
        <v>128</v>
      </c>
      <c r="K81" s="103" t="s">
        <v>1310</v>
      </c>
      <c r="L81" s="50" t="s">
        <v>72</v>
      </c>
      <c r="M81" s="54" t="str">
        <f>VLOOKUP(L81,Packaging!$B$3:$C$21,2,0)</f>
        <v>390 X 350 X 280</v>
      </c>
      <c r="N81" s="47"/>
      <c r="O81" s="100">
        <v>2</v>
      </c>
      <c r="P81" s="47" t="s">
        <v>55</v>
      </c>
      <c r="Q81" s="98" t="s">
        <v>1234</v>
      </c>
      <c r="R8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2" spans="1:18" ht="15.75" customHeight="1">
      <c r="A82" s="44" t="s">
        <v>297</v>
      </c>
      <c r="B82" s="47" t="s">
        <v>298</v>
      </c>
      <c r="C82" s="46" t="s">
        <v>299</v>
      </c>
      <c r="D82" s="47" t="s">
        <v>52</v>
      </c>
      <c r="E82" s="99">
        <v>54</v>
      </c>
      <c r="F82" s="49">
        <v>46191</v>
      </c>
      <c r="G82" s="49">
        <v>46282</v>
      </c>
      <c r="H82" s="50" t="s">
        <v>53</v>
      </c>
      <c r="I82" s="100">
        <v>766</v>
      </c>
      <c r="J82" s="52">
        <v>128</v>
      </c>
      <c r="K82" s="103" t="s">
        <v>1311</v>
      </c>
      <c r="L82" s="50" t="s">
        <v>72</v>
      </c>
      <c r="M82" s="54" t="str">
        <f>VLOOKUP(L82,Packaging!$B$3:$C$21,2,0)</f>
        <v>390 X 350 X 280</v>
      </c>
      <c r="N82" s="47"/>
      <c r="O82" s="100">
        <v>2</v>
      </c>
      <c r="P82" s="47" t="s">
        <v>55</v>
      </c>
      <c r="Q82" s="98" t="s">
        <v>1234</v>
      </c>
      <c r="R8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3" spans="1:18" ht="15.75" customHeight="1">
      <c r="A83" s="44" t="s">
        <v>300</v>
      </c>
      <c r="B83" s="45" t="s">
        <v>301</v>
      </c>
      <c r="C83" s="46" t="s">
        <v>302</v>
      </c>
      <c r="D83" s="47" t="s">
        <v>52</v>
      </c>
      <c r="E83" s="99">
        <v>300</v>
      </c>
      <c r="F83" s="49">
        <v>46191</v>
      </c>
      <c r="G83" s="49">
        <v>46282</v>
      </c>
      <c r="H83" s="50" t="s">
        <v>53</v>
      </c>
      <c r="I83" s="100">
        <v>280</v>
      </c>
      <c r="J83" s="52">
        <v>22</v>
      </c>
      <c r="K83" s="103" t="s">
        <v>1312</v>
      </c>
      <c r="L83" s="50" t="s">
        <v>54</v>
      </c>
      <c r="M83" s="54" t="str">
        <f>VLOOKUP(L83,Packaging!$B$3:$C$21,2,0)</f>
        <v>290 X 200 X 140</v>
      </c>
      <c r="N83" s="47"/>
      <c r="O83" s="100">
        <v>30</v>
      </c>
      <c r="P83" s="47" t="s">
        <v>55</v>
      </c>
      <c r="Q83" s="98" t="s">
        <v>1234</v>
      </c>
      <c r="R8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4" spans="1:18" ht="15.75" customHeight="1">
      <c r="A84" s="44" t="s">
        <v>303</v>
      </c>
      <c r="B84" s="47" t="s">
        <v>304</v>
      </c>
      <c r="C84" s="46" t="s">
        <v>305</v>
      </c>
      <c r="D84" s="47" t="s">
        <v>52</v>
      </c>
      <c r="E84" s="99">
        <v>100</v>
      </c>
      <c r="F84" s="49">
        <v>46191</v>
      </c>
      <c r="G84" s="49">
        <v>46282</v>
      </c>
      <c r="H84" s="50" t="s">
        <v>53</v>
      </c>
      <c r="I84" s="100">
        <v>280</v>
      </c>
      <c r="J84" s="52">
        <v>110</v>
      </c>
      <c r="K84" s="103" t="s">
        <v>1313</v>
      </c>
      <c r="L84" s="50" t="s">
        <v>54</v>
      </c>
      <c r="M84" s="54" t="str">
        <f>VLOOKUP(L84,Packaging!$B$3:$C$21,2,0)</f>
        <v>290 X 200 X 140</v>
      </c>
      <c r="N84" s="47"/>
      <c r="O84" s="100">
        <v>5</v>
      </c>
      <c r="P84" s="47" t="s">
        <v>55</v>
      </c>
      <c r="Q84" s="98" t="s">
        <v>1234</v>
      </c>
      <c r="R8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5" spans="1:18" ht="15.75" customHeight="1">
      <c r="A85" s="44" t="s">
        <v>306</v>
      </c>
      <c r="B85" s="47" t="s">
        <v>307</v>
      </c>
      <c r="C85" s="46" t="s">
        <v>308</v>
      </c>
      <c r="D85" s="47" t="s">
        <v>52</v>
      </c>
      <c r="E85" s="99">
        <v>1000</v>
      </c>
      <c r="F85" s="49">
        <v>46191</v>
      </c>
      <c r="G85" s="49">
        <v>46282</v>
      </c>
      <c r="H85" s="50" t="s">
        <v>53</v>
      </c>
      <c r="I85" s="100">
        <v>280</v>
      </c>
      <c r="J85" s="52">
        <v>10</v>
      </c>
      <c r="K85" s="103" t="s">
        <v>1314</v>
      </c>
      <c r="L85" s="50" t="s">
        <v>54</v>
      </c>
      <c r="M85" s="54" t="str">
        <f>VLOOKUP(L85,Packaging!$B$3:$C$21,2,0)</f>
        <v>290 X 200 X 140</v>
      </c>
      <c r="N85" s="47"/>
      <c r="O85" s="100">
        <v>25</v>
      </c>
      <c r="P85" s="47" t="s">
        <v>55</v>
      </c>
      <c r="Q85" s="98" t="s">
        <v>1234</v>
      </c>
      <c r="R8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6" spans="1:18" ht="15.75" customHeight="1">
      <c r="A86" s="44" t="s">
        <v>309</v>
      </c>
      <c r="B86" s="47" t="s">
        <v>310</v>
      </c>
      <c r="C86" s="46" t="s">
        <v>311</v>
      </c>
      <c r="D86" s="47" t="s">
        <v>52</v>
      </c>
      <c r="E86" s="99">
        <v>400</v>
      </c>
      <c r="F86" s="49">
        <v>46191</v>
      </c>
      <c r="G86" s="49">
        <v>46282</v>
      </c>
      <c r="H86" s="50" t="s">
        <v>53</v>
      </c>
      <c r="I86" s="100">
        <v>280</v>
      </c>
      <c r="J86" s="52">
        <v>21</v>
      </c>
      <c r="K86" s="103" t="s">
        <v>1315</v>
      </c>
      <c r="L86" s="50" t="s">
        <v>54</v>
      </c>
      <c r="M86" s="54" t="str">
        <f>VLOOKUP(L86,Packaging!$B$3:$C$21,2,0)</f>
        <v>290 X 200 X 140</v>
      </c>
      <c r="N86" s="47"/>
      <c r="O86" s="100">
        <v>10</v>
      </c>
      <c r="P86" s="47" t="s">
        <v>55</v>
      </c>
      <c r="Q86" s="98" t="s">
        <v>1234</v>
      </c>
      <c r="R8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7" spans="1:18" ht="15.75" customHeight="1">
      <c r="A87" s="44" t="s">
        <v>312</v>
      </c>
      <c r="B87" s="47" t="s">
        <v>313</v>
      </c>
      <c r="C87" s="46" t="s">
        <v>314</v>
      </c>
      <c r="D87" s="47" t="s">
        <v>52</v>
      </c>
      <c r="E87" s="99">
        <v>200</v>
      </c>
      <c r="F87" s="49">
        <v>46191</v>
      </c>
      <c r="G87" s="49">
        <v>46282</v>
      </c>
      <c r="H87" s="50" t="s">
        <v>53</v>
      </c>
      <c r="I87" s="100">
        <v>278</v>
      </c>
      <c r="J87" s="52">
        <v>33.799999999999997</v>
      </c>
      <c r="K87" s="103" t="s">
        <v>1316</v>
      </c>
      <c r="L87" s="61" t="s">
        <v>161</v>
      </c>
      <c r="M87" s="54" t="str">
        <f>VLOOKUP(L87,Packaging!$B$3:$C$21,2,0)</f>
        <v>360 X 270 X 128</v>
      </c>
      <c r="N87" s="47"/>
      <c r="O87" s="100">
        <v>10</v>
      </c>
      <c r="P87" s="47" t="s">
        <v>55</v>
      </c>
      <c r="Q87" s="98" t="s">
        <v>1234</v>
      </c>
      <c r="R8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8" spans="1:18" ht="15.75" customHeight="1">
      <c r="A88" s="44" t="s">
        <v>315</v>
      </c>
      <c r="B88" s="47" t="s">
        <v>316</v>
      </c>
      <c r="C88" s="46" t="s">
        <v>317</v>
      </c>
      <c r="D88" s="47" t="s">
        <v>52</v>
      </c>
      <c r="E88" s="99">
        <v>200</v>
      </c>
      <c r="F88" s="49">
        <v>46191</v>
      </c>
      <c r="G88" s="49">
        <v>46282</v>
      </c>
      <c r="H88" s="50" t="s">
        <v>53</v>
      </c>
      <c r="I88" s="100">
        <v>278</v>
      </c>
      <c r="J88" s="52">
        <v>40</v>
      </c>
      <c r="K88" s="103" t="s">
        <v>1317</v>
      </c>
      <c r="L88" s="61" t="s">
        <v>161</v>
      </c>
      <c r="M88" s="54" t="str">
        <f>VLOOKUP(L88,Packaging!$B$3:$C$21,2,0)</f>
        <v>360 X 270 X 128</v>
      </c>
      <c r="N88" s="47"/>
      <c r="O88" s="100">
        <v>10</v>
      </c>
      <c r="P88" s="47" t="s">
        <v>55</v>
      </c>
      <c r="Q88" s="98" t="s">
        <v>1234</v>
      </c>
      <c r="R8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89" spans="1:18" ht="15.75" customHeight="1">
      <c r="A89" s="44" t="s">
        <v>318</v>
      </c>
      <c r="B89" s="47" t="s">
        <v>319</v>
      </c>
      <c r="C89" s="46" t="s">
        <v>320</v>
      </c>
      <c r="D89" s="47" t="s">
        <v>52</v>
      </c>
      <c r="E89" s="99">
        <v>150</v>
      </c>
      <c r="F89" s="49">
        <v>46191</v>
      </c>
      <c r="G89" s="49">
        <v>46282</v>
      </c>
      <c r="H89" s="50" t="s">
        <v>53</v>
      </c>
      <c r="I89" s="100">
        <v>280</v>
      </c>
      <c r="J89" s="52">
        <v>32</v>
      </c>
      <c r="K89" s="103" t="s">
        <v>1318</v>
      </c>
      <c r="L89" s="50" t="s">
        <v>54</v>
      </c>
      <c r="M89" s="54" t="str">
        <f>VLOOKUP(L89,Packaging!$B$3:$C$21,2,0)</f>
        <v>290 X 200 X 140</v>
      </c>
      <c r="N89" s="47" t="s">
        <v>321</v>
      </c>
      <c r="O89" s="100">
        <v>10</v>
      </c>
      <c r="P89" s="47" t="s">
        <v>55</v>
      </c>
      <c r="Q89" s="98" t="s">
        <v>1234</v>
      </c>
      <c r="R8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0" spans="1:18" ht="15.75" customHeight="1">
      <c r="A90" s="44" t="s">
        <v>322</v>
      </c>
      <c r="B90" s="47" t="s">
        <v>323</v>
      </c>
      <c r="C90" s="46" t="s">
        <v>324</v>
      </c>
      <c r="D90" s="47" t="s">
        <v>52</v>
      </c>
      <c r="E90" s="99">
        <v>150</v>
      </c>
      <c r="F90" s="49">
        <v>46191</v>
      </c>
      <c r="G90" s="49">
        <v>46282</v>
      </c>
      <c r="H90" s="50" t="s">
        <v>53</v>
      </c>
      <c r="I90" s="100">
        <v>280</v>
      </c>
      <c r="J90" s="52">
        <v>45</v>
      </c>
      <c r="K90" s="103" t="s">
        <v>1319</v>
      </c>
      <c r="L90" s="50" t="s">
        <v>54</v>
      </c>
      <c r="M90" s="54" t="str">
        <f>VLOOKUP(L90,Packaging!$B$3:$C$21,2,0)</f>
        <v>290 X 200 X 140</v>
      </c>
      <c r="N90" s="47"/>
      <c r="O90" s="100">
        <v>10</v>
      </c>
      <c r="P90" s="47" t="s">
        <v>55</v>
      </c>
      <c r="Q90" s="98" t="s">
        <v>1234</v>
      </c>
      <c r="R9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1" spans="1:18" ht="15.75" customHeight="1">
      <c r="A91" s="44" t="s">
        <v>325</v>
      </c>
      <c r="B91" s="45" t="s">
        <v>326</v>
      </c>
      <c r="C91" s="46" t="s">
        <v>327</v>
      </c>
      <c r="D91" s="47" t="s">
        <v>52</v>
      </c>
      <c r="E91" s="99">
        <v>96</v>
      </c>
      <c r="F91" s="49">
        <v>46191</v>
      </c>
      <c r="G91" s="49">
        <v>46282</v>
      </c>
      <c r="H91" s="50" t="s">
        <v>53</v>
      </c>
      <c r="I91" s="100">
        <v>278</v>
      </c>
      <c r="J91" s="52">
        <v>118</v>
      </c>
      <c r="K91" s="103" t="s">
        <v>1320</v>
      </c>
      <c r="L91" s="50" t="s">
        <v>161</v>
      </c>
      <c r="M91" s="54" t="str">
        <f>VLOOKUP(L91,Packaging!$B$3:$C$21,2,0)</f>
        <v>360 X 270 X 128</v>
      </c>
      <c r="N91" s="47"/>
      <c r="O91" s="100">
        <v>8</v>
      </c>
      <c r="P91" s="47" t="s">
        <v>55</v>
      </c>
      <c r="Q91" s="98" t="s">
        <v>1234</v>
      </c>
      <c r="R9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2" spans="1:18" ht="15.75" customHeight="1">
      <c r="A92" s="44" t="s">
        <v>328</v>
      </c>
      <c r="B92" s="47" t="s">
        <v>329</v>
      </c>
      <c r="C92" s="46" t="s">
        <v>330</v>
      </c>
      <c r="D92" s="47" t="s">
        <v>52</v>
      </c>
      <c r="E92" s="99">
        <v>200</v>
      </c>
      <c r="F92" s="49">
        <v>46191</v>
      </c>
      <c r="G92" s="49">
        <v>46282</v>
      </c>
      <c r="H92" s="50" t="s">
        <v>53</v>
      </c>
      <c r="I92" s="100">
        <v>280</v>
      </c>
      <c r="J92" s="52">
        <v>90</v>
      </c>
      <c r="K92" s="103" t="s">
        <v>1321</v>
      </c>
      <c r="L92" s="50" t="s">
        <v>54</v>
      </c>
      <c r="M92" s="54" t="str">
        <f>VLOOKUP(L92,Packaging!$B$3:$C$21,2,0)</f>
        <v>290 X 200 X 140</v>
      </c>
      <c r="N92" s="47"/>
      <c r="O92" s="100">
        <v>20</v>
      </c>
      <c r="P92" s="47" t="s">
        <v>55</v>
      </c>
      <c r="Q92" s="98" t="s">
        <v>1234</v>
      </c>
      <c r="R9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3" spans="1:18" ht="15.75" customHeight="1">
      <c r="A93" s="44" t="s">
        <v>331</v>
      </c>
      <c r="B93" s="62" t="s">
        <v>332</v>
      </c>
      <c r="C93" s="57" t="s">
        <v>333</v>
      </c>
      <c r="D93" s="62" t="s">
        <v>52</v>
      </c>
      <c r="E93" s="99">
        <v>32</v>
      </c>
      <c r="F93" s="49">
        <v>46191</v>
      </c>
      <c r="G93" s="49">
        <v>46282</v>
      </c>
      <c r="H93" s="50" t="s">
        <v>53</v>
      </c>
      <c r="I93" s="100">
        <v>766</v>
      </c>
      <c r="J93" s="52">
        <v>126.6</v>
      </c>
      <c r="K93" s="103" t="s">
        <v>1322</v>
      </c>
      <c r="L93" s="50" t="s">
        <v>72</v>
      </c>
      <c r="M93" s="54" t="str">
        <f>VLOOKUP(L93,Packaging!$B$3:$C$21,2,0)</f>
        <v>390 X 350 X 280</v>
      </c>
      <c r="N93" s="62"/>
      <c r="O93" s="100">
        <v>2</v>
      </c>
      <c r="P93" s="47" t="s">
        <v>55</v>
      </c>
      <c r="Q93" s="98" t="s">
        <v>1234</v>
      </c>
      <c r="R9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4" spans="1:18" ht="15.75" customHeight="1">
      <c r="A94" s="44" t="s">
        <v>334</v>
      </c>
      <c r="B94" s="45" t="s">
        <v>335</v>
      </c>
      <c r="C94" s="46" t="s">
        <v>336</v>
      </c>
      <c r="D94" s="47" t="s">
        <v>52</v>
      </c>
      <c r="E94" s="99">
        <v>300</v>
      </c>
      <c r="F94" s="49">
        <v>46191</v>
      </c>
      <c r="G94" s="49">
        <v>46282</v>
      </c>
      <c r="H94" s="50" t="s">
        <v>53</v>
      </c>
      <c r="I94" s="100">
        <v>280</v>
      </c>
      <c r="J94" s="52">
        <v>46.6</v>
      </c>
      <c r="K94" s="103" t="s">
        <v>1323</v>
      </c>
      <c r="L94" s="50" t="s">
        <v>274</v>
      </c>
      <c r="M94" s="54" t="str">
        <f>VLOOKUP(L94,Packaging!$B$3:$C$21,2,0)</f>
        <v>290 X 200 X 100</v>
      </c>
      <c r="N94" s="47"/>
      <c r="O94" s="100">
        <v>25</v>
      </c>
      <c r="P94" s="47" t="s">
        <v>55</v>
      </c>
      <c r="Q94" s="98" t="s">
        <v>1234</v>
      </c>
      <c r="R9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5" spans="1:18" ht="15.75" customHeight="1">
      <c r="A95" s="44" t="s">
        <v>337</v>
      </c>
      <c r="B95" s="47" t="s">
        <v>338</v>
      </c>
      <c r="C95" s="46" t="s">
        <v>339</v>
      </c>
      <c r="D95" s="47" t="s">
        <v>52</v>
      </c>
      <c r="E95" s="99">
        <v>300</v>
      </c>
      <c r="F95" s="49">
        <v>46191</v>
      </c>
      <c r="G95" s="49">
        <v>46282</v>
      </c>
      <c r="H95" s="50" t="s">
        <v>53</v>
      </c>
      <c r="I95" s="100">
        <v>280</v>
      </c>
      <c r="J95" s="52">
        <v>46.6</v>
      </c>
      <c r="K95" s="103" t="s">
        <v>1324</v>
      </c>
      <c r="L95" s="50" t="s">
        <v>274</v>
      </c>
      <c r="M95" s="54" t="str">
        <f>VLOOKUP(L95,Packaging!$B$3:$C$21,2,0)</f>
        <v>290 X 200 X 100</v>
      </c>
      <c r="N95" s="47" t="s">
        <v>340</v>
      </c>
      <c r="O95" s="100">
        <v>25</v>
      </c>
      <c r="P95" s="47" t="s">
        <v>55</v>
      </c>
      <c r="Q95" s="98" t="s">
        <v>1234</v>
      </c>
      <c r="R9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6" spans="1:18" ht="15.75" customHeight="1">
      <c r="A96" s="44" t="s">
        <v>341</v>
      </c>
      <c r="B96" s="45" t="s">
        <v>342</v>
      </c>
      <c r="C96" s="46" t="s">
        <v>343</v>
      </c>
      <c r="D96" s="47" t="s">
        <v>52</v>
      </c>
      <c r="E96" s="99">
        <v>12</v>
      </c>
      <c r="F96" s="49">
        <v>46191</v>
      </c>
      <c r="G96" s="49">
        <v>46282</v>
      </c>
      <c r="H96" s="50" t="s">
        <v>53</v>
      </c>
      <c r="I96" s="100">
        <v>430</v>
      </c>
      <c r="J96" s="52">
        <v>419.6</v>
      </c>
      <c r="K96" s="103" t="s">
        <v>1325</v>
      </c>
      <c r="L96" s="50" t="s">
        <v>83</v>
      </c>
      <c r="M96" s="54" t="str">
        <f>VLOOKUP(L96,Packaging!$B$3:$C$21,2,0)</f>
        <v>560 X 175 X 155</v>
      </c>
      <c r="N96" s="47"/>
      <c r="O96" s="100">
        <v>1</v>
      </c>
      <c r="P96" s="47" t="s">
        <v>55</v>
      </c>
      <c r="Q96" s="98" t="s">
        <v>1234</v>
      </c>
      <c r="R9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7" spans="1:18" ht="15.75" customHeight="1">
      <c r="A97" s="44" t="s">
        <v>344</v>
      </c>
      <c r="B97" s="47" t="s">
        <v>345</v>
      </c>
      <c r="C97" s="46" t="s">
        <v>346</v>
      </c>
      <c r="D97" s="47" t="s">
        <v>52</v>
      </c>
      <c r="E97" s="99">
        <v>240</v>
      </c>
      <c r="F97" s="49">
        <v>46191</v>
      </c>
      <c r="G97" s="49">
        <v>46282</v>
      </c>
      <c r="H97" s="50" t="s">
        <v>53</v>
      </c>
      <c r="I97" s="100">
        <v>280</v>
      </c>
      <c r="J97" s="52">
        <v>14.8</v>
      </c>
      <c r="K97" s="103" t="s">
        <v>1326</v>
      </c>
      <c r="L97" s="50" t="s">
        <v>54</v>
      </c>
      <c r="M97" s="54" t="str">
        <f>VLOOKUP(L97,Packaging!$B$3:$C$21,2,0)</f>
        <v>290 X 200 X 140</v>
      </c>
      <c r="N97" s="47"/>
      <c r="O97" s="100">
        <v>10</v>
      </c>
      <c r="P97" s="47" t="s">
        <v>55</v>
      </c>
      <c r="Q97" s="98" t="s">
        <v>1234</v>
      </c>
      <c r="R9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8" spans="1:18" ht="15.75" customHeight="1">
      <c r="A98" s="44" t="s">
        <v>347</v>
      </c>
      <c r="B98" s="47" t="s">
        <v>348</v>
      </c>
      <c r="C98" s="46" t="s">
        <v>349</v>
      </c>
      <c r="D98" s="47" t="s">
        <v>52</v>
      </c>
      <c r="E98" s="99">
        <v>600</v>
      </c>
      <c r="F98" s="49">
        <v>46191</v>
      </c>
      <c r="G98" s="49">
        <v>46282</v>
      </c>
      <c r="H98" s="50" t="s">
        <v>53</v>
      </c>
      <c r="I98" s="100">
        <v>280</v>
      </c>
      <c r="J98" s="52">
        <v>20</v>
      </c>
      <c r="K98" s="103" t="s">
        <v>1327</v>
      </c>
      <c r="L98" s="50" t="s">
        <v>54</v>
      </c>
      <c r="M98" s="54" t="str">
        <f>VLOOKUP(L98,Packaging!$B$3:$C$21,2,0)</f>
        <v>290 X 200 X 140</v>
      </c>
      <c r="N98" s="47"/>
      <c r="O98" s="100">
        <v>100</v>
      </c>
      <c r="P98" s="47" t="s">
        <v>55</v>
      </c>
      <c r="Q98" s="98" t="s">
        <v>1234</v>
      </c>
      <c r="R9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99" spans="1:18" ht="15.75" customHeight="1">
      <c r="A99" s="44" t="s">
        <v>350</v>
      </c>
      <c r="B99" s="47" t="s">
        <v>351</v>
      </c>
      <c r="C99" s="46" t="s">
        <v>352</v>
      </c>
      <c r="D99" s="47" t="s">
        <v>52</v>
      </c>
      <c r="E99" s="99">
        <v>600</v>
      </c>
      <c r="F99" s="49">
        <v>46191</v>
      </c>
      <c r="G99" s="49">
        <v>46282</v>
      </c>
      <c r="H99" s="50" t="s">
        <v>53</v>
      </c>
      <c r="I99" s="100">
        <v>280</v>
      </c>
      <c r="J99" s="52">
        <v>20</v>
      </c>
      <c r="K99" s="103" t="s">
        <v>1328</v>
      </c>
      <c r="L99" s="50" t="s">
        <v>54</v>
      </c>
      <c r="M99" s="54" t="str">
        <f>VLOOKUP(L99,Packaging!$B$3:$C$21,2,0)</f>
        <v>290 X 200 X 140</v>
      </c>
      <c r="N99" s="47"/>
      <c r="O99" s="100">
        <v>100</v>
      </c>
      <c r="P99" s="47" t="s">
        <v>55</v>
      </c>
      <c r="Q99" s="98" t="s">
        <v>1234</v>
      </c>
      <c r="R9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0" spans="1:18" ht="15.75" customHeight="1">
      <c r="A100" s="44" t="s">
        <v>353</v>
      </c>
      <c r="B100" s="47" t="s">
        <v>354</v>
      </c>
      <c r="C100" s="46" t="s">
        <v>355</v>
      </c>
      <c r="D100" s="47" t="s">
        <v>52</v>
      </c>
      <c r="E100" s="99">
        <v>1000</v>
      </c>
      <c r="F100" s="49">
        <v>46191</v>
      </c>
      <c r="G100" s="49">
        <v>46282</v>
      </c>
      <c r="H100" s="50" t="s">
        <v>53</v>
      </c>
      <c r="I100" s="100">
        <v>280</v>
      </c>
      <c r="J100" s="52">
        <v>8.6</v>
      </c>
      <c r="K100" s="103" t="s">
        <v>1329</v>
      </c>
      <c r="L100" s="50" t="s">
        <v>54</v>
      </c>
      <c r="M100" s="54" t="str">
        <f>VLOOKUP(L100,Packaging!$B$3:$C$21,2,0)</f>
        <v>290 X 200 X 140</v>
      </c>
      <c r="N100" s="47"/>
      <c r="O100" s="100">
        <v>250</v>
      </c>
      <c r="P100" s="47" t="s">
        <v>55</v>
      </c>
      <c r="Q100" s="98" t="s">
        <v>1234</v>
      </c>
      <c r="R10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1" spans="1:18" ht="15.75" customHeight="1">
      <c r="A101" s="44" t="s">
        <v>356</v>
      </c>
      <c r="B101" s="47" t="s">
        <v>357</v>
      </c>
      <c r="C101" s="46" t="s">
        <v>358</v>
      </c>
      <c r="D101" s="47" t="s">
        <v>52</v>
      </c>
      <c r="E101" s="99">
        <v>1000</v>
      </c>
      <c r="F101" s="49">
        <v>46191</v>
      </c>
      <c r="G101" s="49">
        <v>46282</v>
      </c>
      <c r="H101" s="50" t="s">
        <v>53</v>
      </c>
      <c r="I101" s="100">
        <v>280</v>
      </c>
      <c r="J101" s="52">
        <v>14</v>
      </c>
      <c r="K101" s="103" t="s">
        <v>1330</v>
      </c>
      <c r="L101" s="50" t="s">
        <v>54</v>
      </c>
      <c r="M101" s="54" t="str">
        <f>VLOOKUP(L101,Packaging!$B$3:$C$21,2,0)</f>
        <v>290 X 200 X 140</v>
      </c>
      <c r="N101" s="47"/>
      <c r="O101" s="100">
        <v>250</v>
      </c>
      <c r="P101" s="47" t="s">
        <v>55</v>
      </c>
      <c r="Q101" s="98" t="s">
        <v>1234</v>
      </c>
      <c r="R10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2" spans="1:18" ht="15.75" customHeight="1">
      <c r="A102" s="44" t="s">
        <v>359</v>
      </c>
      <c r="B102" s="45" t="s">
        <v>360</v>
      </c>
      <c r="C102" s="46" t="s">
        <v>361</v>
      </c>
      <c r="D102" s="47" t="s">
        <v>52</v>
      </c>
      <c r="E102" s="99">
        <v>90</v>
      </c>
      <c r="F102" s="49">
        <v>46191</v>
      </c>
      <c r="G102" s="49">
        <v>46282</v>
      </c>
      <c r="H102" s="50" t="s">
        <v>53</v>
      </c>
      <c r="I102" s="100">
        <v>280</v>
      </c>
      <c r="J102" s="52">
        <v>36</v>
      </c>
      <c r="K102" s="103" t="s">
        <v>1331</v>
      </c>
      <c r="L102" s="50" t="s">
        <v>54</v>
      </c>
      <c r="M102" s="54" t="str">
        <f>VLOOKUP(L102,Packaging!$B$3:$C$21,2,0)</f>
        <v>290 X 200 X 140</v>
      </c>
      <c r="N102" s="47"/>
      <c r="O102" s="100">
        <v>10</v>
      </c>
      <c r="P102" s="47" t="s">
        <v>55</v>
      </c>
      <c r="Q102" s="98" t="s">
        <v>1234</v>
      </c>
      <c r="R10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3" spans="1:18" ht="15.75" customHeight="1">
      <c r="A103" s="44" t="s">
        <v>362</v>
      </c>
      <c r="B103" s="45" t="s">
        <v>363</v>
      </c>
      <c r="C103" s="46" t="s">
        <v>364</v>
      </c>
      <c r="D103" s="47" t="s">
        <v>52</v>
      </c>
      <c r="E103" s="99">
        <v>90</v>
      </c>
      <c r="F103" s="49">
        <v>46191</v>
      </c>
      <c r="G103" s="49">
        <v>46282</v>
      </c>
      <c r="H103" s="50" t="s">
        <v>53</v>
      </c>
      <c r="I103" s="100">
        <v>280</v>
      </c>
      <c r="J103" s="52">
        <v>36</v>
      </c>
      <c r="K103" s="103" t="s">
        <v>1332</v>
      </c>
      <c r="L103" s="50" t="s">
        <v>54</v>
      </c>
      <c r="M103" s="54" t="str">
        <f>VLOOKUP(L103,Packaging!$B$3:$C$21,2,0)</f>
        <v>290 X 200 X 140</v>
      </c>
      <c r="N103" s="47"/>
      <c r="O103" s="100">
        <v>10</v>
      </c>
      <c r="P103" s="47" t="s">
        <v>55</v>
      </c>
      <c r="Q103" s="98" t="s">
        <v>1234</v>
      </c>
      <c r="R10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4" spans="1:18" ht="15.75" customHeight="1">
      <c r="A104" s="44" t="s">
        <v>365</v>
      </c>
      <c r="B104" s="45" t="s">
        <v>366</v>
      </c>
      <c r="C104" s="46" t="s">
        <v>367</v>
      </c>
      <c r="D104" s="47" t="s">
        <v>52</v>
      </c>
      <c r="E104" s="99">
        <v>90</v>
      </c>
      <c r="F104" s="49">
        <v>46191</v>
      </c>
      <c r="G104" s="49">
        <v>46282</v>
      </c>
      <c r="H104" s="50" t="s">
        <v>53</v>
      </c>
      <c r="I104" s="100">
        <v>280</v>
      </c>
      <c r="J104" s="52">
        <v>34.4</v>
      </c>
      <c r="K104" s="103" t="s">
        <v>1333</v>
      </c>
      <c r="L104" s="50" t="s">
        <v>54</v>
      </c>
      <c r="M104" s="54" t="str">
        <f>VLOOKUP(L104,Packaging!$B$3:$C$21,2,0)</f>
        <v>290 X 200 X 140</v>
      </c>
      <c r="N104" s="47"/>
      <c r="O104" s="100">
        <v>10</v>
      </c>
      <c r="P104" s="47" t="s">
        <v>55</v>
      </c>
      <c r="Q104" s="98" t="s">
        <v>1234</v>
      </c>
      <c r="R10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5" spans="1:18" ht="15.75" customHeight="1">
      <c r="A105" s="44" t="s">
        <v>368</v>
      </c>
      <c r="B105" s="45" t="s">
        <v>369</v>
      </c>
      <c r="C105" s="46" t="s">
        <v>370</v>
      </c>
      <c r="D105" s="47" t="s">
        <v>52</v>
      </c>
      <c r="E105" s="99">
        <v>90</v>
      </c>
      <c r="F105" s="49">
        <v>46191</v>
      </c>
      <c r="G105" s="49">
        <v>46282</v>
      </c>
      <c r="H105" s="50" t="s">
        <v>53</v>
      </c>
      <c r="I105" s="100">
        <v>280</v>
      </c>
      <c r="J105" s="52">
        <v>34.4</v>
      </c>
      <c r="K105" s="103" t="s">
        <v>1334</v>
      </c>
      <c r="L105" s="50" t="s">
        <v>54</v>
      </c>
      <c r="M105" s="54" t="str">
        <f>VLOOKUP(L105,Packaging!$B$3:$C$21,2,0)</f>
        <v>290 X 200 X 140</v>
      </c>
      <c r="N105" s="47"/>
      <c r="O105" s="100">
        <v>10</v>
      </c>
      <c r="P105" s="47" t="s">
        <v>55</v>
      </c>
      <c r="Q105" s="98" t="s">
        <v>1234</v>
      </c>
      <c r="R10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6" spans="1:18" ht="15.75" customHeight="1">
      <c r="A106" s="44" t="s">
        <v>371</v>
      </c>
      <c r="B106" s="47" t="s">
        <v>372</v>
      </c>
      <c r="C106" s="46" t="s">
        <v>373</v>
      </c>
      <c r="D106" s="47" t="s">
        <v>52</v>
      </c>
      <c r="E106" s="99">
        <v>450</v>
      </c>
      <c r="F106" s="49">
        <v>46191</v>
      </c>
      <c r="G106" s="49">
        <v>46282</v>
      </c>
      <c r="H106" s="50" t="s">
        <v>53</v>
      </c>
      <c r="I106" s="100">
        <v>244</v>
      </c>
      <c r="J106" s="52">
        <v>44</v>
      </c>
      <c r="K106" s="103" t="s">
        <v>1335</v>
      </c>
      <c r="L106" s="50" t="s">
        <v>274</v>
      </c>
      <c r="M106" s="54" t="str">
        <f>VLOOKUP(L106,Packaging!$B$3:$C$21,2,0)</f>
        <v>290 X 200 X 100</v>
      </c>
      <c r="N106" s="47"/>
      <c r="O106" s="100">
        <v>25</v>
      </c>
      <c r="P106" s="47" t="s">
        <v>55</v>
      </c>
      <c r="Q106" s="98" t="s">
        <v>1234</v>
      </c>
      <c r="R10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7" spans="1:18" ht="15.75" customHeight="1">
      <c r="A107" s="44" t="s">
        <v>374</v>
      </c>
      <c r="B107" s="47" t="s">
        <v>375</v>
      </c>
      <c r="C107" s="46" t="s">
        <v>376</v>
      </c>
      <c r="D107" s="47" t="s">
        <v>52</v>
      </c>
      <c r="E107" s="99">
        <v>450</v>
      </c>
      <c r="F107" s="49">
        <v>46191</v>
      </c>
      <c r="G107" s="49">
        <v>46282</v>
      </c>
      <c r="H107" s="50" t="s">
        <v>53</v>
      </c>
      <c r="I107" s="100">
        <v>244</v>
      </c>
      <c r="J107" s="52">
        <v>44</v>
      </c>
      <c r="K107" s="103" t="s">
        <v>1336</v>
      </c>
      <c r="L107" s="50" t="s">
        <v>274</v>
      </c>
      <c r="M107" s="54" t="str">
        <f>VLOOKUP(L107,Packaging!$B$3:$C$21,2,0)</f>
        <v>290 X 200 X 100</v>
      </c>
      <c r="N107" s="47"/>
      <c r="O107" s="100">
        <v>25</v>
      </c>
      <c r="P107" s="47" t="s">
        <v>55</v>
      </c>
      <c r="Q107" s="98" t="s">
        <v>1234</v>
      </c>
      <c r="R10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8" spans="1:18" ht="15.75" customHeight="1">
      <c r="A108" s="44" t="s">
        <v>377</v>
      </c>
      <c r="B108" s="47" t="s">
        <v>378</v>
      </c>
      <c r="C108" s="46" t="s">
        <v>379</v>
      </c>
      <c r="D108" s="47" t="s">
        <v>52</v>
      </c>
      <c r="E108" s="99">
        <v>1000</v>
      </c>
      <c r="F108" s="49">
        <v>46191</v>
      </c>
      <c r="G108" s="49">
        <v>46282</v>
      </c>
      <c r="H108" s="50" t="s">
        <v>53</v>
      </c>
      <c r="I108" s="100">
        <v>280</v>
      </c>
      <c r="J108" s="52">
        <v>5.8</v>
      </c>
      <c r="K108" s="103" t="s">
        <v>1337</v>
      </c>
      <c r="L108" s="50" t="s">
        <v>54</v>
      </c>
      <c r="M108" s="54" t="str">
        <f>VLOOKUP(L108,Packaging!$B$3:$C$21,2,0)</f>
        <v>290 X 200 X 140</v>
      </c>
      <c r="N108" s="47"/>
      <c r="O108" s="100">
        <v>25</v>
      </c>
      <c r="P108" s="47" t="s">
        <v>55</v>
      </c>
      <c r="Q108" s="98" t="s">
        <v>1234</v>
      </c>
      <c r="R10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09" spans="1:18" ht="15.75" customHeight="1">
      <c r="A109" s="44" t="s">
        <v>380</v>
      </c>
      <c r="B109" s="47" t="s">
        <v>381</v>
      </c>
      <c r="C109" s="46" t="s">
        <v>382</v>
      </c>
      <c r="D109" s="47" t="s">
        <v>52</v>
      </c>
      <c r="E109" s="99">
        <v>48</v>
      </c>
      <c r="F109" s="49">
        <v>46191</v>
      </c>
      <c r="G109" s="49">
        <v>46282</v>
      </c>
      <c r="H109" s="50" t="s">
        <v>53</v>
      </c>
      <c r="I109" s="100">
        <v>278</v>
      </c>
      <c r="J109" s="52">
        <v>38.799999999999997</v>
      </c>
      <c r="K109" s="103" t="s">
        <v>1338</v>
      </c>
      <c r="L109" s="50" t="s">
        <v>161</v>
      </c>
      <c r="M109" s="54" t="str">
        <f>VLOOKUP(L109,Packaging!$B$3:$C$21,2,0)</f>
        <v>360 X 270 X 128</v>
      </c>
      <c r="N109" s="47"/>
      <c r="O109" s="100">
        <v>2</v>
      </c>
      <c r="P109" s="47" t="s">
        <v>55</v>
      </c>
      <c r="Q109" s="98" t="s">
        <v>1234</v>
      </c>
      <c r="R10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0" spans="1:18" ht="15.75" customHeight="1">
      <c r="A110" s="44" t="s">
        <v>383</v>
      </c>
      <c r="B110" s="47" t="s">
        <v>384</v>
      </c>
      <c r="C110" s="46" t="s">
        <v>385</v>
      </c>
      <c r="D110" s="47" t="s">
        <v>52</v>
      </c>
      <c r="E110" s="99">
        <v>68</v>
      </c>
      <c r="F110" s="49">
        <v>46191</v>
      </c>
      <c r="G110" s="49">
        <v>46282</v>
      </c>
      <c r="H110" s="50" t="s">
        <v>53</v>
      </c>
      <c r="I110" s="100">
        <v>766</v>
      </c>
      <c r="J110" s="52">
        <v>163.6</v>
      </c>
      <c r="K110" s="103" t="s">
        <v>1339</v>
      </c>
      <c r="L110" s="50" t="s">
        <v>72</v>
      </c>
      <c r="M110" s="54" t="str">
        <f>VLOOKUP(L110,Packaging!$B$3:$C$21,2,0)</f>
        <v>390 X 350 X 280</v>
      </c>
      <c r="N110" s="47"/>
      <c r="O110" s="100">
        <v>2</v>
      </c>
      <c r="P110" s="47" t="s">
        <v>55</v>
      </c>
      <c r="Q110" s="98" t="s">
        <v>1234</v>
      </c>
      <c r="R11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1" spans="1:18" ht="15.75" customHeight="1">
      <c r="A111" s="44" t="s">
        <v>386</v>
      </c>
      <c r="B111" s="47" t="s">
        <v>387</v>
      </c>
      <c r="C111" s="46" t="s">
        <v>388</v>
      </c>
      <c r="D111" s="47" t="s">
        <v>52</v>
      </c>
      <c r="E111" s="99">
        <v>68</v>
      </c>
      <c r="F111" s="49">
        <v>46191</v>
      </c>
      <c r="G111" s="49">
        <v>46282</v>
      </c>
      <c r="H111" s="50" t="s">
        <v>53</v>
      </c>
      <c r="I111" s="100">
        <v>766</v>
      </c>
      <c r="J111" s="52">
        <v>163.6</v>
      </c>
      <c r="K111" s="103" t="s">
        <v>1340</v>
      </c>
      <c r="L111" s="50" t="s">
        <v>72</v>
      </c>
      <c r="M111" s="54" t="str">
        <f>VLOOKUP(L111,Packaging!$B$3:$C$21,2,0)</f>
        <v>390 X 350 X 280</v>
      </c>
      <c r="N111" s="47" t="s">
        <v>389</v>
      </c>
      <c r="O111" s="100">
        <v>2</v>
      </c>
      <c r="P111" s="47" t="s">
        <v>55</v>
      </c>
      <c r="Q111" s="98" t="s">
        <v>1234</v>
      </c>
      <c r="R11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2" spans="1:18" ht="15.75" customHeight="1">
      <c r="A112" s="44" t="s">
        <v>390</v>
      </c>
      <c r="B112" s="47" t="s">
        <v>391</v>
      </c>
      <c r="C112" s="46" t="s">
        <v>392</v>
      </c>
      <c r="D112" s="47" t="s">
        <v>52</v>
      </c>
      <c r="E112" s="99">
        <v>68</v>
      </c>
      <c r="F112" s="49">
        <v>46191</v>
      </c>
      <c r="G112" s="49">
        <v>46282</v>
      </c>
      <c r="H112" s="50" t="s">
        <v>53</v>
      </c>
      <c r="I112" s="100">
        <v>766</v>
      </c>
      <c r="J112" s="52">
        <v>163.6</v>
      </c>
      <c r="K112" s="103" t="s">
        <v>1341</v>
      </c>
      <c r="L112" s="50" t="s">
        <v>72</v>
      </c>
      <c r="M112" s="54" t="str">
        <f>VLOOKUP(L112,Packaging!$B$3:$C$21,2,0)</f>
        <v>390 X 350 X 280</v>
      </c>
      <c r="N112" s="47"/>
      <c r="O112" s="100">
        <v>2</v>
      </c>
      <c r="P112" s="47" t="s">
        <v>55</v>
      </c>
      <c r="Q112" s="98" t="s">
        <v>1234</v>
      </c>
      <c r="R11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3" spans="1:18" ht="15.75" customHeight="1">
      <c r="A113" s="44" t="s">
        <v>393</v>
      </c>
      <c r="B113" s="47" t="s">
        <v>394</v>
      </c>
      <c r="C113" s="46" t="s">
        <v>395</v>
      </c>
      <c r="D113" s="47" t="s">
        <v>52</v>
      </c>
      <c r="E113" s="99">
        <v>68</v>
      </c>
      <c r="F113" s="49">
        <v>46191</v>
      </c>
      <c r="G113" s="49">
        <v>46282</v>
      </c>
      <c r="H113" s="50" t="s">
        <v>53</v>
      </c>
      <c r="I113" s="100">
        <v>766</v>
      </c>
      <c r="J113" s="52">
        <v>163.6</v>
      </c>
      <c r="K113" s="103" t="s">
        <v>1342</v>
      </c>
      <c r="L113" s="50" t="s">
        <v>72</v>
      </c>
      <c r="M113" s="54" t="str">
        <f>VLOOKUP(L113,Packaging!$B$3:$C$21,2,0)</f>
        <v>390 X 350 X 280</v>
      </c>
      <c r="N113" s="47" t="s">
        <v>396</v>
      </c>
      <c r="O113" s="100">
        <v>2</v>
      </c>
      <c r="P113" s="47" t="s">
        <v>55</v>
      </c>
      <c r="Q113" s="98" t="s">
        <v>1234</v>
      </c>
      <c r="R11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4" spans="1:18" ht="15.75" customHeight="1">
      <c r="A114" s="44" t="s">
        <v>397</v>
      </c>
      <c r="B114" s="47" t="s">
        <v>398</v>
      </c>
      <c r="C114" s="46" t="s">
        <v>399</v>
      </c>
      <c r="D114" s="47" t="s">
        <v>52</v>
      </c>
      <c r="E114" s="99">
        <v>36</v>
      </c>
      <c r="F114" s="49">
        <v>46191</v>
      </c>
      <c r="G114" s="49">
        <v>46282</v>
      </c>
      <c r="H114" s="50" t="s">
        <v>53</v>
      </c>
      <c r="I114" s="100">
        <v>280</v>
      </c>
      <c r="J114" s="52">
        <v>308.2</v>
      </c>
      <c r="K114" s="103" t="s">
        <v>1343</v>
      </c>
      <c r="L114" s="50" t="s">
        <v>54</v>
      </c>
      <c r="M114" s="54" t="str">
        <f>VLOOKUP(L114,Packaging!$B$3:$C$21,2,0)</f>
        <v>290 X 200 X 140</v>
      </c>
      <c r="N114" s="47"/>
      <c r="O114" s="100">
        <v>1</v>
      </c>
      <c r="P114" s="47" t="s">
        <v>55</v>
      </c>
      <c r="Q114" s="98" t="s">
        <v>1234</v>
      </c>
      <c r="R11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5" spans="1:18" ht="15.75" customHeight="1">
      <c r="A115" s="44" t="s">
        <v>400</v>
      </c>
      <c r="B115" s="47" t="s">
        <v>401</v>
      </c>
      <c r="C115" s="46" t="s">
        <v>402</v>
      </c>
      <c r="D115" s="47" t="s">
        <v>52</v>
      </c>
      <c r="E115" s="99">
        <v>36</v>
      </c>
      <c r="F115" s="49">
        <v>46191</v>
      </c>
      <c r="G115" s="49">
        <v>46282</v>
      </c>
      <c r="H115" s="50" t="s">
        <v>53</v>
      </c>
      <c r="I115" s="100">
        <v>280</v>
      </c>
      <c r="J115" s="52">
        <v>308.2</v>
      </c>
      <c r="K115" s="103" t="s">
        <v>1344</v>
      </c>
      <c r="L115" s="50" t="s">
        <v>54</v>
      </c>
      <c r="M115" s="54" t="str">
        <f>VLOOKUP(L115,Packaging!$B$3:$C$21,2,0)</f>
        <v>290 X 200 X 140</v>
      </c>
      <c r="N115" s="47"/>
      <c r="O115" s="100">
        <v>1</v>
      </c>
      <c r="P115" s="47" t="s">
        <v>55</v>
      </c>
      <c r="Q115" s="98" t="s">
        <v>1234</v>
      </c>
      <c r="R11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6" spans="1:18" ht="15.75" customHeight="1">
      <c r="A116" s="44" t="s">
        <v>403</v>
      </c>
      <c r="B116" s="47" t="s">
        <v>404</v>
      </c>
      <c r="C116" s="46" t="s">
        <v>405</v>
      </c>
      <c r="D116" s="47" t="s">
        <v>52</v>
      </c>
      <c r="E116" s="99">
        <v>180</v>
      </c>
      <c r="F116" s="49">
        <v>46191</v>
      </c>
      <c r="G116" s="49">
        <v>46282</v>
      </c>
      <c r="H116" s="50" t="s">
        <v>53</v>
      </c>
      <c r="I116" s="100">
        <v>378</v>
      </c>
      <c r="J116" s="52">
        <v>92</v>
      </c>
      <c r="K116" s="103" t="s">
        <v>1345</v>
      </c>
      <c r="L116" s="50" t="s">
        <v>91</v>
      </c>
      <c r="M116" s="54" t="str">
        <f>VLOOKUP(L116,Packaging!$B$3:$C$21,2,0)</f>
        <v>400 X 240 X 130</v>
      </c>
      <c r="N116" s="47"/>
      <c r="O116" s="100">
        <v>30</v>
      </c>
      <c r="P116" s="47" t="s">
        <v>55</v>
      </c>
      <c r="Q116" s="98" t="s">
        <v>1234</v>
      </c>
      <c r="R11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7" spans="1:18" ht="15.75" customHeight="1">
      <c r="A117" s="44" t="s">
        <v>406</v>
      </c>
      <c r="B117" s="47" t="s">
        <v>407</v>
      </c>
      <c r="C117" s="46" t="s">
        <v>408</v>
      </c>
      <c r="D117" s="47" t="s">
        <v>52</v>
      </c>
      <c r="E117" s="99">
        <v>500</v>
      </c>
      <c r="F117" s="49">
        <v>46191</v>
      </c>
      <c r="G117" s="49">
        <v>46282</v>
      </c>
      <c r="H117" s="50" t="s">
        <v>53</v>
      </c>
      <c r="I117" s="100">
        <v>280</v>
      </c>
      <c r="J117" s="52">
        <v>17.399999999999999</v>
      </c>
      <c r="K117" s="103" t="s">
        <v>1346</v>
      </c>
      <c r="L117" s="50" t="s">
        <v>54</v>
      </c>
      <c r="M117" s="54" t="str">
        <f>VLOOKUP(L117,Packaging!$B$3:$C$21,2,0)</f>
        <v>290 X 200 X 140</v>
      </c>
      <c r="N117" s="47"/>
      <c r="O117" s="100">
        <v>100</v>
      </c>
      <c r="P117" s="47" t="s">
        <v>55</v>
      </c>
      <c r="Q117" s="98" t="s">
        <v>1234</v>
      </c>
      <c r="R11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8" spans="1:18" ht="15.75" customHeight="1">
      <c r="A118" s="44" t="s">
        <v>409</v>
      </c>
      <c r="B118" s="47" t="s">
        <v>410</v>
      </c>
      <c r="C118" s="46" t="s">
        <v>411</v>
      </c>
      <c r="D118" s="47" t="s">
        <v>52</v>
      </c>
      <c r="E118" s="99">
        <v>1000</v>
      </c>
      <c r="F118" s="49">
        <v>46191</v>
      </c>
      <c r="G118" s="49">
        <v>46282</v>
      </c>
      <c r="H118" s="50" t="s">
        <v>53</v>
      </c>
      <c r="I118" s="100">
        <v>280</v>
      </c>
      <c r="J118" s="52">
        <v>7.2</v>
      </c>
      <c r="K118" s="103" t="s">
        <v>1347</v>
      </c>
      <c r="L118" s="50" t="s">
        <v>54</v>
      </c>
      <c r="M118" s="54" t="str">
        <f>VLOOKUP(L118,Packaging!$B$3:$C$21,2,0)</f>
        <v>290 X 200 X 140</v>
      </c>
      <c r="N118" s="47"/>
      <c r="O118" s="100">
        <v>50</v>
      </c>
      <c r="P118" s="47" t="s">
        <v>55</v>
      </c>
      <c r="Q118" s="98" t="s">
        <v>1234</v>
      </c>
      <c r="R11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19" spans="1:18" ht="15.75" customHeight="1">
      <c r="A119" s="44" t="s">
        <v>412</v>
      </c>
      <c r="B119" s="47" t="s">
        <v>413</v>
      </c>
      <c r="C119" s="46" t="s">
        <v>414</v>
      </c>
      <c r="D119" s="47" t="s">
        <v>52</v>
      </c>
      <c r="E119" s="99">
        <v>300</v>
      </c>
      <c r="F119" s="49">
        <v>46191</v>
      </c>
      <c r="G119" s="49">
        <v>46282</v>
      </c>
      <c r="H119" s="50" t="s">
        <v>53</v>
      </c>
      <c r="I119" s="100">
        <v>280</v>
      </c>
      <c r="J119" s="52">
        <v>15</v>
      </c>
      <c r="K119" s="103" t="s">
        <v>1348</v>
      </c>
      <c r="L119" s="50" t="s">
        <v>54</v>
      </c>
      <c r="M119" s="54" t="str">
        <f>VLOOKUP(L119,Packaging!$B$3:$C$21,2,0)</f>
        <v>290 X 200 X 140</v>
      </c>
      <c r="N119" s="47"/>
      <c r="O119" s="100">
        <v>20</v>
      </c>
      <c r="P119" s="47" t="s">
        <v>55</v>
      </c>
      <c r="Q119" s="98" t="s">
        <v>1234</v>
      </c>
      <c r="R11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0" spans="1:18" ht="15.75" customHeight="1">
      <c r="A120" s="44" t="s">
        <v>415</v>
      </c>
      <c r="B120" s="47" t="s">
        <v>416</v>
      </c>
      <c r="C120" s="46" t="s">
        <v>417</v>
      </c>
      <c r="D120" s="47" t="s">
        <v>52</v>
      </c>
      <c r="E120" s="99">
        <v>112</v>
      </c>
      <c r="F120" s="49">
        <v>46191</v>
      </c>
      <c r="G120" s="49">
        <v>46282</v>
      </c>
      <c r="H120" s="50" t="s">
        <v>53</v>
      </c>
      <c r="I120" s="100">
        <v>280</v>
      </c>
      <c r="J120" s="52">
        <v>93</v>
      </c>
      <c r="K120" s="103" t="s">
        <v>1349</v>
      </c>
      <c r="L120" s="50" t="s">
        <v>54</v>
      </c>
      <c r="M120" s="54" t="str">
        <f>VLOOKUP(L120,Packaging!$B$3:$C$21,2,0)</f>
        <v>290 X 200 X 140</v>
      </c>
      <c r="N120" s="47"/>
      <c r="O120" s="100">
        <v>1</v>
      </c>
      <c r="P120" s="47" t="s">
        <v>55</v>
      </c>
      <c r="Q120" s="98" t="s">
        <v>1234</v>
      </c>
      <c r="R12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1" spans="1:18" ht="15.75" customHeight="1">
      <c r="A121" s="44" t="s">
        <v>418</v>
      </c>
      <c r="B121" s="47" t="s">
        <v>419</v>
      </c>
      <c r="C121" s="46" t="s">
        <v>420</v>
      </c>
      <c r="D121" s="47" t="s">
        <v>52</v>
      </c>
      <c r="E121" s="99">
        <v>300</v>
      </c>
      <c r="F121" s="49">
        <v>46191</v>
      </c>
      <c r="G121" s="49">
        <v>46282</v>
      </c>
      <c r="H121" s="50" t="s">
        <v>53</v>
      </c>
      <c r="I121" s="100">
        <v>244</v>
      </c>
      <c r="J121" s="52">
        <v>28</v>
      </c>
      <c r="K121" s="103" t="s">
        <v>1350</v>
      </c>
      <c r="L121" s="50" t="s">
        <v>274</v>
      </c>
      <c r="M121" s="54" t="str">
        <f>VLOOKUP(L121,Packaging!$B$3:$C$21,2,0)</f>
        <v>290 X 200 X 100</v>
      </c>
      <c r="N121" s="47"/>
      <c r="O121" s="100">
        <v>10</v>
      </c>
      <c r="P121" s="47" t="s">
        <v>55</v>
      </c>
      <c r="Q121" s="98" t="s">
        <v>1234</v>
      </c>
      <c r="R12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2" spans="1:18" ht="15.75" customHeight="1">
      <c r="A122" s="44" t="s">
        <v>421</v>
      </c>
      <c r="B122" s="45" t="s">
        <v>422</v>
      </c>
      <c r="C122" s="46" t="s">
        <v>423</v>
      </c>
      <c r="D122" s="47" t="s">
        <v>52</v>
      </c>
      <c r="E122" s="99">
        <v>8</v>
      </c>
      <c r="F122" s="49">
        <v>46191</v>
      </c>
      <c r="G122" s="49">
        <v>46282</v>
      </c>
      <c r="H122" s="50" t="s">
        <v>53</v>
      </c>
      <c r="I122" s="100">
        <v>378</v>
      </c>
      <c r="J122" s="52">
        <v>388.2</v>
      </c>
      <c r="K122" s="103" t="s">
        <v>1351</v>
      </c>
      <c r="L122" s="50" t="s">
        <v>91</v>
      </c>
      <c r="M122" s="54" t="str">
        <f>VLOOKUP(L122,Packaging!$B$3:$C$21,2,0)</f>
        <v>400 X 240 X 130</v>
      </c>
      <c r="N122" s="47"/>
      <c r="O122" s="100">
        <v>2</v>
      </c>
      <c r="P122" s="47" t="s">
        <v>55</v>
      </c>
      <c r="Q122" s="98" t="s">
        <v>1234</v>
      </c>
      <c r="R12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3" spans="1:18" ht="15.75" customHeight="1">
      <c r="A123" s="44" t="s">
        <v>424</v>
      </c>
      <c r="B123" s="47" t="s">
        <v>425</v>
      </c>
      <c r="C123" s="46" t="s">
        <v>426</v>
      </c>
      <c r="D123" s="47" t="s">
        <v>52</v>
      </c>
      <c r="E123" s="99">
        <v>1000</v>
      </c>
      <c r="F123" s="49">
        <v>46191</v>
      </c>
      <c r="G123" s="49">
        <v>46282</v>
      </c>
      <c r="H123" s="50" t="s">
        <v>53</v>
      </c>
      <c r="I123" s="100">
        <v>280</v>
      </c>
      <c r="J123" s="52">
        <v>10.199999999999999</v>
      </c>
      <c r="K123" s="103" t="s">
        <v>1352</v>
      </c>
      <c r="L123" s="50" t="s">
        <v>54</v>
      </c>
      <c r="M123" s="54" t="str">
        <f>VLOOKUP(L123,Packaging!$B$3:$C$21,2,0)</f>
        <v>290 X 200 X 140</v>
      </c>
      <c r="N123" s="47"/>
      <c r="O123" s="100">
        <v>100</v>
      </c>
      <c r="P123" s="47" t="s">
        <v>55</v>
      </c>
      <c r="Q123" s="98" t="s">
        <v>1234</v>
      </c>
      <c r="R12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4" spans="1:18" ht="15.75" customHeight="1">
      <c r="A124" s="44" t="s">
        <v>427</v>
      </c>
      <c r="B124" s="45" t="s">
        <v>428</v>
      </c>
      <c r="C124" s="46" t="s">
        <v>429</v>
      </c>
      <c r="D124" s="47" t="s">
        <v>52</v>
      </c>
      <c r="E124" s="99">
        <v>80</v>
      </c>
      <c r="F124" s="49">
        <v>46191</v>
      </c>
      <c r="G124" s="49">
        <v>46282</v>
      </c>
      <c r="H124" s="50" t="s">
        <v>53</v>
      </c>
      <c r="I124" s="100">
        <v>280</v>
      </c>
      <c r="J124" s="52">
        <v>92.14</v>
      </c>
      <c r="K124" s="103" t="s">
        <v>1353</v>
      </c>
      <c r="L124" s="50" t="s">
        <v>54</v>
      </c>
      <c r="M124" s="54" t="str">
        <f>VLOOKUP(L124,Packaging!$B$3:$C$21,2,0)</f>
        <v>290 X 200 X 140</v>
      </c>
      <c r="N124" s="47"/>
      <c r="O124" s="100">
        <v>10</v>
      </c>
      <c r="P124" s="47" t="s">
        <v>55</v>
      </c>
      <c r="Q124" s="98" t="s">
        <v>1234</v>
      </c>
      <c r="R12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5" spans="1:18" ht="15.75" customHeight="1">
      <c r="A125" s="44" t="s">
        <v>430</v>
      </c>
      <c r="B125" s="45" t="s">
        <v>431</v>
      </c>
      <c r="C125" s="46" t="s">
        <v>432</v>
      </c>
      <c r="D125" s="47" t="s">
        <v>52</v>
      </c>
      <c r="E125" s="99">
        <v>80</v>
      </c>
      <c r="F125" s="49">
        <v>46191</v>
      </c>
      <c r="G125" s="49">
        <v>46282</v>
      </c>
      <c r="H125" s="50" t="s">
        <v>53</v>
      </c>
      <c r="I125" s="100">
        <v>280</v>
      </c>
      <c r="J125" s="52">
        <v>91.6</v>
      </c>
      <c r="K125" s="103" t="s">
        <v>1354</v>
      </c>
      <c r="L125" s="50" t="s">
        <v>54</v>
      </c>
      <c r="M125" s="54" t="str">
        <f>VLOOKUP(L125,Packaging!$B$3:$C$21,2,0)</f>
        <v>290 X 200 X 140</v>
      </c>
      <c r="N125" s="47"/>
      <c r="O125" s="100">
        <v>10</v>
      </c>
      <c r="P125" s="47" t="s">
        <v>55</v>
      </c>
      <c r="Q125" s="98" t="s">
        <v>1234</v>
      </c>
      <c r="R12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6" spans="1:18" ht="15.75" customHeight="1">
      <c r="A126" s="44" t="s">
        <v>433</v>
      </c>
      <c r="B126" s="45" t="s">
        <v>434</v>
      </c>
      <c r="C126" s="46" t="s">
        <v>435</v>
      </c>
      <c r="D126" s="47" t="s">
        <v>52</v>
      </c>
      <c r="E126" s="99">
        <v>32</v>
      </c>
      <c r="F126" s="49">
        <v>46191</v>
      </c>
      <c r="G126" s="49">
        <v>46282</v>
      </c>
      <c r="H126" s="50" t="s">
        <v>53</v>
      </c>
      <c r="I126" s="100">
        <v>378</v>
      </c>
      <c r="J126" s="52">
        <v>212.2</v>
      </c>
      <c r="K126" s="103" t="s">
        <v>1355</v>
      </c>
      <c r="L126" s="50" t="s">
        <v>91</v>
      </c>
      <c r="M126" s="54" t="str">
        <f>VLOOKUP(L126,Packaging!$B$3:$C$21,2,0)</f>
        <v>400 X 240 X 130</v>
      </c>
      <c r="N126" s="47"/>
      <c r="O126" s="100">
        <v>1</v>
      </c>
      <c r="P126" s="47" t="s">
        <v>55</v>
      </c>
      <c r="Q126" s="98" t="s">
        <v>1234</v>
      </c>
      <c r="R12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7" spans="1:18" ht="15.75" customHeight="1">
      <c r="A127" s="44" t="s">
        <v>436</v>
      </c>
      <c r="B127" s="45" t="s">
        <v>437</v>
      </c>
      <c r="C127" s="46" t="s">
        <v>438</v>
      </c>
      <c r="D127" s="47" t="s">
        <v>52</v>
      </c>
      <c r="E127" s="99">
        <v>32</v>
      </c>
      <c r="F127" s="49">
        <v>46191</v>
      </c>
      <c r="G127" s="49">
        <v>46282</v>
      </c>
      <c r="H127" s="50" t="s">
        <v>53</v>
      </c>
      <c r="I127" s="100">
        <v>378</v>
      </c>
      <c r="J127" s="52">
        <v>212.2</v>
      </c>
      <c r="K127" s="103" t="s">
        <v>1356</v>
      </c>
      <c r="L127" s="50" t="s">
        <v>91</v>
      </c>
      <c r="M127" s="54" t="str">
        <f>VLOOKUP(L127,Packaging!$B$3:$C$21,2,0)</f>
        <v>400 X 240 X 130</v>
      </c>
      <c r="N127" s="47"/>
      <c r="O127" s="100">
        <v>1</v>
      </c>
      <c r="P127" s="47" t="s">
        <v>55</v>
      </c>
      <c r="Q127" s="98" t="s">
        <v>1234</v>
      </c>
      <c r="R12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8" spans="1:18" ht="15.75" customHeight="1">
      <c r="A128" s="44" t="s">
        <v>439</v>
      </c>
      <c r="B128" s="45" t="s">
        <v>440</v>
      </c>
      <c r="C128" s="46" t="s">
        <v>441</v>
      </c>
      <c r="D128" s="47" t="s">
        <v>52</v>
      </c>
      <c r="E128" s="99">
        <v>160</v>
      </c>
      <c r="F128" s="49">
        <v>46191</v>
      </c>
      <c r="G128" s="49">
        <v>46282</v>
      </c>
      <c r="H128" s="50" t="s">
        <v>53</v>
      </c>
      <c r="I128" s="100">
        <v>278</v>
      </c>
      <c r="J128" s="52">
        <v>24.6</v>
      </c>
      <c r="K128" s="103" t="s">
        <v>1357</v>
      </c>
      <c r="L128" s="50" t="s">
        <v>161</v>
      </c>
      <c r="M128" s="54" t="str">
        <f>VLOOKUP(L128,Packaging!$B$3:$C$21,2,0)</f>
        <v>360 X 270 X 128</v>
      </c>
      <c r="N128" s="47"/>
      <c r="O128" s="100">
        <v>16</v>
      </c>
      <c r="P128" s="47" t="s">
        <v>55</v>
      </c>
      <c r="Q128" s="98" t="s">
        <v>1234</v>
      </c>
      <c r="R12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29" spans="1:18" ht="15.75" customHeight="1">
      <c r="A129" s="44" t="s">
        <v>442</v>
      </c>
      <c r="B129" s="47" t="s">
        <v>443</v>
      </c>
      <c r="C129" s="46" t="s">
        <v>444</v>
      </c>
      <c r="D129" s="47" t="s">
        <v>52</v>
      </c>
      <c r="E129" s="99">
        <v>500</v>
      </c>
      <c r="F129" s="49">
        <v>46191</v>
      </c>
      <c r="G129" s="49">
        <v>46282</v>
      </c>
      <c r="H129" s="50" t="s">
        <v>53</v>
      </c>
      <c r="I129" s="100">
        <v>280</v>
      </c>
      <c r="J129" s="52">
        <v>13.4</v>
      </c>
      <c r="K129" s="103" t="s">
        <v>1358</v>
      </c>
      <c r="L129" s="50" t="s">
        <v>54</v>
      </c>
      <c r="M129" s="54" t="str">
        <f>VLOOKUP(L129,Packaging!$B$3:$C$21,2,0)</f>
        <v>290 X 200 X 140</v>
      </c>
      <c r="N129" s="47"/>
      <c r="O129" s="100">
        <v>50</v>
      </c>
      <c r="P129" s="47" t="s">
        <v>55</v>
      </c>
      <c r="Q129" s="98" t="s">
        <v>1234</v>
      </c>
      <c r="R12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0" spans="1:18" ht="15.75" customHeight="1">
      <c r="A130" s="44" t="s">
        <v>445</v>
      </c>
      <c r="B130" s="45" t="s">
        <v>446</v>
      </c>
      <c r="C130" s="46" t="s">
        <v>447</v>
      </c>
      <c r="D130" s="47" t="s">
        <v>52</v>
      </c>
      <c r="E130" s="99">
        <v>40</v>
      </c>
      <c r="F130" s="49">
        <v>46191</v>
      </c>
      <c r="G130" s="49">
        <v>46282</v>
      </c>
      <c r="H130" s="50" t="s">
        <v>53</v>
      </c>
      <c r="I130" s="100">
        <v>378</v>
      </c>
      <c r="J130" s="52">
        <v>414.2</v>
      </c>
      <c r="K130" s="103" t="s">
        <v>1359</v>
      </c>
      <c r="L130" s="50" t="s">
        <v>91</v>
      </c>
      <c r="M130" s="54" t="str">
        <f>VLOOKUP(L130,Packaging!$B$3:$C$21,2,0)</f>
        <v>400 X 240 X 130</v>
      </c>
      <c r="N130" s="47"/>
      <c r="O130" s="100">
        <v>1</v>
      </c>
      <c r="P130" s="47" t="s">
        <v>55</v>
      </c>
      <c r="Q130" s="98" t="s">
        <v>1234</v>
      </c>
      <c r="R13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1" spans="1:18" ht="15.75" customHeight="1">
      <c r="A131" s="44" t="s">
        <v>448</v>
      </c>
      <c r="B131" s="47" t="s">
        <v>449</v>
      </c>
      <c r="C131" s="46" t="s">
        <v>450</v>
      </c>
      <c r="D131" s="47" t="s">
        <v>52</v>
      </c>
      <c r="E131" s="99">
        <v>40</v>
      </c>
      <c r="F131" s="49">
        <v>46191</v>
      </c>
      <c r="G131" s="49">
        <v>46282</v>
      </c>
      <c r="H131" s="50" t="s">
        <v>53</v>
      </c>
      <c r="I131" s="100">
        <v>378</v>
      </c>
      <c r="J131" s="52">
        <v>422.8</v>
      </c>
      <c r="K131" s="103" t="s">
        <v>1360</v>
      </c>
      <c r="L131" s="50" t="s">
        <v>91</v>
      </c>
      <c r="M131" s="54" t="str">
        <f>VLOOKUP(L131,Packaging!$B$3:$C$21,2,0)</f>
        <v>400 X 240 X 130</v>
      </c>
      <c r="N131" s="47"/>
      <c r="O131" s="100">
        <v>1</v>
      </c>
      <c r="P131" s="47" t="s">
        <v>55</v>
      </c>
      <c r="Q131" s="98" t="s">
        <v>1234</v>
      </c>
      <c r="R13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2" spans="1:18" ht="15.75" customHeight="1">
      <c r="A132" s="44" t="s">
        <v>451</v>
      </c>
      <c r="B132" s="45" t="s">
        <v>452</v>
      </c>
      <c r="C132" s="46" t="s">
        <v>453</v>
      </c>
      <c r="D132" s="47" t="s">
        <v>52</v>
      </c>
      <c r="E132" s="99">
        <v>40</v>
      </c>
      <c r="F132" s="49">
        <v>46191</v>
      </c>
      <c r="G132" s="49">
        <v>46282</v>
      </c>
      <c r="H132" s="50" t="s">
        <v>53</v>
      </c>
      <c r="I132" s="100">
        <v>378</v>
      </c>
      <c r="J132" s="52">
        <v>414.2</v>
      </c>
      <c r="K132" s="103" t="s">
        <v>1361</v>
      </c>
      <c r="L132" s="50" t="s">
        <v>91</v>
      </c>
      <c r="M132" s="54" t="str">
        <f>VLOOKUP(L132,Packaging!$B$3:$C$21,2,0)</f>
        <v>400 X 240 X 130</v>
      </c>
      <c r="N132" s="47"/>
      <c r="O132" s="100">
        <v>1</v>
      </c>
      <c r="P132" s="47" t="s">
        <v>55</v>
      </c>
      <c r="Q132" s="98" t="s">
        <v>1234</v>
      </c>
      <c r="R13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3" spans="1:18" ht="15.75" customHeight="1">
      <c r="A133" s="44" t="s">
        <v>454</v>
      </c>
      <c r="B133" s="47" t="s">
        <v>455</v>
      </c>
      <c r="C133" s="46" t="s">
        <v>456</v>
      </c>
      <c r="D133" s="47" t="s">
        <v>52</v>
      </c>
      <c r="E133" s="99">
        <v>40</v>
      </c>
      <c r="F133" s="49">
        <v>46191</v>
      </c>
      <c r="G133" s="49">
        <v>46282</v>
      </c>
      <c r="H133" s="50" t="s">
        <v>53</v>
      </c>
      <c r="I133" s="100">
        <v>378</v>
      </c>
      <c r="J133" s="52">
        <v>422.8</v>
      </c>
      <c r="K133" s="103" t="s">
        <v>1362</v>
      </c>
      <c r="L133" s="50" t="s">
        <v>91</v>
      </c>
      <c r="M133" s="54" t="str">
        <f>VLOOKUP(L133,Packaging!$B$3:$C$21,2,0)</f>
        <v>400 X 240 X 130</v>
      </c>
      <c r="N133" s="47"/>
      <c r="O133" s="100">
        <v>1</v>
      </c>
      <c r="P133" s="47" t="s">
        <v>55</v>
      </c>
      <c r="Q133" s="98" t="s">
        <v>1234</v>
      </c>
      <c r="R13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4" spans="1:18" ht="15.75" customHeight="1">
      <c r="A134" s="44" t="s">
        <v>457</v>
      </c>
      <c r="B134" s="45" t="s">
        <v>458</v>
      </c>
      <c r="C134" s="46" t="s">
        <v>459</v>
      </c>
      <c r="D134" s="47" t="s">
        <v>52</v>
      </c>
      <c r="E134" s="99">
        <v>1000</v>
      </c>
      <c r="F134" s="49">
        <v>46191</v>
      </c>
      <c r="G134" s="49">
        <v>46282</v>
      </c>
      <c r="H134" s="50" t="s">
        <v>53</v>
      </c>
      <c r="I134" s="100">
        <v>280</v>
      </c>
      <c r="J134" s="52">
        <v>33.6</v>
      </c>
      <c r="K134" s="103" t="s">
        <v>1363</v>
      </c>
      <c r="L134" s="50" t="s">
        <v>54</v>
      </c>
      <c r="M134" s="54" t="str">
        <f>VLOOKUP(L134,Packaging!$B$3:$C$21,2,0)</f>
        <v>290 X 200 X 140</v>
      </c>
      <c r="N134" s="47" t="s">
        <v>460</v>
      </c>
      <c r="O134" s="100">
        <v>20</v>
      </c>
      <c r="P134" s="47" t="s">
        <v>55</v>
      </c>
      <c r="Q134" s="98" t="s">
        <v>1234</v>
      </c>
      <c r="R13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5" spans="1:18" ht="15.75" customHeight="1">
      <c r="A135" s="44" t="s">
        <v>461</v>
      </c>
      <c r="B135" s="47" t="s">
        <v>462</v>
      </c>
      <c r="C135" s="46" t="s">
        <v>463</v>
      </c>
      <c r="D135" s="47" t="s">
        <v>52</v>
      </c>
      <c r="E135" s="99">
        <v>1000</v>
      </c>
      <c r="F135" s="49">
        <v>46191</v>
      </c>
      <c r="G135" s="49">
        <v>46282</v>
      </c>
      <c r="H135" s="50" t="s">
        <v>53</v>
      </c>
      <c r="I135" s="100">
        <v>280</v>
      </c>
      <c r="J135" s="52">
        <v>23.6</v>
      </c>
      <c r="K135" s="103" t="s">
        <v>1364</v>
      </c>
      <c r="L135" s="50" t="s">
        <v>54</v>
      </c>
      <c r="M135" s="54" t="str">
        <f>VLOOKUP(L135,Packaging!$B$3:$C$21,2,0)</f>
        <v>290 X 200 X 140</v>
      </c>
      <c r="N135" s="47"/>
      <c r="O135" s="100">
        <v>25</v>
      </c>
      <c r="P135" s="47" t="s">
        <v>55</v>
      </c>
      <c r="Q135" s="98" t="s">
        <v>1234</v>
      </c>
      <c r="R13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6" spans="1:18" ht="15.75" customHeight="1">
      <c r="A136" s="44" t="s">
        <v>464</v>
      </c>
      <c r="B136" s="47" t="s">
        <v>465</v>
      </c>
      <c r="C136" s="46" t="s">
        <v>466</v>
      </c>
      <c r="D136" s="47" t="s">
        <v>52</v>
      </c>
      <c r="E136" s="99">
        <v>1000</v>
      </c>
      <c r="F136" s="49">
        <v>46191</v>
      </c>
      <c r="G136" s="49">
        <v>46282</v>
      </c>
      <c r="H136" s="50" t="s">
        <v>53</v>
      </c>
      <c r="I136" s="100">
        <v>280</v>
      </c>
      <c r="J136" s="52">
        <v>21.6</v>
      </c>
      <c r="K136" s="103" t="s">
        <v>1365</v>
      </c>
      <c r="L136" s="50" t="s">
        <v>54</v>
      </c>
      <c r="M136" s="54" t="str">
        <f>VLOOKUP(L136,Packaging!$B$3:$C$21,2,0)</f>
        <v>290 X 200 X 140</v>
      </c>
      <c r="N136" s="47"/>
      <c r="O136" s="100">
        <v>25</v>
      </c>
      <c r="P136" s="47" t="s">
        <v>55</v>
      </c>
      <c r="Q136" s="98" t="s">
        <v>1234</v>
      </c>
      <c r="R13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7" spans="1:18" ht="15.75" customHeight="1">
      <c r="A137" s="44" t="s">
        <v>467</v>
      </c>
      <c r="B137" s="47" t="s">
        <v>468</v>
      </c>
      <c r="C137" s="46" t="s">
        <v>469</v>
      </c>
      <c r="D137" s="47" t="s">
        <v>52</v>
      </c>
      <c r="E137" s="99">
        <v>250</v>
      </c>
      <c r="F137" s="49">
        <v>46191</v>
      </c>
      <c r="G137" s="49">
        <v>46282</v>
      </c>
      <c r="H137" s="50" t="s">
        <v>53</v>
      </c>
      <c r="I137" s="100">
        <v>280</v>
      </c>
      <c r="J137" s="52">
        <v>62.4</v>
      </c>
      <c r="K137" s="103" t="s">
        <v>1366</v>
      </c>
      <c r="L137" s="50" t="s">
        <v>54</v>
      </c>
      <c r="M137" s="54" t="str">
        <f>VLOOKUP(L137,Packaging!$B$3:$C$21,2,0)</f>
        <v>290 X 200 X 140</v>
      </c>
      <c r="N137" s="47"/>
      <c r="O137" s="100">
        <v>25</v>
      </c>
      <c r="P137" s="47" t="s">
        <v>55</v>
      </c>
      <c r="Q137" s="98" t="s">
        <v>1234</v>
      </c>
      <c r="R13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8" spans="1:18" ht="15.75" customHeight="1">
      <c r="A138" s="44" t="s">
        <v>470</v>
      </c>
      <c r="B138" s="62" t="s">
        <v>471</v>
      </c>
      <c r="C138" s="57" t="s">
        <v>472</v>
      </c>
      <c r="D138" s="62" t="s">
        <v>52</v>
      </c>
      <c r="E138" s="99">
        <v>1000</v>
      </c>
      <c r="F138" s="49">
        <v>46191</v>
      </c>
      <c r="G138" s="49">
        <v>46282</v>
      </c>
      <c r="H138" s="50" t="s">
        <v>53</v>
      </c>
      <c r="I138" s="100">
        <v>280</v>
      </c>
      <c r="J138" s="52">
        <v>10.8</v>
      </c>
      <c r="K138" s="103" t="s">
        <v>1367</v>
      </c>
      <c r="L138" s="50" t="s">
        <v>54</v>
      </c>
      <c r="M138" s="54" t="str">
        <f>VLOOKUP(L138,Packaging!$B$3:$C$21,2,0)</f>
        <v>290 X 200 X 140</v>
      </c>
      <c r="N138" s="62"/>
      <c r="O138" s="100">
        <v>20</v>
      </c>
      <c r="P138" s="47" t="s">
        <v>55</v>
      </c>
      <c r="Q138" s="98" t="s">
        <v>1234</v>
      </c>
      <c r="R13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39" spans="1:18" ht="15.75" customHeight="1">
      <c r="A139" s="44" t="s">
        <v>473</v>
      </c>
      <c r="B139" s="47" t="s">
        <v>474</v>
      </c>
      <c r="C139" s="46" t="s">
        <v>475</v>
      </c>
      <c r="D139" s="47" t="s">
        <v>52</v>
      </c>
      <c r="E139" s="99">
        <v>450</v>
      </c>
      <c r="F139" s="49">
        <v>46191</v>
      </c>
      <c r="G139" s="49">
        <v>46282</v>
      </c>
      <c r="H139" s="50" t="s">
        <v>53</v>
      </c>
      <c r="I139" s="100">
        <v>244</v>
      </c>
      <c r="J139" s="52">
        <v>40.799999999999997</v>
      </c>
      <c r="K139" s="103" t="s">
        <v>1368</v>
      </c>
      <c r="L139" s="50" t="s">
        <v>274</v>
      </c>
      <c r="M139" s="54" t="str">
        <f>VLOOKUP(L139,Packaging!$B$3:$C$21,2,0)</f>
        <v>290 X 200 X 100</v>
      </c>
      <c r="N139" s="47"/>
      <c r="O139" s="100">
        <v>25</v>
      </c>
      <c r="P139" s="47" t="s">
        <v>55</v>
      </c>
      <c r="Q139" s="98" t="s">
        <v>1234</v>
      </c>
      <c r="R13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0" spans="1:18" ht="15.75" customHeight="1">
      <c r="A140" s="44" t="s">
        <v>476</v>
      </c>
      <c r="B140" s="47" t="s">
        <v>477</v>
      </c>
      <c r="C140" s="46" t="s">
        <v>478</v>
      </c>
      <c r="D140" s="47" t="s">
        <v>52</v>
      </c>
      <c r="E140" s="99">
        <v>450</v>
      </c>
      <c r="F140" s="49">
        <v>46191</v>
      </c>
      <c r="G140" s="49">
        <v>46282</v>
      </c>
      <c r="H140" s="50" t="s">
        <v>53</v>
      </c>
      <c r="I140" s="100">
        <v>244</v>
      </c>
      <c r="J140" s="52">
        <v>40.799999999999997</v>
      </c>
      <c r="K140" s="103" t="s">
        <v>1369</v>
      </c>
      <c r="L140" s="50" t="s">
        <v>274</v>
      </c>
      <c r="M140" s="54" t="str">
        <f>VLOOKUP(L140,Packaging!$B$3:$C$21,2,0)</f>
        <v>290 X 200 X 100</v>
      </c>
      <c r="N140" s="47"/>
      <c r="O140" s="100">
        <v>25</v>
      </c>
      <c r="P140" s="47" t="s">
        <v>55</v>
      </c>
      <c r="Q140" s="98" t="s">
        <v>1234</v>
      </c>
      <c r="R14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1" spans="1:18" ht="15.75" customHeight="1">
      <c r="A141" s="44" t="s">
        <v>479</v>
      </c>
      <c r="B141" s="47" t="s">
        <v>480</v>
      </c>
      <c r="C141" s="46" t="s">
        <v>481</v>
      </c>
      <c r="D141" s="47" t="s">
        <v>52</v>
      </c>
      <c r="E141" s="99">
        <v>1000</v>
      </c>
      <c r="F141" s="49">
        <v>46191</v>
      </c>
      <c r="G141" s="49">
        <v>46282</v>
      </c>
      <c r="H141" s="50" t="s">
        <v>53</v>
      </c>
      <c r="I141" s="100">
        <v>280</v>
      </c>
      <c r="J141" s="52">
        <v>101.8</v>
      </c>
      <c r="K141" s="103" t="s">
        <v>1370</v>
      </c>
      <c r="L141" s="50" t="s">
        <v>54</v>
      </c>
      <c r="M141" s="54" t="str">
        <f>VLOOKUP(L141,Packaging!$B$3:$C$21,2,0)</f>
        <v>290 X 200 X 140</v>
      </c>
      <c r="N141" s="47"/>
      <c r="O141" s="100">
        <v>10</v>
      </c>
      <c r="P141" s="47" t="s">
        <v>55</v>
      </c>
      <c r="Q141" s="98" t="s">
        <v>1234</v>
      </c>
      <c r="R14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2" spans="1:18" ht="15.75" customHeight="1">
      <c r="A142" s="44" t="s">
        <v>482</v>
      </c>
      <c r="B142" s="45" t="s">
        <v>483</v>
      </c>
      <c r="C142" s="46" t="s">
        <v>484</v>
      </c>
      <c r="D142" s="47" t="s">
        <v>52</v>
      </c>
      <c r="E142" s="99">
        <v>56</v>
      </c>
      <c r="F142" s="49">
        <v>46191</v>
      </c>
      <c r="G142" s="49">
        <v>46282</v>
      </c>
      <c r="H142" s="50" t="s">
        <v>53</v>
      </c>
      <c r="I142" s="100">
        <v>280</v>
      </c>
      <c r="J142" s="52">
        <v>72</v>
      </c>
      <c r="K142" s="103" t="s">
        <v>1371</v>
      </c>
      <c r="L142" s="50" t="s">
        <v>54</v>
      </c>
      <c r="M142" s="54" t="str">
        <f>VLOOKUP(L142,Packaging!$B$3:$C$21,2,0)</f>
        <v>290 X 200 X 140</v>
      </c>
      <c r="N142" s="47"/>
      <c r="O142" s="100">
        <v>7</v>
      </c>
      <c r="P142" s="47" t="s">
        <v>55</v>
      </c>
      <c r="Q142" s="98" t="s">
        <v>1234</v>
      </c>
      <c r="R14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3" spans="1:18" ht="15.75" customHeight="1">
      <c r="A143" s="44" t="s">
        <v>485</v>
      </c>
      <c r="B143" s="45" t="s">
        <v>486</v>
      </c>
      <c r="C143" s="46" t="s">
        <v>487</v>
      </c>
      <c r="D143" s="47" t="s">
        <v>52</v>
      </c>
      <c r="E143" s="99">
        <v>2000</v>
      </c>
      <c r="F143" s="49">
        <v>46191</v>
      </c>
      <c r="G143" s="49">
        <v>46282</v>
      </c>
      <c r="H143" s="50" t="s">
        <v>53</v>
      </c>
      <c r="I143" s="100">
        <v>280</v>
      </c>
      <c r="J143" s="52">
        <v>0.2</v>
      </c>
      <c r="K143" s="103" t="s">
        <v>1372</v>
      </c>
      <c r="L143" s="50" t="s">
        <v>54</v>
      </c>
      <c r="M143" s="54" t="str">
        <f>VLOOKUP(L143,Packaging!$B$3:$C$21,2,0)</f>
        <v>290 X 200 X 140</v>
      </c>
      <c r="N143" s="47"/>
      <c r="O143" s="100">
        <v>100</v>
      </c>
      <c r="P143" s="47" t="s">
        <v>55</v>
      </c>
      <c r="Q143" s="98" t="s">
        <v>1234</v>
      </c>
      <c r="R14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4" spans="1:18" ht="15.75" customHeight="1">
      <c r="A144" s="44" t="s">
        <v>488</v>
      </c>
      <c r="B144" s="45" t="s">
        <v>489</v>
      </c>
      <c r="C144" s="46" t="s">
        <v>490</v>
      </c>
      <c r="D144" s="47" t="s">
        <v>52</v>
      </c>
      <c r="E144" s="99">
        <v>60</v>
      </c>
      <c r="F144" s="49">
        <v>46191</v>
      </c>
      <c r="G144" s="49">
        <v>46282</v>
      </c>
      <c r="H144" s="50" t="s">
        <v>53</v>
      </c>
      <c r="I144" s="100">
        <v>244</v>
      </c>
      <c r="J144" s="52">
        <v>224.8</v>
      </c>
      <c r="K144" s="103" t="s">
        <v>1373</v>
      </c>
      <c r="L144" s="50" t="s">
        <v>274</v>
      </c>
      <c r="M144" s="54" t="str">
        <f>VLOOKUP(L144,Packaging!$B$3:$C$21,2,0)</f>
        <v>290 X 200 X 100</v>
      </c>
      <c r="N144" s="47"/>
      <c r="O144" s="100">
        <v>1</v>
      </c>
      <c r="P144" s="47" t="s">
        <v>55</v>
      </c>
      <c r="Q144" s="98" t="s">
        <v>1234</v>
      </c>
      <c r="R14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5" spans="1:18" ht="15.75" customHeight="1">
      <c r="A145" s="44" t="s">
        <v>491</v>
      </c>
      <c r="B145" s="45" t="s">
        <v>492</v>
      </c>
      <c r="C145" s="46" t="s">
        <v>493</v>
      </c>
      <c r="D145" s="47" t="s">
        <v>52</v>
      </c>
      <c r="E145" s="99">
        <v>450</v>
      </c>
      <c r="F145" s="49">
        <v>46191</v>
      </c>
      <c r="G145" s="49">
        <v>46282</v>
      </c>
      <c r="H145" s="50" t="s">
        <v>53</v>
      </c>
      <c r="I145" s="100">
        <v>280</v>
      </c>
      <c r="J145" s="52">
        <v>40.200000000000003</v>
      </c>
      <c r="K145" s="103" t="s">
        <v>1374</v>
      </c>
      <c r="L145" s="50" t="s">
        <v>54</v>
      </c>
      <c r="M145" s="54" t="str">
        <f>VLOOKUP(L145,Packaging!$B$3:$C$21,2,0)</f>
        <v>290 X 200 X 140</v>
      </c>
      <c r="N145" s="47"/>
      <c r="O145" s="100">
        <v>75</v>
      </c>
      <c r="P145" s="47" t="s">
        <v>55</v>
      </c>
      <c r="Q145" s="98" t="s">
        <v>1234</v>
      </c>
      <c r="R14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6" spans="1:18" ht="15.75" customHeight="1">
      <c r="A146" s="44" t="s">
        <v>494</v>
      </c>
      <c r="B146" s="45" t="s">
        <v>495</v>
      </c>
      <c r="C146" s="46" t="s">
        <v>496</v>
      </c>
      <c r="D146" s="47" t="s">
        <v>52</v>
      </c>
      <c r="E146" s="99">
        <v>40</v>
      </c>
      <c r="F146" s="49">
        <v>46191</v>
      </c>
      <c r="G146" s="49">
        <v>46282</v>
      </c>
      <c r="H146" s="50" t="s">
        <v>53</v>
      </c>
      <c r="I146" s="100">
        <v>278</v>
      </c>
      <c r="J146" s="52">
        <v>106.8</v>
      </c>
      <c r="K146" s="103" t="s">
        <v>1375</v>
      </c>
      <c r="L146" s="50" t="s">
        <v>161</v>
      </c>
      <c r="M146" s="54" t="str">
        <f>VLOOKUP(L146,Packaging!$B$3:$C$21,2,0)</f>
        <v>360 X 270 X 128</v>
      </c>
      <c r="N146" s="47"/>
      <c r="O146" s="100">
        <v>1</v>
      </c>
      <c r="P146" s="47" t="s">
        <v>55</v>
      </c>
      <c r="Q146" s="98" t="s">
        <v>1234</v>
      </c>
      <c r="R14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7" spans="1:18" ht="15.75" customHeight="1">
      <c r="A147" s="44" t="s">
        <v>497</v>
      </c>
      <c r="B147" s="45" t="s">
        <v>498</v>
      </c>
      <c r="C147" s="46" t="s">
        <v>499</v>
      </c>
      <c r="D147" s="47" t="s">
        <v>52</v>
      </c>
      <c r="E147" s="99">
        <v>200</v>
      </c>
      <c r="F147" s="49">
        <v>46191</v>
      </c>
      <c r="G147" s="49">
        <v>46282</v>
      </c>
      <c r="H147" s="50" t="s">
        <v>53</v>
      </c>
      <c r="I147" s="100">
        <v>278</v>
      </c>
      <c r="J147" s="52">
        <v>72</v>
      </c>
      <c r="K147" s="103" t="s">
        <v>1376</v>
      </c>
      <c r="L147" s="50" t="s">
        <v>161</v>
      </c>
      <c r="M147" s="54" t="str">
        <f>VLOOKUP(L147,Packaging!$B$3:$C$21,2,0)</f>
        <v>360 X 270 X 128</v>
      </c>
      <c r="N147" s="47"/>
      <c r="O147" s="100">
        <v>10</v>
      </c>
      <c r="P147" s="47" t="s">
        <v>55</v>
      </c>
      <c r="Q147" s="98" t="s">
        <v>1234</v>
      </c>
      <c r="R14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8" spans="1:18" ht="15.75" customHeight="1">
      <c r="A148" s="44" t="s">
        <v>500</v>
      </c>
      <c r="B148" s="45" t="s">
        <v>501</v>
      </c>
      <c r="C148" s="46" t="s">
        <v>502</v>
      </c>
      <c r="D148" s="47" t="s">
        <v>52</v>
      </c>
      <c r="E148" s="99">
        <v>750</v>
      </c>
      <c r="F148" s="49">
        <v>46191</v>
      </c>
      <c r="G148" s="49">
        <v>46282</v>
      </c>
      <c r="H148" s="50" t="s">
        <v>53</v>
      </c>
      <c r="I148" s="100">
        <v>280</v>
      </c>
      <c r="J148" s="52">
        <v>11.2</v>
      </c>
      <c r="K148" s="103" t="s">
        <v>1377</v>
      </c>
      <c r="L148" s="50" t="s">
        <v>54</v>
      </c>
      <c r="M148" s="54" t="str">
        <f>VLOOKUP(L148,Packaging!$B$3:$C$21,2,0)</f>
        <v>290 X 200 X 140</v>
      </c>
      <c r="N148" s="47"/>
      <c r="O148" s="100">
        <v>50</v>
      </c>
      <c r="P148" s="47" t="s">
        <v>55</v>
      </c>
      <c r="Q148" s="98" t="s">
        <v>1234</v>
      </c>
      <c r="R14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49" spans="1:18" ht="15.75" customHeight="1">
      <c r="A149" s="44" t="s">
        <v>503</v>
      </c>
      <c r="B149" s="45" t="s">
        <v>504</v>
      </c>
      <c r="C149" s="46" t="s">
        <v>505</v>
      </c>
      <c r="D149" s="47" t="s">
        <v>52</v>
      </c>
      <c r="E149" s="99">
        <v>800</v>
      </c>
      <c r="F149" s="49">
        <v>46191</v>
      </c>
      <c r="G149" s="49">
        <v>46282</v>
      </c>
      <c r="H149" s="50" t="s">
        <v>53</v>
      </c>
      <c r="I149" s="100">
        <v>280</v>
      </c>
      <c r="J149" s="52">
        <v>10.8</v>
      </c>
      <c r="K149" s="103" t="s">
        <v>1378</v>
      </c>
      <c r="L149" s="50" t="s">
        <v>54</v>
      </c>
      <c r="M149" s="54" t="str">
        <f>VLOOKUP(L149,Packaging!$B$3:$C$21,2,0)</f>
        <v>290 X 200 X 140</v>
      </c>
      <c r="N149" s="47"/>
      <c r="O149" s="100">
        <v>100</v>
      </c>
      <c r="P149" s="47" t="s">
        <v>55</v>
      </c>
      <c r="Q149" s="98" t="s">
        <v>1234</v>
      </c>
      <c r="R14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0" spans="1:18" ht="15.75" customHeight="1">
      <c r="A150" s="44" t="s">
        <v>506</v>
      </c>
      <c r="B150" s="45" t="s">
        <v>507</v>
      </c>
      <c r="C150" s="46" t="s">
        <v>508</v>
      </c>
      <c r="D150" s="47" t="s">
        <v>52</v>
      </c>
      <c r="E150" s="99">
        <v>400</v>
      </c>
      <c r="F150" s="49">
        <v>46191</v>
      </c>
      <c r="G150" s="49">
        <v>46282</v>
      </c>
      <c r="H150" s="50" t="s">
        <v>53</v>
      </c>
      <c r="I150" s="100">
        <v>280</v>
      </c>
      <c r="J150" s="52">
        <v>28.6</v>
      </c>
      <c r="K150" s="103" t="s">
        <v>1379</v>
      </c>
      <c r="L150" s="50" t="s">
        <v>54</v>
      </c>
      <c r="M150" s="54" t="str">
        <f>VLOOKUP(L150,Packaging!$B$3:$C$21,2,0)</f>
        <v>290 X 200 X 140</v>
      </c>
      <c r="N150" s="47"/>
      <c r="O150" s="100">
        <v>50</v>
      </c>
      <c r="P150" s="47" t="s">
        <v>55</v>
      </c>
      <c r="Q150" s="98" t="s">
        <v>1234</v>
      </c>
      <c r="R15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1" spans="1:18" ht="15.75" customHeight="1">
      <c r="A151" s="44" t="s">
        <v>509</v>
      </c>
      <c r="B151" s="45" t="s">
        <v>510</v>
      </c>
      <c r="C151" s="46" t="s">
        <v>511</v>
      </c>
      <c r="D151" s="47" t="s">
        <v>52</v>
      </c>
      <c r="E151" s="99">
        <v>60</v>
      </c>
      <c r="F151" s="49">
        <v>46191</v>
      </c>
      <c r="G151" s="49">
        <v>46282</v>
      </c>
      <c r="H151" s="50" t="s">
        <v>53</v>
      </c>
      <c r="I151" s="100">
        <v>280</v>
      </c>
      <c r="J151" s="52">
        <v>261.39999999999998</v>
      </c>
      <c r="K151" s="103" t="s">
        <v>1380</v>
      </c>
      <c r="L151" s="50" t="s">
        <v>54</v>
      </c>
      <c r="M151" s="54" t="str">
        <f>VLOOKUP(L151,Packaging!$B$3:$C$21,2,0)</f>
        <v>290 X 200 X 140</v>
      </c>
      <c r="N151" s="47"/>
      <c r="O151" s="100">
        <v>1</v>
      </c>
      <c r="P151" s="47" t="s">
        <v>55</v>
      </c>
      <c r="Q151" s="98" t="s">
        <v>1234</v>
      </c>
      <c r="R15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2" spans="1:18" ht="15.75" customHeight="1">
      <c r="A152" s="44" t="s">
        <v>512</v>
      </c>
      <c r="B152" s="45" t="s">
        <v>513</v>
      </c>
      <c r="C152" s="46" t="s">
        <v>514</v>
      </c>
      <c r="D152" s="47" t="s">
        <v>52</v>
      </c>
      <c r="E152" s="99">
        <v>22</v>
      </c>
      <c r="F152" s="49">
        <v>46191</v>
      </c>
      <c r="G152" s="49">
        <v>46282</v>
      </c>
      <c r="H152" s="50" t="s">
        <v>53</v>
      </c>
      <c r="I152" s="100">
        <v>430</v>
      </c>
      <c r="J152" s="52">
        <v>700.8</v>
      </c>
      <c r="K152" s="103" t="s">
        <v>1381</v>
      </c>
      <c r="L152" s="50" t="s">
        <v>83</v>
      </c>
      <c r="M152" s="54" t="str">
        <f>VLOOKUP(L152,Packaging!$B$3:$C$21,2,0)</f>
        <v>560 X 175 X 155</v>
      </c>
      <c r="N152" s="47"/>
      <c r="O152" s="100">
        <v>1</v>
      </c>
      <c r="P152" s="47" t="s">
        <v>55</v>
      </c>
      <c r="Q152" s="98" t="s">
        <v>1234</v>
      </c>
      <c r="R15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3" spans="1:18" ht="15.75" customHeight="1">
      <c r="A153" s="44" t="s">
        <v>515</v>
      </c>
      <c r="B153" s="45" t="s">
        <v>516</v>
      </c>
      <c r="C153" s="46" t="s">
        <v>517</v>
      </c>
      <c r="D153" s="47" t="s">
        <v>52</v>
      </c>
      <c r="E153" s="99">
        <v>16</v>
      </c>
      <c r="F153" s="49">
        <v>46191</v>
      </c>
      <c r="G153" s="49">
        <v>46282</v>
      </c>
      <c r="H153" s="50" t="s">
        <v>53</v>
      </c>
      <c r="I153" s="100">
        <v>430</v>
      </c>
      <c r="J153" s="52">
        <v>896.4</v>
      </c>
      <c r="K153" s="103" t="s">
        <v>1382</v>
      </c>
      <c r="L153" s="50" t="s">
        <v>83</v>
      </c>
      <c r="M153" s="54" t="str">
        <f>VLOOKUP(L153,Packaging!$B$3:$C$21,2,0)</f>
        <v>560 X 175 X 155</v>
      </c>
      <c r="N153" s="47"/>
      <c r="O153" s="100">
        <v>1</v>
      </c>
      <c r="P153" s="47" t="s">
        <v>55</v>
      </c>
      <c r="Q153" s="98" t="s">
        <v>1234</v>
      </c>
      <c r="R15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4" spans="1:18" ht="15.75" customHeight="1">
      <c r="A154" s="44" t="s">
        <v>518</v>
      </c>
      <c r="B154" s="45" t="s">
        <v>519</v>
      </c>
      <c r="C154" s="46" t="s">
        <v>520</v>
      </c>
      <c r="D154" s="47" t="s">
        <v>52</v>
      </c>
      <c r="E154" s="99">
        <v>22</v>
      </c>
      <c r="F154" s="49">
        <v>46191</v>
      </c>
      <c r="G154" s="49">
        <v>46282</v>
      </c>
      <c r="H154" s="50" t="s">
        <v>53</v>
      </c>
      <c r="I154" s="100">
        <v>430</v>
      </c>
      <c r="J154" s="52">
        <v>450</v>
      </c>
      <c r="K154" s="103" t="s">
        <v>1383</v>
      </c>
      <c r="L154" s="50" t="s">
        <v>83</v>
      </c>
      <c r="M154" s="54" t="str">
        <f>VLOOKUP(L154,Packaging!$B$3:$C$21,2,0)</f>
        <v>560 X 175 X 155</v>
      </c>
      <c r="N154" s="47"/>
      <c r="O154" s="100">
        <v>1</v>
      </c>
      <c r="P154" s="47" t="s">
        <v>55</v>
      </c>
      <c r="Q154" s="98" t="s">
        <v>1234</v>
      </c>
      <c r="R15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5" spans="1:18" ht="15.75" customHeight="1">
      <c r="A155" s="44" t="s">
        <v>521</v>
      </c>
      <c r="B155" s="45" t="s">
        <v>522</v>
      </c>
      <c r="C155" s="46" t="s">
        <v>523</v>
      </c>
      <c r="D155" s="47" t="s">
        <v>52</v>
      </c>
      <c r="E155" s="99">
        <v>250</v>
      </c>
      <c r="F155" s="49">
        <v>46191</v>
      </c>
      <c r="G155" s="49">
        <v>46282</v>
      </c>
      <c r="H155" s="50" t="s">
        <v>53</v>
      </c>
      <c r="I155" s="100">
        <v>280</v>
      </c>
      <c r="J155" s="52">
        <v>34.6</v>
      </c>
      <c r="K155" s="103" t="s">
        <v>1384</v>
      </c>
      <c r="L155" s="50" t="s">
        <v>54</v>
      </c>
      <c r="M155" s="54" t="str">
        <f>VLOOKUP(L155,Packaging!$B$3:$C$21,2,0)</f>
        <v>290 X 200 X 140</v>
      </c>
      <c r="N155" s="47"/>
      <c r="O155" s="100">
        <v>5</v>
      </c>
      <c r="P155" s="47" t="s">
        <v>55</v>
      </c>
      <c r="Q155" s="98" t="s">
        <v>1234</v>
      </c>
      <c r="R15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6" spans="1:18" ht="15.75" customHeight="1">
      <c r="A156" s="44" t="s">
        <v>524</v>
      </c>
      <c r="B156" s="45" t="s">
        <v>525</v>
      </c>
      <c r="C156" s="46" t="s">
        <v>526</v>
      </c>
      <c r="D156" s="47" t="s">
        <v>52</v>
      </c>
      <c r="E156" s="99">
        <v>80</v>
      </c>
      <c r="F156" s="49">
        <v>46191</v>
      </c>
      <c r="G156" s="49">
        <v>46282</v>
      </c>
      <c r="H156" s="50" t="s">
        <v>53</v>
      </c>
      <c r="I156" s="100">
        <v>278</v>
      </c>
      <c r="J156" s="52">
        <v>45</v>
      </c>
      <c r="K156" s="103" t="s">
        <v>1385</v>
      </c>
      <c r="L156" s="50" t="s">
        <v>161</v>
      </c>
      <c r="M156" s="54" t="str">
        <f>VLOOKUP(L156,Packaging!$B$3:$C$21,2,0)</f>
        <v>360 X 270 X 128</v>
      </c>
      <c r="N156" s="47"/>
      <c r="O156" s="100">
        <v>8</v>
      </c>
      <c r="P156" s="47" t="s">
        <v>55</v>
      </c>
      <c r="Q156" s="98" t="s">
        <v>1234</v>
      </c>
      <c r="R15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7" spans="1:18" ht="15.75" customHeight="1">
      <c r="A157" s="44" t="s">
        <v>527</v>
      </c>
      <c r="B157" s="45" t="s">
        <v>528</v>
      </c>
      <c r="C157" s="46" t="s">
        <v>529</v>
      </c>
      <c r="D157" s="47" t="s">
        <v>52</v>
      </c>
      <c r="E157" s="99">
        <v>200</v>
      </c>
      <c r="F157" s="49">
        <v>46191</v>
      </c>
      <c r="G157" s="49">
        <v>46282</v>
      </c>
      <c r="H157" s="50" t="s">
        <v>53</v>
      </c>
      <c r="I157" s="100">
        <v>378</v>
      </c>
      <c r="J157" s="52">
        <v>50</v>
      </c>
      <c r="K157" s="103" t="s">
        <v>1386</v>
      </c>
      <c r="L157" s="50" t="s">
        <v>91</v>
      </c>
      <c r="M157" s="54" t="str">
        <f>VLOOKUP(L157,Packaging!$B$3:$C$21,2,0)</f>
        <v>400 X 240 X 130</v>
      </c>
      <c r="N157" s="47"/>
      <c r="O157" s="100">
        <v>5</v>
      </c>
      <c r="P157" s="47" t="s">
        <v>55</v>
      </c>
      <c r="Q157" s="98" t="s">
        <v>1234</v>
      </c>
      <c r="R15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8" spans="1:18" ht="15.75" customHeight="1">
      <c r="A158" s="44" t="s">
        <v>530</v>
      </c>
      <c r="B158" s="45" t="s">
        <v>531</v>
      </c>
      <c r="C158" s="46" t="s">
        <v>532</v>
      </c>
      <c r="D158" s="47" t="s">
        <v>52</v>
      </c>
      <c r="E158" s="99">
        <v>70</v>
      </c>
      <c r="F158" s="49">
        <v>46191</v>
      </c>
      <c r="G158" s="49">
        <v>46282</v>
      </c>
      <c r="H158" s="50" t="s">
        <v>53</v>
      </c>
      <c r="I158" s="100">
        <v>280</v>
      </c>
      <c r="J158" s="52">
        <v>178.2</v>
      </c>
      <c r="K158" s="103" t="s">
        <v>1387</v>
      </c>
      <c r="L158" s="50" t="s">
        <v>54</v>
      </c>
      <c r="M158" s="54" t="str">
        <f>VLOOKUP(L158,Packaging!$B$3:$C$21,2,0)</f>
        <v>290 X 200 X 140</v>
      </c>
      <c r="N158" s="47"/>
      <c r="O158" s="100">
        <v>1</v>
      </c>
      <c r="P158" s="47" t="s">
        <v>55</v>
      </c>
      <c r="Q158" s="98" t="s">
        <v>1234</v>
      </c>
      <c r="R15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59" spans="1:18" ht="15.75" customHeight="1">
      <c r="A159" s="44" t="s">
        <v>533</v>
      </c>
      <c r="B159" s="45" t="s">
        <v>534</v>
      </c>
      <c r="C159" s="46" t="s">
        <v>535</v>
      </c>
      <c r="D159" s="47" t="s">
        <v>52</v>
      </c>
      <c r="E159" s="99">
        <v>24</v>
      </c>
      <c r="F159" s="49">
        <v>46191</v>
      </c>
      <c r="G159" s="49">
        <v>46282</v>
      </c>
      <c r="H159" s="50" t="s">
        <v>53</v>
      </c>
      <c r="I159" s="100">
        <v>278</v>
      </c>
      <c r="J159" s="52">
        <v>90</v>
      </c>
      <c r="K159" s="103" t="s">
        <v>1388</v>
      </c>
      <c r="L159" s="50" t="s">
        <v>161</v>
      </c>
      <c r="M159" s="54" t="str">
        <f>VLOOKUP(L159,Packaging!$B$3:$C$21,2,0)</f>
        <v>360 X 270 X 128</v>
      </c>
      <c r="N159" s="47"/>
      <c r="O159" s="100">
        <v>1</v>
      </c>
      <c r="P159" s="47" t="s">
        <v>55</v>
      </c>
      <c r="Q159" s="98" t="s">
        <v>1234</v>
      </c>
      <c r="R15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0" spans="1:18" ht="15.75" customHeight="1">
      <c r="A160" s="44" t="s">
        <v>536</v>
      </c>
      <c r="B160" s="45" t="s">
        <v>537</v>
      </c>
      <c r="C160" s="46" t="s">
        <v>538</v>
      </c>
      <c r="D160" s="47" t="s">
        <v>52</v>
      </c>
      <c r="E160" s="99">
        <v>44</v>
      </c>
      <c r="F160" s="49">
        <v>46191</v>
      </c>
      <c r="G160" s="49">
        <v>46282</v>
      </c>
      <c r="H160" s="50" t="s">
        <v>53</v>
      </c>
      <c r="I160" s="100">
        <v>378</v>
      </c>
      <c r="J160" s="52">
        <v>129.6</v>
      </c>
      <c r="K160" s="103" t="s">
        <v>1389</v>
      </c>
      <c r="L160" s="50" t="s">
        <v>91</v>
      </c>
      <c r="M160" s="54" t="str">
        <f>VLOOKUP(L160,Packaging!$B$3:$C$21,2,0)</f>
        <v>400 X 240 X 130</v>
      </c>
      <c r="N160" s="47"/>
      <c r="O160" s="100">
        <v>4</v>
      </c>
      <c r="P160" s="47" t="s">
        <v>55</v>
      </c>
      <c r="Q160" s="98" t="s">
        <v>1234</v>
      </c>
      <c r="R160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1" spans="1:18" ht="15.75" customHeight="1">
      <c r="A161" s="44" t="s">
        <v>539</v>
      </c>
      <c r="B161" s="45" t="s">
        <v>540</v>
      </c>
      <c r="C161" s="46" t="s">
        <v>541</v>
      </c>
      <c r="D161" s="47" t="s">
        <v>52</v>
      </c>
      <c r="E161" s="99">
        <v>200</v>
      </c>
      <c r="F161" s="49">
        <v>46191</v>
      </c>
      <c r="G161" s="49">
        <v>46282</v>
      </c>
      <c r="H161" s="50" t="s">
        <v>53</v>
      </c>
      <c r="I161" s="100">
        <v>280</v>
      </c>
      <c r="J161" s="52">
        <v>20.399999999999999</v>
      </c>
      <c r="K161" s="103" t="s">
        <v>1390</v>
      </c>
      <c r="L161" s="50" t="s">
        <v>54</v>
      </c>
      <c r="M161" s="54" t="str">
        <f>VLOOKUP(L161,Packaging!$B$3:$C$21,2,0)</f>
        <v>290 X 200 X 140</v>
      </c>
      <c r="N161" s="47"/>
      <c r="O161" s="100">
        <v>10</v>
      </c>
      <c r="P161" s="47" t="s">
        <v>55</v>
      </c>
      <c r="Q161" s="98" t="s">
        <v>1234</v>
      </c>
      <c r="R161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2" spans="1:18" ht="15.75" customHeight="1">
      <c r="A162" s="44" t="s">
        <v>542</v>
      </c>
      <c r="B162" s="45" t="s">
        <v>543</v>
      </c>
      <c r="C162" s="46" t="s">
        <v>544</v>
      </c>
      <c r="D162" s="47" t="s">
        <v>52</v>
      </c>
      <c r="E162" s="99">
        <v>40</v>
      </c>
      <c r="F162" s="49">
        <v>46191</v>
      </c>
      <c r="G162" s="49">
        <v>46282</v>
      </c>
      <c r="H162" s="50" t="s">
        <v>53</v>
      </c>
      <c r="I162" s="100">
        <v>378</v>
      </c>
      <c r="J162" s="52">
        <v>253.2</v>
      </c>
      <c r="K162" s="103" t="s">
        <v>1391</v>
      </c>
      <c r="L162" s="50" t="s">
        <v>91</v>
      </c>
      <c r="M162" s="54" t="str">
        <f>VLOOKUP(L162,Packaging!$B$3:$C$21,2,0)</f>
        <v>400 X 240 X 130</v>
      </c>
      <c r="N162" s="47"/>
      <c r="O162" s="100">
        <v>4</v>
      </c>
      <c r="P162" s="47" t="s">
        <v>55</v>
      </c>
      <c r="Q162" s="98" t="s">
        <v>1234</v>
      </c>
      <c r="R16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3" spans="1:18" ht="15.75" customHeight="1">
      <c r="A163" s="44" t="s">
        <v>545</v>
      </c>
      <c r="B163" s="47" t="s">
        <v>546</v>
      </c>
      <c r="C163" s="46" t="s">
        <v>547</v>
      </c>
      <c r="D163" s="47" t="s">
        <v>52</v>
      </c>
      <c r="E163" s="99">
        <v>140</v>
      </c>
      <c r="F163" s="49">
        <v>46191</v>
      </c>
      <c r="G163" s="49">
        <v>46282</v>
      </c>
      <c r="H163" s="50" t="s">
        <v>53</v>
      </c>
      <c r="I163" s="100">
        <v>280</v>
      </c>
      <c r="J163" s="52">
        <v>18.2</v>
      </c>
      <c r="K163" s="103" t="s">
        <v>1392</v>
      </c>
      <c r="L163" s="50" t="s">
        <v>54</v>
      </c>
      <c r="M163" s="54" t="str">
        <f>VLOOKUP(L163,Packaging!$B$3:$C$21,2,0)</f>
        <v>290 X 200 X 140</v>
      </c>
      <c r="N163" s="47"/>
      <c r="O163" s="100">
        <v>2</v>
      </c>
      <c r="P163" s="47" t="s">
        <v>55</v>
      </c>
      <c r="Q163" s="98" t="s">
        <v>1234</v>
      </c>
      <c r="R163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4" spans="1:18" ht="15.75" customHeight="1">
      <c r="A164" s="44" t="s">
        <v>548</v>
      </c>
      <c r="B164" s="47" t="s">
        <v>549</v>
      </c>
      <c r="C164" s="46" t="s">
        <v>550</v>
      </c>
      <c r="D164" s="47" t="s">
        <v>52</v>
      </c>
      <c r="E164" s="99">
        <v>140</v>
      </c>
      <c r="F164" s="49">
        <v>46191</v>
      </c>
      <c r="G164" s="49">
        <v>46282</v>
      </c>
      <c r="H164" s="50" t="s">
        <v>53</v>
      </c>
      <c r="I164" s="100">
        <v>280</v>
      </c>
      <c r="J164" s="52">
        <v>18</v>
      </c>
      <c r="K164" s="103" t="s">
        <v>1393</v>
      </c>
      <c r="L164" s="50" t="s">
        <v>54</v>
      </c>
      <c r="M164" s="54" t="str">
        <f>VLOOKUP(L164,Packaging!$B$3:$C$21,2,0)</f>
        <v>290 X 200 X 140</v>
      </c>
      <c r="N164" s="47"/>
      <c r="O164" s="100">
        <v>2</v>
      </c>
      <c r="P164" s="47" t="s">
        <v>55</v>
      </c>
      <c r="Q164" s="98" t="s">
        <v>1234</v>
      </c>
      <c r="R164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5" spans="1:18" ht="15.75" customHeight="1">
      <c r="A165" s="44" t="s">
        <v>551</v>
      </c>
      <c r="B165" s="45" t="s">
        <v>552</v>
      </c>
      <c r="C165" s="46" t="s">
        <v>553</v>
      </c>
      <c r="D165" s="47" t="s">
        <v>52</v>
      </c>
      <c r="E165" s="99">
        <v>36</v>
      </c>
      <c r="F165" s="49">
        <v>46191</v>
      </c>
      <c r="G165" s="49">
        <v>46282</v>
      </c>
      <c r="H165" s="50" t="s">
        <v>53</v>
      </c>
      <c r="I165" s="100">
        <v>280</v>
      </c>
      <c r="J165" s="52">
        <v>267.60000000000002</v>
      </c>
      <c r="K165" s="103" t="s">
        <v>1394</v>
      </c>
      <c r="L165" s="50" t="s">
        <v>54</v>
      </c>
      <c r="M165" s="54" t="str">
        <f>VLOOKUP(L165,Packaging!$B$3:$C$21,2,0)</f>
        <v>290 X 200 X 140</v>
      </c>
      <c r="N165" s="47"/>
      <c r="O165" s="100">
        <v>2</v>
      </c>
      <c r="P165" s="47" t="s">
        <v>55</v>
      </c>
      <c r="Q165" s="98" t="s">
        <v>1234</v>
      </c>
      <c r="R165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6" spans="1:18" ht="15.75" customHeight="1">
      <c r="A166" s="44" t="s">
        <v>554</v>
      </c>
      <c r="B166" s="45" t="s">
        <v>555</v>
      </c>
      <c r="C166" s="46" t="s">
        <v>556</v>
      </c>
      <c r="D166" s="47" t="s">
        <v>52</v>
      </c>
      <c r="E166" s="99">
        <v>36</v>
      </c>
      <c r="F166" s="49">
        <v>46191</v>
      </c>
      <c r="G166" s="49">
        <v>46282</v>
      </c>
      <c r="H166" s="50" t="s">
        <v>53</v>
      </c>
      <c r="I166" s="100">
        <v>280</v>
      </c>
      <c r="J166" s="52">
        <v>267.60000000000002</v>
      </c>
      <c r="K166" s="103" t="s">
        <v>1395</v>
      </c>
      <c r="L166" s="50" t="s">
        <v>54</v>
      </c>
      <c r="M166" s="54" t="str">
        <f>VLOOKUP(L166,Packaging!$B$3:$C$21,2,0)</f>
        <v>290 X 200 X 140</v>
      </c>
      <c r="N166" s="47"/>
      <c r="O166" s="100">
        <v>2</v>
      </c>
      <c r="P166" s="47" t="s">
        <v>55</v>
      </c>
      <c r="Q166" s="98" t="s">
        <v>1234</v>
      </c>
      <c r="R166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7" spans="1:18" ht="15.75" customHeight="1">
      <c r="A167" s="44" t="s">
        <v>557</v>
      </c>
      <c r="B167" s="45" t="s">
        <v>558</v>
      </c>
      <c r="C167" s="46" t="s">
        <v>559</v>
      </c>
      <c r="D167" s="47" t="s">
        <v>52</v>
      </c>
      <c r="E167" s="99">
        <v>180</v>
      </c>
      <c r="F167" s="49">
        <v>46191</v>
      </c>
      <c r="G167" s="49">
        <v>46282</v>
      </c>
      <c r="H167" s="50" t="s">
        <v>53</v>
      </c>
      <c r="I167" s="100">
        <v>280</v>
      </c>
      <c r="J167" s="52">
        <v>31.8</v>
      </c>
      <c r="K167" s="103" t="s">
        <v>1396</v>
      </c>
      <c r="L167" s="50" t="s">
        <v>54</v>
      </c>
      <c r="M167" s="54" t="str">
        <f>VLOOKUP(L167,Packaging!$B$3:$C$21,2,0)</f>
        <v>290 X 200 X 140</v>
      </c>
      <c r="N167" s="47"/>
      <c r="O167" s="100">
        <v>30</v>
      </c>
      <c r="P167" s="47" t="s">
        <v>55</v>
      </c>
      <c r="Q167" s="98" t="s">
        <v>1234</v>
      </c>
      <c r="R167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8" spans="1:18" ht="15.75" customHeight="1">
      <c r="A168" s="44" t="s">
        <v>560</v>
      </c>
      <c r="B168" s="45" t="s">
        <v>561</v>
      </c>
      <c r="C168" s="46" t="s">
        <v>562</v>
      </c>
      <c r="D168" s="47" t="s">
        <v>52</v>
      </c>
      <c r="E168" s="99">
        <v>800</v>
      </c>
      <c r="F168" s="49">
        <v>46191</v>
      </c>
      <c r="G168" s="49">
        <v>46282</v>
      </c>
      <c r="H168" s="50" t="s">
        <v>53</v>
      </c>
      <c r="I168" s="100">
        <v>280</v>
      </c>
      <c r="J168" s="52">
        <v>11.8</v>
      </c>
      <c r="K168" s="103" t="s">
        <v>1397</v>
      </c>
      <c r="L168" s="50" t="s">
        <v>54</v>
      </c>
      <c r="M168" s="54" t="str">
        <f>VLOOKUP(L168,Packaging!$B$3:$C$21,2,0)</f>
        <v>290 X 200 X 140</v>
      </c>
      <c r="N168" s="47"/>
      <c r="O168" s="100">
        <v>100</v>
      </c>
      <c r="P168" s="47" t="s">
        <v>55</v>
      </c>
      <c r="Q168" s="98" t="s">
        <v>1234</v>
      </c>
      <c r="R168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69" spans="1:18" ht="15.75" customHeight="1">
      <c r="A169" s="44" t="s">
        <v>563</v>
      </c>
      <c r="B169" s="45" t="s">
        <v>564</v>
      </c>
      <c r="C169" s="46" t="s">
        <v>565</v>
      </c>
      <c r="D169" s="47" t="s">
        <v>52</v>
      </c>
      <c r="E169" s="99">
        <v>5</v>
      </c>
      <c r="F169" s="49">
        <v>46191</v>
      </c>
      <c r="G169" s="49">
        <v>46282</v>
      </c>
      <c r="H169" s="50" t="s">
        <v>53</v>
      </c>
      <c r="I169" s="100">
        <v>1216</v>
      </c>
      <c r="J169" s="52">
        <v>1642.2</v>
      </c>
      <c r="K169" s="103" t="s">
        <v>1398</v>
      </c>
      <c r="L169" s="50" t="s">
        <v>566</v>
      </c>
      <c r="M169" s="54" t="str">
        <f>VLOOKUP(L169,Packaging!$B$3:$C$21,2,0)</f>
        <v>455 X 445 X 375</v>
      </c>
      <c r="N169" s="47"/>
      <c r="O169" s="105">
        <v>1</v>
      </c>
      <c r="P169" s="47" t="s">
        <v>55</v>
      </c>
      <c r="Q169" s="98" t="s">
        <v>1234</v>
      </c>
      <c r="R169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170" spans="1:18" ht="15.75" customHeight="1">
      <c r="A170" s="44" t="s">
        <v>567</v>
      </c>
      <c r="B170" s="62">
        <v>926675</v>
      </c>
      <c r="C170" s="46" t="s">
        <v>568</v>
      </c>
      <c r="D170" s="47" t="s">
        <v>569</v>
      </c>
      <c r="E170" s="99">
        <v>1000</v>
      </c>
      <c r="F170" s="49">
        <v>46191</v>
      </c>
      <c r="G170" s="49">
        <v>46282</v>
      </c>
      <c r="H170" s="47" t="s">
        <v>570</v>
      </c>
      <c r="I170" s="100">
        <v>280</v>
      </c>
      <c r="J170" s="52">
        <v>14.8</v>
      </c>
      <c r="K170" s="103" t="s">
        <v>1399</v>
      </c>
      <c r="L170" s="50" t="s">
        <v>54</v>
      </c>
      <c r="M170" s="54" t="str">
        <f>VLOOKUP(L170,Packaging!$B$3:$C$21,2,0)</f>
        <v>290 X 200 X 140</v>
      </c>
      <c r="N170" s="47"/>
      <c r="O170" s="100">
        <v>20</v>
      </c>
      <c r="P170" s="47" t="s">
        <v>55</v>
      </c>
      <c r="Q170" s="98" t="s">
        <v>1400</v>
      </c>
      <c r="R170" s="102" t="str">
        <f t="shared" si="0"/>
        <v>A9,A10,A15,A20,C4,C6,C12,D1,D2,D3,D4,D5,D6,D7,D8,D9,D10,D11,D12,D13,D14,D15,D17,D18,D19,D20,E1,E2,E3,E4,E5,E6,E7,E8,E9,E10,E11,E12,E14,E15,E16</v>
      </c>
    </row>
    <row r="171" spans="1:18" ht="15.75" customHeight="1">
      <c r="A171" s="44" t="s">
        <v>571</v>
      </c>
      <c r="B171" s="62">
        <v>926680</v>
      </c>
      <c r="C171" s="46" t="s">
        <v>572</v>
      </c>
      <c r="D171" s="47" t="s">
        <v>569</v>
      </c>
      <c r="E171" s="99">
        <v>1000</v>
      </c>
      <c r="F171" s="49">
        <v>46191</v>
      </c>
      <c r="G171" s="49">
        <v>46282</v>
      </c>
      <c r="H171" s="47" t="s">
        <v>570</v>
      </c>
      <c r="I171" s="100">
        <v>280</v>
      </c>
      <c r="J171" s="52">
        <v>14.8</v>
      </c>
      <c r="K171" s="103" t="s">
        <v>1401</v>
      </c>
      <c r="L171" s="50" t="s">
        <v>54</v>
      </c>
      <c r="M171" s="54" t="str">
        <f>VLOOKUP(L171,Packaging!$B$3:$C$21,2,0)</f>
        <v>290 X 200 X 140</v>
      </c>
      <c r="N171" s="47"/>
      <c r="O171" s="100">
        <v>20</v>
      </c>
      <c r="P171" s="47" t="s">
        <v>55</v>
      </c>
      <c r="Q171" s="98" t="s">
        <v>1400</v>
      </c>
      <c r="R171" s="102" t="str">
        <f t="shared" si="0"/>
        <v>A9,A10,A15,A20,C4,C6,C12,D1,D2,D3,D4,D5,D6,D7,D8,D9,D10,D11,D12,D13,D14,D15,D17,D18,D19,D20,E1,E2,E3,E4,E5,E6,E7,E8,E9,E10,E11,E12,E14,E15,E16</v>
      </c>
    </row>
    <row r="172" spans="1:18" ht="15.75" customHeight="1">
      <c r="A172" s="44" t="s">
        <v>573</v>
      </c>
      <c r="B172" s="62">
        <v>940685</v>
      </c>
      <c r="C172" s="46" t="s">
        <v>574</v>
      </c>
      <c r="D172" s="47" t="s">
        <v>569</v>
      </c>
      <c r="E172" s="99">
        <v>1000</v>
      </c>
      <c r="F172" s="49">
        <v>46191</v>
      </c>
      <c r="G172" s="49">
        <v>46282</v>
      </c>
      <c r="H172" s="47" t="s">
        <v>575</v>
      </c>
      <c r="I172" s="100">
        <v>280</v>
      </c>
      <c r="J172" s="52">
        <v>13.4</v>
      </c>
      <c r="K172" s="103" t="s">
        <v>1402</v>
      </c>
      <c r="L172" s="50" t="s">
        <v>54</v>
      </c>
      <c r="M172" s="54" t="str">
        <f>VLOOKUP(L172,Packaging!$B$3:$C$21,2,0)</f>
        <v>290 X 200 X 140</v>
      </c>
      <c r="N172" s="47"/>
      <c r="O172" s="100">
        <v>200</v>
      </c>
      <c r="P172" s="47" t="s">
        <v>55</v>
      </c>
      <c r="Q172" s="98" t="s">
        <v>1400</v>
      </c>
      <c r="R172" s="102" t="str">
        <f t="shared" si="0"/>
        <v>A9,A10,A15,A20,C4,C6,C12,D1,D2,D3,D4,D5,D6,D7,D8,D9,D10,D11,D12,D13,D14,D15,D17,D18,D19,D20,E1,E2,E3,E4,E5,E6,E7,E8,E9,E10,E11,E12,E14,E15,E16</v>
      </c>
    </row>
    <row r="173" spans="1:18" ht="15.75" customHeight="1">
      <c r="A173" s="44" t="s">
        <v>576</v>
      </c>
      <c r="B173" s="62">
        <v>948914</v>
      </c>
      <c r="C173" s="46" t="s">
        <v>577</v>
      </c>
      <c r="D173" s="47" t="s">
        <v>569</v>
      </c>
      <c r="E173" s="99">
        <v>600</v>
      </c>
      <c r="F173" s="49">
        <v>46191</v>
      </c>
      <c r="G173" s="49">
        <v>46282</v>
      </c>
      <c r="H173" s="47" t="s">
        <v>578</v>
      </c>
      <c r="I173" s="100">
        <v>280</v>
      </c>
      <c r="J173" s="52">
        <v>11.2</v>
      </c>
      <c r="K173" s="103">
        <v>7</v>
      </c>
      <c r="L173" s="50" t="s">
        <v>54</v>
      </c>
      <c r="M173" s="54" t="str">
        <f>VLOOKUP(L173,Packaging!$B$3:$C$21,2,0)</f>
        <v>290 X 200 X 140</v>
      </c>
      <c r="N173" s="47"/>
      <c r="O173" s="100">
        <v>150</v>
      </c>
      <c r="P173" s="47" t="s">
        <v>55</v>
      </c>
      <c r="Q173" s="98" t="s">
        <v>1400</v>
      </c>
      <c r="R173" s="102" t="str">
        <f t="shared" si="0"/>
        <v>A9,A10,A15,A20,C4,C6,C12,D1,D2,D3,D4,D5,D6,D7,D8,D9,D10,D11,D12,D13,D14,D15,D17,D18,D19,D20,E1,E2,E3,E4,E5,E6,E7,E8,E9,E10,E11,E12,E14,E15,E16</v>
      </c>
    </row>
    <row r="174" spans="1:18" ht="15.75" customHeight="1">
      <c r="A174" s="44" t="s">
        <v>579</v>
      </c>
      <c r="B174" s="47">
        <v>950261</v>
      </c>
      <c r="C174" s="46" t="s">
        <v>580</v>
      </c>
      <c r="D174" s="47" t="s">
        <v>569</v>
      </c>
      <c r="E174" s="99">
        <v>800</v>
      </c>
      <c r="F174" s="49">
        <v>46191</v>
      </c>
      <c r="G174" s="49">
        <v>46282</v>
      </c>
      <c r="H174" s="47" t="s">
        <v>581</v>
      </c>
      <c r="I174" s="100">
        <v>280</v>
      </c>
      <c r="J174" s="52">
        <v>20</v>
      </c>
      <c r="K174" s="103" t="s">
        <v>1403</v>
      </c>
      <c r="L174" s="50" t="s">
        <v>54</v>
      </c>
      <c r="M174" s="54" t="str">
        <f>VLOOKUP(L174,Packaging!$B$3:$C$21,2,0)</f>
        <v>290 X 200 X 140</v>
      </c>
      <c r="N174" s="47"/>
      <c r="O174" s="100">
        <v>100</v>
      </c>
      <c r="P174" s="47" t="s">
        <v>55</v>
      </c>
      <c r="Q174" s="98" t="s">
        <v>1400</v>
      </c>
      <c r="R174" s="102" t="str">
        <f t="shared" si="0"/>
        <v>A9,A10,A15,A20,C4,C6,C12,D1,D2,D3,D4,D5,D6,D7,D8,D9,D10,D11,D12,D13,D14,D15,D17,D18,D19,D20,E1,E2,E3,E4,E5,E6,E7,E8,E9,E10,E11,E12,E14,E15,E16</v>
      </c>
    </row>
    <row r="175" spans="1:18" ht="15.75" customHeight="1">
      <c r="A175" s="44" t="s">
        <v>582</v>
      </c>
      <c r="B175" s="47">
        <v>461077</v>
      </c>
      <c r="C175" s="46" t="s">
        <v>583</v>
      </c>
      <c r="D175" s="47" t="s">
        <v>569</v>
      </c>
      <c r="E175" s="99">
        <v>1000</v>
      </c>
      <c r="F175" s="49">
        <v>46191</v>
      </c>
      <c r="G175" s="49">
        <v>46282</v>
      </c>
      <c r="H175" s="47" t="s">
        <v>53</v>
      </c>
      <c r="I175" s="100">
        <v>280</v>
      </c>
      <c r="J175" s="52">
        <v>4.8</v>
      </c>
      <c r="K175" s="103" t="s">
        <v>1404</v>
      </c>
      <c r="L175" s="50" t="s">
        <v>54</v>
      </c>
      <c r="M175" s="54" t="str">
        <f>VLOOKUP(L175,Packaging!$B$3:$C$21,2,0)</f>
        <v>290 X 200 X 140</v>
      </c>
      <c r="N175" s="47"/>
      <c r="O175" s="100">
        <v>250</v>
      </c>
      <c r="P175" s="47" t="s">
        <v>55</v>
      </c>
      <c r="Q175" s="98" t="s">
        <v>1400</v>
      </c>
      <c r="R175" s="102" t="str">
        <f t="shared" si="0"/>
        <v>A9,A10,A15,A20,C4,C6,C12,D1,D2,D3,D4,D5,D6,D7,D8,D9,D10,D11,D12,D13,D14,D15,D17,D18,D19,D20,E1,E2,E3,E4,E5,E6,E7,E8,E9,E10,E11,E12,E14,E15,E16</v>
      </c>
    </row>
    <row r="176" spans="1:18" ht="15.75" customHeight="1">
      <c r="A176" s="44" t="s">
        <v>584</v>
      </c>
      <c r="B176" s="47">
        <v>949478</v>
      </c>
      <c r="C176" s="46" t="s">
        <v>585</v>
      </c>
      <c r="D176" s="47" t="s">
        <v>569</v>
      </c>
      <c r="E176" s="99">
        <v>1000</v>
      </c>
      <c r="F176" s="49">
        <v>46191</v>
      </c>
      <c r="G176" s="49">
        <v>46282</v>
      </c>
      <c r="H176" s="65" t="s">
        <v>586</v>
      </c>
      <c r="I176" s="100"/>
      <c r="J176" s="52">
        <v>6.2</v>
      </c>
      <c r="K176" s="103" t="s">
        <v>1405</v>
      </c>
      <c r="L176" s="47"/>
      <c r="M176" s="54" t="e">
        <f>VLOOKUP(L176,Packaging!$B$3:$C$21,2,0)</f>
        <v>#N/A</v>
      </c>
      <c r="N176" s="47"/>
      <c r="O176" s="100"/>
      <c r="P176" s="47" t="s">
        <v>55</v>
      </c>
      <c r="Q176" s="98" t="s">
        <v>1400</v>
      </c>
      <c r="R176" s="102" t="str">
        <f t="shared" si="0"/>
        <v>A9,A10,A15,A20,C4,C6,C12,D1,D2,D3,D4,D5,D6,D7,D8,D9,D10,D11,D12,D13,D14,D15,D17,D18,D19,D20,E1,E2,E3,E4,E5,E6,E7,E8,E9,E10,E11,E12,E14,E15,E16</v>
      </c>
    </row>
    <row r="177" spans="1:18" ht="15.75" customHeight="1">
      <c r="A177" s="44" t="s">
        <v>587</v>
      </c>
      <c r="B177" s="47">
        <v>947864</v>
      </c>
      <c r="C177" s="46" t="s">
        <v>580</v>
      </c>
      <c r="D177" s="47" t="s">
        <v>569</v>
      </c>
      <c r="E177" s="99">
        <v>540</v>
      </c>
      <c r="F177" s="49">
        <v>46191</v>
      </c>
      <c r="G177" s="49">
        <v>46282</v>
      </c>
      <c r="H177" s="47" t="s">
        <v>588</v>
      </c>
      <c r="I177" s="100">
        <v>280</v>
      </c>
      <c r="J177" s="52">
        <v>42</v>
      </c>
      <c r="K177" s="103" t="s">
        <v>1406</v>
      </c>
      <c r="L177" s="50" t="s">
        <v>54</v>
      </c>
      <c r="M177" s="54" t="str">
        <f>VLOOKUP(L177,Packaging!$B$3:$C$21,2,0)</f>
        <v>290 X 200 X 140</v>
      </c>
      <c r="N177" s="47"/>
      <c r="O177" s="100">
        <v>20</v>
      </c>
      <c r="P177" s="47" t="s">
        <v>55</v>
      </c>
      <c r="Q177" s="98" t="s">
        <v>1400</v>
      </c>
      <c r="R177" s="102" t="str">
        <f t="shared" si="0"/>
        <v>A9,A10,A15,A20,C4,C6,C12,D1,D2,D3,D4,D5,D6,D7,D8,D9,D10,D11,D12,D13,D14,D15,D17,D18,D19,D20,E1,E2,E3,E4,E5,E6,E7,E8,E9,E10,E11,E12,E14,E15,E16</v>
      </c>
    </row>
    <row r="178" spans="1:18" ht="15.75" customHeight="1">
      <c r="A178" s="44" t="s">
        <v>589</v>
      </c>
      <c r="B178" s="47">
        <v>944755</v>
      </c>
      <c r="C178" s="46" t="s">
        <v>590</v>
      </c>
      <c r="D178" s="47" t="s">
        <v>569</v>
      </c>
      <c r="E178" s="99">
        <v>1000</v>
      </c>
      <c r="F178" s="49">
        <v>46191</v>
      </c>
      <c r="G178" s="49">
        <v>46282</v>
      </c>
      <c r="H178" s="47" t="s">
        <v>591</v>
      </c>
      <c r="I178" s="100">
        <v>280</v>
      </c>
      <c r="J178" s="52">
        <v>6.8</v>
      </c>
      <c r="K178" s="103" t="s">
        <v>1407</v>
      </c>
      <c r="L178" s="50" t="s">
        <v>54</v>
      </c>
      <c r="M178" s="54" t="str">
        <f>VLOOKUP(L178,Packaging!$B$3:$C$21,2,0)</f>
        <v>290 X 200 X 140</v>
      </c>
      <c r="N178" s="47"/>
      <c r="O178" s="100"/>
      <c r="P178" s="47" t="s">
        <v>55</v>
      </c>
      <c r="Q178" s="98" t="s">
        <v>1400</v>
      </c>
      <c r="R178" s="102" t="str">
        <f t="shared" si="0"/>
        <v>A9,A10,A15,A20,C4,C6,C12,D1,D2,D3,D4,D5,D6,D7,D8,D9,D10,D11,D12,D13,D14,D15,D17,D18,D19,D20,E1,E2,E3,E4,E5,E6,E7,E8,E9,E10,E11,E12,E14,E15,E16</v>
      </c>
    </row>
    <row r="179" spans="1:18" ht="15.75" customHeight="1">
      <c r="A179" s="44" t="s">
        <v>592</v>
      </c>
      <c r="B179" s="66">
        <v>932975</v>
      </c>
      <c r="C179" s="46" t="s">
        <v>593</v>
      </c>
      <c r="D179" s="47" t="s">
        <v>569</v>
      </c>
      <c r="E179" s="99">
        <v>700</v>
      </c>
      <c r="F179" s="49">
        <v>46191</v>
      </c>
      <c r="G179" s="49">
        <v>46282</v>
      </c>
      <c r="H179" s="47" t="s">
        <v>594</v>
      </c>
      <c r="I179" s="100">
        <v>280</v>
      </c>
      <c r="J179" s="52">
        <v>12.4</v>
      </c>
      <c r="K179" s="103" t="s">
        <v>1408</v>
      </c>
      <c r="L179" s="50" t="s">
        <v>54</v>
      </c>
      <c r="M179" s="54" t="str">
        <f>VLOOKUP(L179,Packaging!$B$3:$C$21,2,0)</f>
        <v>290 X 200 X 140</v>
      </c>
      <c r="N179" s="47"/>
      <c r="O179" s="100">
        <v>100</v>
      </c>
      <c r="P179" s="47" t="s">
        <v>55</v>
      </c>
      <c r="Q179" s="98" t="s">
        <v>1400</v>
      </c>
      <c r="R179" s="102" t="str">
        <f t="shared" si="0"/>
        <v>A9,A10,A15,A20,C4,C6,C12,D1,D2,D3,D4,D5,D6,D7,D8,D9,D10,D11,D12,D13,D14,D15,D17,D18,D19,D20,E1,E2,E3,E4,E5,E6,E7,E8,E9,E10,E11,E12,E14,E15,E16</v>
      </c>
    </row>
    <row r="180" spans="1:18" ht="15.75" customHeight="1">
      <c r="A180" s="44" t="s">
        <v>595</v>
      </c>
      <c r="B180" s="47">
        <v>934155</v>
      </c>
      <c r="C180" s="46" t="s">
        <v>596</v>
      </c>
      <c r="D180" s="47" t="s">
        <v>569</v>
      </c>
      <c r="E180" s="99">
        <v>450</v>
      </c>
      <c r="F180" s="49">
        <v>46191</v>
      </c>
      <c r="G180" s="49">
        <v>46282</v>
      </c>
      <c r="H180" s="47" t="s">
        <v>597</v>
      </c>
      <c r="I180" s="100">
        <v>278</v>
      </c>
      <c r="J180" s="52">
        <v>29.4</v>
      </c>
      <c r="K180" s="103" t="s">
        <v>1409</v>
      </c>
      <c r="L180" s="61" t="s">
        <v>161</v>
      </c>
      <c r="M180" s="54" t="str">
        <f>VLOOKUP(L180,Packaging!$B$3:$C$21,2,0)</f>
        <v>360 X 270 X 128</v>
      </c>
      <c r="N180" s="47"/>
      <c r="O180" s="100">
        <v>10</v>
      </c>
      <c r="P180" s="47" t="s">
        <v>55</v>
      </c>
      <c r="Q180" s="98" t="s">
        <v>1400</v>
      </c>
      <c r="R180" s="102" t="str">
        <f t="shared" si="0"/>
        <v>A9,A10,A15,A20,C4,C6,C12,D1,D2,D3,D4,D5,D6,D7,D8,D9,D10,D11,D12,D13,D14,D15,D17,D18,D19,D20,E1,E2,E3,E4,E5,E6,E7,E8,E9,E10,E11,E12,E14,E15,E16</v>
      </c>
    </row>
    <row r="181" spans="1:18" ht="15.75" customHeight="1">
      <c r="A181" s="44" t="s">
        <v>598</v>
      </c>
      <c r="B181" s="47">
        <v>926820</v>
      </c>
      <c r="C181" s="46" t="s">
        <v>599</v>
      </c>
      <c r="D181" s="47" t="s">
        <v>569</v>
      </c>
      <c r="E181" s="99">
        <v>720</v>
      </c>
      <c r="F181" s="49">
        <v>46191</v>
      </c>
      <c r="G181" s="49">
        <v>46282</v>
      </c>
      <c r="H181" s="47" t="s">
        <v>600</v>
      </c>
      <c r="I181" s="100">
        <v>278</v>
      </c>
      <c r="J181" s="52">
        <v>24.8</v>
      </c>
      <c r="K181" s="103" t="s">
        <v>1410</v>
      </c>
      <c r="L181" s="50" t="s">
        <v>274</v>
      </c>
      <c r="M181" s="54" t="str">
        <f>VLOOKUP(L181,Packaging!$B$3:$C$21,2,0)</f>
        <v>290 X 200 X 100</v>
      </c>
      <c r="N181" s="47"/>
      <c r="O181" s="100">
        <v>15</v>
      </c>
      <c r="P181" s="47" t="s">
        <v>55</v>
      </c>
      <c r="Q181" s="98" t="s">
        <v>1400</v>
      </c>
      <c r="R181" s="102" t="str">
        <f t="shared" si="0"/>
        <v>A9,A10,A15,A20,C4,C6,C12,D1,D2,D3,D4,D5,D6,D7,D8,D9,D10,D11,D12,D13,D14,D15,D17,D18,D19,D20,E1,E2,E3,E4,E5,E6,E7,E8,E9,E10,E11,E12,E14,E15,E16</v>
      </c>
    </row>
    <row r="182" spans="1:18" ht="15.75" customHeight="1">
      <c r="A182" s="44" t="s">
        <v>601</v>
      </c>
      <c r="B182" s="47">
        <v>947929</v>
      </c>
      <c r="C182" s="46" t="s">
        <v>602</v>
      </c>
      <c r="D182" s="47" t="s">
        <v>569</v>
      </c>
      <c r="E182" s="99">
        <v>440</v>
      </c>
      <c r="F182" s="49">
        <v>46191</v>
      </c>
      <c r="G182" s="49">
        <v>46282</v>
      </c>
      <c r="H182" s="47" t="s">
        <v>603</v>
      </c>
      <c r="I182" s="100">
        <v>280</v>
      </c>
      <c r="J182" s="52">
        <v>25.2</v>
      </c>
      <c r="K182" s="103" t="s">
        <v>1411</v>
      </c>
      <c r="L182" s="50" t="s">
        <v>54</v>
      </c>
      <c r="M182" s="54" t="str">
        <f>VLOOKUP(L182,Packaging!$B$3:$C$21,2,0)</f>
        <v>290 X 200 X 140</v>
      </c>
      <c r="N182" s="47"/>
      <c r="O182" s="100">
        <v>44</v>
      </c>
      <c r="P182" s="47" t="s">
        <v>55</v>
      </c>
      <c r="Q182" s="98" t="s">
        <v>1400</v>
      </c>
      <c r="R182" s="102" t="str">
        <f t="shared" si="0"/>
        <v>A9,A10,A15,A20,C4,C6,C12,D1,D2,D3,D4,D5,D6,D7,D8,D9,D10,D11,D12,D13,D14,D15,D17,D18,D19,D20,E1,E2,E3,E4,E5,E6,E7,E8,E9,E10,E11,E12,E14,E15,E16</v>
      </c>
    </row>
    <row r="183" spans="1:18" ht="15.75" customHeight="1">
      <c r="A183" s="44" t="s">
        <v>604</v>
      </c>
      <c r="B183" s="47">
        <v>947930</v>
      </c>
      <c r="C183" s="46" t="s">
        <v>605</v>
      </c>
      <c r="D183" s="47" t="s">
        <v>569</v>
      </c>
      <c r="E183" s="99">
        <v>450</v>
      </c>
      <c r="F183" s="49">
        <v>46191</v>
      </c>
      <c r="G183" s="49">
        <v>46282</v>
      </c>
      <c r="H183" s="47" t="s">
        <v>606</v>
      </c>
      <c r="I183" s="100">
        <v>280</v>
      </c>
      <c r="J183" s="52">
        <v>23</v>
      </c>
      <c r="K183" s="103" t="s">
        <v>1412</v>
      </c>
      <c r="L183" s="50" t="s">
        <v>54</v>
      </c>
      <c r="M183" s="54" t="str">
        <f>VLOOKUP(L183,Packaging!$B$3:$C$21,2,0)</f>
        <v>290 X 200 X 140</v>
      </c>
      <c r="N183" s="47"/>
      <c r="O183" s="100">
        <v>75</v>
      </c>
      <c r="P183" s="47" t="s">
        <v>55</v>
      </c>
      <c r="Q183" s="98" t="s">
        <v>1400</v>
      </c>
      <c r="R183" s="102" t="str">
        <f t="shared" si="0"/>
        <v>A9,A10,A15,A20,C4,C6,C12,D1,D2,D3,D4,D5,D6,D7,D8,D9,D10,D11,D12,D13,D14,D15,D17,D18,D19,D20,E1,E2,E3,E4,E5,E6,E7,E8,E9,E10,E11,E12,E14,E15,E16</v>
      </c>
    </row>
    <row r="184" spans="1:18" ht="15.75" customHeight="1">
      <c r="A184" s="44" t="s">
        <v>607</v>
      </c>
      <c r="B184" s="47">
        <v>949667</v>
      </c>
      <c r="C184" s="46" t="s">
        <v>580</v>
      </c>
      <c r="D184" s="47" t="s">
        <v>569</v>
      </c>
      <c r="E184" s="99">
        <v>300</v>
      </c>
      <c r="F184" s="49">
        <v>46191</v>
      </c>
      <c r="G184" s="49">
        <v>46282</v>
      </c>
      <c r="H184" s="47" t="s">
        <v>608</v>
      </c>
      <c r="I184" s="100">
        <v>280</v>
      </c>
      <c r="J184" s="52">
        <v>74</v>
      </c>
      <c r="K184" s="103" t="s">
        <v>1413</v>
      </c>
      <c r="L184" s="50" t="s">
        <v>54</v>
      </c>
      <c r="M184" s="54" t="str">
        <f>VLOOKUP(L184,Packaging!$B$3:$C$21,2,0)</f>
        <v>290 X 200 X 140</v>
      </c>
      <c r="N184" s="47"/>
      <c r="O184" s="100">
        <v>25</v>
      </c>
      <c r="P184" s="47" t="s">
        <v>55</v>
      </c>
      <c r="Q184" s="98" t="s">
        <v>1400</v>
      </c>
      <c r="R184" s="102" t="str">
        <f t="shared" si="0"/>
        <v>A9,A10,A15,A20,C4,C6,C12,D1,D2,D3,D4,D5,D6,D7,D8,D9,D10,D11,D12,D13,D14,D15,D17,D18,D19,D20,E1,E2,E3,E4,E5,E6,E7,E8,E9,E10,E11,E12,E14,E15,E16</v>
      </c>
    </row>
    <row r="185" spans="1:18" ht="15.75" customHeight="1">
      <c r="A185" s="44" t="s">
        <v>609</v>
      </c>
      <c r="B185" s="47">
        <v>951103</v>
      </c>
      <c r="C185" s="46" t="s">
        <v>610</v>
      </c>
      <c r="D185" s="47" t="s">
        <v>569</v>
      </c>
      <c r="E185" s="99">
        <v>352</v>
      </c>
      <c r="F185" s="49">
        <v>46191</v>
      </c>
      <c r="G185" s="49">
        <v>46282</v>
      </c>
      <c r="H185" s="47" t="s">
        <v>611</v>
      </c>
      <c r="I185" s="100">
        <v>280</v>
      </c>
      <c r="J185" s="52">
        <v>27.6</v>
      </c>
      <c r="K185" s="103" t="s">
        <v>1414</v>
      </c>
      <c r="L185" s="50" t="s">
        <v>54</v>
      </c>
      <c r="M185" s="54" t="str">
        <f>VLOOKUP(L185,Packaging!$B$3:$C$21,2,0)</f>
        <v>290 X 200 X 140</v>
      </c>
      <c r="N185" s="47"/>
      <c r="O185" s="100">
        <v>44</v>
      </c>
      <c r="P185" s="47" t="s">
        <v>55</v>
      </c>
      <c r="Q185" s="98" t="s">
        <v>1400</v>
      </c>
      <c r="R185" s="102" t="str">
        <f t="shared" si="0"/>
        <v>A9,A10,A15,A20,C4,C6,C12,D1,D2,D3,D4,D5,D6,D7,D8,D9,D10,D11,D12,D13,D14,D15,D17,D18,D19,D20,E1,E2,E3,E4,E5,E6,E7,E8,E9,E10,E11,E12,E14,E15,E16</v>
      </c>
    </row>
    <row r="186" spans="1:18" ht="15.75" customHeight="1">
      <c r="A186" s="44" t="s">
        <v>612</v>
      </c>
      <c r="B186" s="47">
        <v>951104</v>
      </c>
      <c r="C186" s="46" t="s">
        <v>613</v>
      </c>
      <c r="D186" s="47" t="s">
        <v>569</v>
      </c>
      <c r="E186" s="99">
        <v>450</v>
      </c>
      <c r="F186" s="49">
        <v>46191</v>
      </c>
      <c r="G186" s="49">
        <v>46282</v>
      </c>
      <c r="H186" s="47" t="s">
        <v>614</v>
      </c>
      <c r="I186" s="100">
        <v>280</v>
      </c>
      <c r="J186" s="52">
        <v>25.4</v>
      </c>
      <c r="K186" s="103" t="s">
        <v>1415</v>
      </c>
      <c r="L186" s="50" t="s">
        <v>54</v>
      </c>
      <c r="M186" s="54" t="str">
        <f>VLOOKUP(L186,Packaging!$B$3:$C$21,2,0)</f>
        <v>290 X 200 X 140</v>
      </c>
      <c r="N186" s="47"/>
      <c r="O186" s="100"/>
      <c r="P186" s="47" t="s">
        <v>55</v>
      </c>
      <c r="Q186" s="98" t="s">
        <v>1400</v>
      </c>
      <c r="R186" s="102" t="str">
        <f t="shared" si="0"/>
        <v>A9,A10,A15,A20,C4,C6,C12,D1,D2,D3,D4,D5,D6,D7,D8,D9,D10,D11,D12,D13,D14,D15,D17,D18,D19,D20,E1,E2,E3,E4,E5,E6,E7,E8,E9,E10,E11,E12,E14,E15,E16</v>
      </c>
    </row>
    <row r="187" spans="1:18" ht="15.75" customHeight="1">
      <c r="A187" s="44" t="s">
        <v>615</v>
      </c>
      <c r="B187" s="47">
        <v>953069</v>
      </c>
      <c r="C187" s="46" t="s">
        <v>616</v>
      </c>
      <c r="D187" s="47" t="s">
        <v>569</v>
      </c>
      <c r="E187" s="99">
        <v>100</v>
      </c>
      <c r="F187" s="49">
        <v>46191</v>
      </c>
      <c r="G187" s="49">
        <v>46282</v>
      </c>
      <c r="H187" s="47" t="s">
        <v>617</v>
      </c>
      <c r="I187" s="100">
        <v>280</v>
      </c>
      <c r="J187" s="52">
        <v>131</v>
      </c>
      <c r="K187" s="103" t="s">
        <v>1416</v>
      </c>
      <c r="L187" s="50" t="s">
        <v>54</v>
      </c>
      <c r="M187" s="54" t="str">
        <f>VLOOKUP(L187,Packaging!$B$3:$C$21,2,0)</f>
        <v>290 X 200 X 140</v>
      </c>
      <c r="N187" s="47"/>
      <c r="O187" s="100">
        <v>5</v>
      </c>
      <c r="P187" s="47" t="s">
        <v>55</v>
      </c>
      <c r="Q187" s="98" t="s">
        <v>1400</v>
      </c>
      <c r="R187" s="102" t="str">
        <f t="shared" si="0"/>
        <v>A9,A10,A15,A20,C4,C6,C12,D1,D2,D3,D4,D5,D6,D7,D8,D9,D10,D11,D12,D13,D14,D15,D17,D18,D19,D20,E1,E2,E3,E4,E5,E6,E7,E8,E9,E10,E11,E12,E14,E15,E16</v>
      </c>
    </row>
    <row r="188" spans="1:18" ht="15.75" customHeight="1">
      <c r="A188" s="44" t="s">
        <v>618</v>
      </c>
      <c r="B188" s="47">
        <v>937840</v>
      </c>
      <c r="C188" s="46" t="s">
        <v>619</v>
      </c>
      <c r="D188" s="47" t="s">
        <v>569</v>
      </c>
      <c r="E188" s="99">
        <v>450</v>
      </c>
      <c r="F188" s="49">
        <v>46191</v>
      </c>
      <c r="G188" s="49">
        <v>46282</v>
      </c>
      <c r="H188" s="47" t="s">
        <v>620</v>
      </c>
      <c r="I188" s="100">
        <v>278</v>
      </c>
      <c r="J188" s="52">
        <v>32.6</v>
      </c>
      <c r="K188" s="103" t="s">
        <v>1417</v>
      </c>
      <c r="L188" s="61" t="s">
        <v>161</v>
      </c>
      <c r="M188" s="54" t="str">
        <f>VLOOKUP(L188,Packaging!$B$3:$C$21,2,0)</f>
        <v>360 X 270 X 128</v>
      </c>
      <c r="N188" s="47"/>
      <c r="O188" s="100">
        <v>10</v>
      </c>
      <c r="P188" s="47" t="s">
        <v>55</v>
      </c>
      <c r="Q188" s="98" t="s">
        <v>1400</v>
      </c>
      <c r="R188" s="102" t="str">
        <f t="shared" si="0"/>
        <v>A9,A10,A15,A20,C4,C6,C12,D1,D2,D3,D4,D5,D6,D7,D8,D9,D10,D11,D12,D13,D14,D15,D17,D18,D19,D20,E1,E2,E3,E4,E5,E6,E7,E8,E9,E10,E11,E12,E14,E15,E16</v>
      </c>
    </row>
    <row r="189" spans="1:18" ht="15.75" customHeight="1">
      <c r="A189" s="44" t="s">
        <v>621</v>
      </c>
      <c r="B189" s="47">
        <v>951716</v>
      </c>
      <c r="C189" s="46" t="s">
        <v>622</v>
      </c>
      <c r="D189" s="47" t="s">
        <v>569</v>
      </c>
      <c r="E189" s="99">
        <v>20</v>
      </c>
      <c r="F189" s="49">
        <v>46191</v>
      </c>
      <c r="G189" s="49">
        <v>46282</v>
      </c>
      <c r="H189" s="47" t="s">
        <v>623</v>
      </c>
      <c r="I189" s="100">
        <v>280</v>
      </c>
      <c r="J189" s="52">
        <v>208.8</v>
      </c>
      <c r="K189" s="103" t="s">
        <v>1418</v>
      </c>
      <c r="L189" s="50" t="s">
        <v>54</v>
      </c>
      <c r="M189" s="54" t="str">
        <f>VLOOKUP(L189,Packaging!$B$3:$C$21,2,0)</f>
        <v>290 X 200 X 140</v>
      </c>
      <c r="N189" s="47"/>
      <c r="O189" s="100">
        <v>2</v>
      </c>
      <c r="P189" s="47" t="s">
        <v>55</v>
      </c>
      <c r="Q189" s="98" t="s">
        <v>1400</v>
      </c>
      <c r="R189" s="102" t="str">
        <f t="shared" si="0"/>
        <v>A9,A10,A15,A20,C4,C6,C12,D1,D2,D3,D4,D5,D6,D7,D8,D9,D10,D11,D12,D13,D14,D15,D17,D18,D19,D20,E1,E2,E3,E4,E5,E6,E7,E8,E9,E10,E11,E12,E14,E15,E16</v>
      </c>
    </row>
    <row r="190" spans="1:18" ht="15.75" customHeight="1">
      <c r="A190" s="44" t="s">
        <v>624</v>
      </c>
      <c r="B190" s="47">
        <v>951420</v>
      </c>
      <c r="C190" s="46" t="s">
        <v>625</v>
      </c>
      <c r="D190" s="47" t="s">
        <v>569</v>
      </c>
      <c r="E190" s="99">
        <v>1050</v>
      </c>
      <c r="F190" s="49">
        <v>46191</v>
      </c>
      <c r="G190" s="49">
        <v>46282</v>
      </c>
      <c r="H190" s="47" t="s">
        <v>626</v>
      </c>
      <c r="I190" s="100">
        <v>280</v>
      </c>
      <c r="J190" s="52">
        <v>15</v>
      </c>
      <c r="K190" s="103" t="s">
        <v>1419</v>
      </c>
      <c r="L190" s="61" t="s">
        <v>54</v>
      </c>
      <c r="M190" s="54" t="str">
        <f>VLOOKUP(L190,Packaging!$B$3:$C$21,2,0)</f>
        <v>290 X 200 X 140</v>
      </c>
      <c r="N190" s="47"/>
      <c r="O190" s="100">
        <v>15</v>
      </c>
      <c r="P190" s="47" t="s">
        <v>55</v>
      </c>
      <c r="Q190" s="98" t="s">
        <v>1400</v>
      </c>
      <c r="R190" s="102" t="str">
        <f t="shared" si="0"/>
        <v>A9,A10,A15,A20,C4,C6,C12,D1,D2,D3,D4,D5,D6,D7,D8,D9,D10,D11,D12,D13,D14,D15,D17,D18,D19,D20,E1,E2,E3,E4,E5,E6,E7,E8,E9,E10,E11,E12,E14,E15,E16</v>
      </c>
    </row>
    <row r="191" spans="1:18" ht="15.75" customHeight="1">
      <c r="A191" s="44" t="s">
        <v>627</v>
      </c>
      <c r="B191" s="47">
        <v>947833</v>
      </c>
      <c r="C191" s="46" t="s">
        <v>628</v>
      </c>
      <c r="D191" s="47" t="s">
        <v>569</v>
      </c>
      <c r="E191" s="99">
        <v>240</v>
      </c>
      <c r="F191" s="49">
        <v>46191</v>
      </c>
      <c r="G191" s="49">
        <v>46282</v>
      </c>
      <c r="H191" s="47" t="s">
        <v>629</v>
      </c>
      <c r="I191" s="100">
        <v>280</v>
      </c>
      <c r="J191" s="52">
        <v>32.4</v>
      </c>
      <c r="K191" s="103" t="s">
        <v>1420</v>
      </c>
      <c r="L191" s="61" t="s">
        <v>54</v>
      </c>
      <c r="M191" s="54" t="str">
        <f>VLOOKUP(L191,Packaging!$B$3:$C$21,2,0)</f>
        <v>290 X 200 X 140</v>
      </c>
      <c r="N191" s="47"/>
      <c r="O191" s="100">
        <v>5</v>
      </c>
      <c r="P191" s="47" t="s">
        <v>55</v>
      </c>
      <c r="Q191" s="98" t="s">
        <v>1400</v>
      </c>
      <c r="R191" s="102" t="str">
        <f t="shared" si="0"/>
        <v>A9,A10,A15,A20,C4,C6,C12,D1,D2,D3,D4,D5,D6,D7,D8,D9,D10,D11,D12,D13,D14,D15,D17,D18,D19,D20,E1,E2,E3,E4,E5,E6,E7,E8,E9,E10,E11,E12,E14,E15,E16</v>
      </c>
    </row>
    <row r="192" spans="1:18" ht="15.75" customHeight="1">
      <c r="A192" s="44" t="s">
        <v>630</v>
      </c>
      <c r="B192" s="47">
        <v>953712</v>
      </c>
      <c r="C192" s="46" t="s">
        <v>631</v>
      </c>
      <c r="D192" s="47" t="s">
        <v>569</v>
      </c>
      <c r="E192" s="99">
        <v>240</v>
      </c>
      <c r="F192" s="49">
        <v>46191</v>
      </c>
      <c r="G192" s="49">
        <v>46282</v>
      </c>
      <c r="H192" s="47" t="s">
        <v>632</v>
      </c>
      <c r="I192" s="100">
        <v>280</v>
      </c>
      <c r="J192" s="52">
        <v>32</v>
      </c>
      <c r="K192" s="103" t="s">
        <v>1421</v>
      </c>
      <c r="L192" s="61" t="s">
        <v>54</v>
      </c>
      <c r="M192" s="54" t="str">
        <f>VLOOKUP(L192,Packaging!$B$3:$C$21,2,0)</f>
        <v>290 X 200 X 140</v>
      </c>
      <c r="N192" s="47"/>
      <c r="O192" s="100">
        <v>40</v>
      </c>
      <c r="P192" s="47" t="s">
        <v>55</v>
      </c>
      <c r="Q192" s="98" t="s">
        <v>1400</v>
      </c>
      <c r="R192" s="102" t="str">
        <f t="shared" si="0"/>
        <v>A9,A10,A15,A20,C4,C6,C12,D1,D2,D3,D4,D5,D6,D7,D8,D9,D10,D11,D12,D13,D14,D15,D17,D18,D19,D20,E1,E2,E3,E4,E5,E6,E7,E8,E9,E10,E11,E12,E14,E15,E16</v>
      </c>
    </row>
    <row r="193" spans="1:18" ht="15.75" customHeight="1">
      <c r="A193" s="44" t="s">
        <v>633</v>
      </c>
      <c r="B193" s="47">
        <v>953649</v>
      </c>
      <c r="C193" s="46" t="s">
        <v>634</v>
      </c>
      <c r="D193" s="47" t="s">
        <v>569</v>
      </c>
      <c r="E193" s="99">
        <v>600</v>
      </c>
      <c r="F193" s="49">
        <v>46191</v>
      </c>
      <c r="G193" s="49">
        <v>46282</v>
      </c>
      <c r="H193" s="47" t="s">
        <v>635</v>
      </c>
      <c r="I193" s="100"/>
      <c r="J193" s="52">
        <v>17.399999999999999</v>
      </c>
      <c r="K193" s="103" t="s">
        <v>1422</v>
      </c>
      <c r="L193" s="61" t="s">
        <v>54</v>
      </c>
      <c r="M193" s="54" t="str">
        <f>VLOOKUP(L193,Packaging!$B$3:$C$21,2,0)</f>
        <v>290 X 200 X 140</v>
      </c>
      <c r="N193" s="47"/>
      <c r="O193" s="100">
        <v>100</v>
      </c>
      <c r="P193" s="47" t="s">
        <v>55</v>
      </c>
      <c r="Q193" s="98" t="s">
        <v>1400</v>
      </c>
      <c r="R193" s="102" t="str">
        <f t="shared" si="0"/>
        <v>A9,A10,A15,A20,C4,C6,C12,D1,D2,D3,D4,D5,D6,D7,D8,D9,D10,D11,D12,D13,D14,D15,D17,D18,D19,D20,E1,E2,E3,E4,E5,E6,E7,E8,E9,E10,E11,E12,E14,E15,E16</v>
      </c>
    </row>
    <row r="194" spans="1:18" ht="15.75" customHeight="1">
      <c r="A194" s="44" t="s">
        <v>636</v>
      </c>
      <c r="B194" s="47">
        <v>953650</v>
      </c>
      <c r="C194" s="46" t="s">
        <v>637</v>
      </c>
      <c r="D194" s="47" t="s">
        <v>569</v>
      </c>
      <c r="E194" s="99">
        <v>600</v>
      </c>
      <c r="F194" s="49">
        <v>46191</v>
      </c>
      <c r="G194" s="49">
        <v>46282</v>
      </c>
      <c r="H194" s="47" t="s">
        <v>635</v>
      </c>
      <c r="I194" s="100"/>
      <c r="J194" s="52">
        <v>17.399999999999999</v>
      </c>
      <c r="K194" s="103" t="s">
        <v>1423</v>
      </c>
      <c r="L194" s="61" t="s">
        <v>54</v>
      </c>
      <c r="M194" s="54" t="str">
        <f>VLOOKUP(L194,Packaging!$B$3:$C$21,2,0)</f>
        <v>290 X 200 X 140</v>
      </c>
      <c r="N194" s="47"/>
      <c r="O194" s="100">
        <v>100</v>
      </c>
      <c r="P194" s="47" t="s">
        <v>55</v>
      </c>
      <c r="Q194" s="98" t="s">
        <v>1400</v>
      </c>
      <c r="R194" s="102" t="str">
        <f t="shared" si="0"/>
        <v>A9,A10,A15,A20,C4,C6,C12,D1,D2,D3,D4,D5,D6,D7,D8,D9,D10,D11,D12,D13,D14,D15,D17,D18,D19,D20,E1,E2,E3,E4,E5,E6,E7,E8,E9,E10,E11,E12,E14,E15,E16</v>
      </c>
    </row>
    <row r="195" spans="1:18" ht="15.75" customHeight="1">
      <c r="A195" s="44" t="s">
        <v>638</v>
      </c>
      <c r="B195" s="47">
        <v>953652</v>
      </c>
      <c r="C195" s="46" t="s">
        <v>639</v>
      </c>
      <c r="D195" s="47" t="s">
        <v>569</v>
      </c>
      <c r="E195" s="99">
        <v>600</v>
      </c>
      <c r="F195" s="49">
        <v>46191</v>
      </c>
      <c r="G195" s="49">
        <v>46282</v>
      </c>
      <c r="H195" s="47" t="s">
        <v>640</v>
      </c>
      <c r="I195" s="100"/>
      <c r="J195" s="52">
        <v>12.6</v>
      </c>
      <c r="K195" s="103" t="s">
        <v>1424</v>
      </c>
      <c r="L195" s="47"/>
      <c r="M195" s="54" t="e">
        <f>VLOOKUP(L195,Packaging!$B$3:$C$21,2,0)</f>
        <v>#N/A</v>
      </c>
      <c r="N195" s="47"/>
      <c r="O195" s="100">
        <v>100</v>
      </c>
      <c r="P195" s="47" t="s">
        <v>55</v>
      </c>
      <c r="Q195" s="98" t="s">
        <v>1400</v>
      </c>
      <c r="R195" s="102" t="str">
        <f t="shared" si="0"/>
        <v>A9,A10,A15,A20,C4,C6,C12,D1,D2,D3,D4,D5,D6,D7,D8,D9,D10,D11,D12,D13,D14,D15,D17,D18,D19,D20,E1,E2,E3,E4,E5,E6,E7,E8,E9,E10,E11,E12,E14,E15,E16</v>
      </c>
    </row>
    <row r="196" spans="1:18" ht="15.75" customHeight="1">
      <c r="A196" s="44" t="s">
        <v>641</v>
      </c>
      <c r="B196" s="47">
        <v>953653</v>
      </c>
      <c r="C196" s="46" t="s">
        <v>642</v>
      </c>
      <c r="D196" s="47" t="s">
        <v>569</v>
      </c>
      <c r="E196" s="99">
        <v>150</v>
      </c>
      <c r="F196" s="49">
        <v>46191</v>
      </c>
      <c r="G196" s="49">
        <v>46282</v>
      </c>
      <c r="H196" s="47" t="s">
        <v>643</v>
      </c>
      <c r="I196" s="100">
        <v>280</v>
      </c>
      <c r="J196" s="52">
        <v>20.8</v>
      </c>
      <c r="K196" s="103" t="s">
        <v>1425</v>
      </c>
      <c r="L196" s="50" t="s">
        <v>54</v>
      </c>
      <c r="M196" s="54" t="str">
        <f>VLOOKUP(L196,Packaging!$B$3:$C$21,2,0)</f>
        <v>290 X 200 X 140</v>
      </c>
      <c r="N196" s="47"/>
      <c r="O196" s="100">
        <v>30</v>
      </c>
      <c r="P196" s="47" t="s">
        <v>55</v>
      </c>
      <c r="Q196" s="98" t="s">
        <v>1400</v>
      </c>
      <c r="R196" s="102" t="str">
        <f t="shared" si="0"/>
        <v>A9,A10,A15,A20,C4,C6,C12,D1,D2,D3,D4,D5,D6,D7,D8,D9,D10,D11,D12,D13,D14,D15,D17,D18,D19,D20,E1,E2,E3,E4,E5,E6,E7,E8,E9,E10,E11,E12,E14,E15,E16</v>
      </c>
    </row>
    <row r="197" spans="1:18" ht="15.75" customHeight="1">
      <c r="A197" s="44" t="s">
        <v>644</v>
      </c>
      <c r="B197" s="47">
        <v>953651</v>
      </c>
      <c r="C197" s="46" t="s">
        <v>645</v>
      </c>
      <c r="D197" s="47" t="s">
        <v>569</v>
      </c>
      <c r="E197" s="99">
        <v>250</v>
      </c>
      <c r="F197" s="49">
        <v>46191</v>
      </c>
      <c r="G197" s="49">
        <v>46282</v>
      </c>
      <c r="H197" s="47" t="s">
        <v>646</v>
      </c>
      <c r="I197" s="100"/>
      <c r="J197" s="52">
        <v>70</v>
      </c>
      <c r="K197" s="103" t="s">
        <v>1426</v>
      </c>
      <c r="L197" s="47"/>
      <c r="M197" s="54" t="e">
        <f>VLOOKUP(L197,Packaging!$B$3:$C$21,2,0)</f>
        <v>#N/A</v>
      </c>
      <c r="N197" s="47"/>
      <c r="O197" s="100"/>
      <c r="P197" s="47" t="s">
        <v>55</v>
      </c>
      <c r="Q197" s="98" t="s">
        <v>1400</v>
      </c>
      <c r="R197" s="102" t="str">
        <f t="shared" si="0"/>
        <v>A9,A10,A15,A20,C4,C6,C12,D1,D2,D3,D4,D5,D6,D7,D8,D9,D10,D11,D12,D13,D14,D15,D17,D18,D19,D20,E1,E2,E3,E4,E5,E6,E7,E8,E9,E10,E11,E12,E14,E15,E16</v>
      </c>
    </row>
    <row r="198" spans="1:18" ht="15.75" customHeight="1">
      <c r="A198" s="44" t="s">
        <v>647</v>
      </c>
      <c r="B198" s="47">
        <v>947863</v>
      </c>
      <c r="C198" s="46" t="s">
        <v>648</v>
      </c>
      <c r="D198" s="47" t="s">
        <v>569</v>
      </c>
      <c r="E198" s="99">
        <v>500</v>
      </c>
      <c r="F198" s="49">
        <v>46191</v>
      </c>
      <c r="G198" s="49">
        <v>46282</v>
      </c>
      <c r="H198" s="47" t="s">
        <v>649</v>
      </c>
      <c r="I198" s="100">
        <v>280</v>
      </c>
      <c r="J198" s="52">
        <v>42.4</v>
      </c>
      <c r="K198" s="103" t="s">
        <v>1427</v>
      </c>
      <c r="L198" s="50" t="s">
        <v>54</v>
      </c>
      <c r="M198" s="54" t="str">
        <f>VLOOKUP(L198,Packaging!$B$3:$C$21,2,0)</f>
        <v>290 X 200 X 140</v>
      </c>
      <c r="N198" s="47"/>
      <c r="O198" s="100">
        <v>100</v>
      </c>
      <c r="P198" s="47" t="s">
        <v>55</v>
      </c>
      <c r="Q198" s="98" t="s">
        <v>1400</v>
      </c>
      <c r="R198" s="102" t="str">
        <f t="shared" si="0"/>
        <v>A9,A10,A15,A20,C4,C6,C12,D1,D2,D3,D4,D5,D6,D7,D8,D9,D10,D11,D12,D13,D14,D15,D17,D18,D19,D20,E1,E2,E3,E4,E5,E6,E7,E8,E9,E10,E11,E12,E14,E15,E16</v>
      </c>
    </row>
    <row r="199" spans="1:18" ht="15.75" customHeight="1">
      <c r="A199" s="44" t="s">
        <v>650</v>
      </c>
      <c r="B199" s="47">
        <v>948391</v>
      </c>
      <c r="C199" s="46" t="s">
        <v>651</v>
      </c>
      <c r="D199" s="47" t="s">
        <v>569</v>
      </c>
      <c r="E199" s="99">
        <v>540</v>
      </c>
      <c r="F199" s="49">
        <v>46191</v>
      </c>
      <c r="G199" s="49">
        <v>46282</v>
      </c>
      <c r="H199" s="47" t="s">
        <v>652</v>
      </c>
      <c r="I199" s="100">
        <v>280</v>
      </c>
      <c r="J199" s="52">
        <v>35.4</v>
      </c>
      <c r="K199" s="103" t="s">
        <v>1428</v>
      </c>
      <c r="L199" s="50" t="s">
        <v>54</v>
      </c>
      <c r="M199" s="54" t="str">
        <f>VLOOKUP(L199,Packaging!$B$3:$C$21,2,0)</f>
        <v>290 X 200 X 140</v>
      </c>
      <c r="N199" s="47"/>
      <c r="O199" s="100">
        <v>15</v>
      </c>
      <c r="P199" s="47" t="s">
        <v>55</v>
      </c>
      <c r="Q199" s="98" t="s">
        <v>1400</v>
      </c>
      <c r="R199" s="102" t="str">
        <f t="shared" si="0"/>
        <v>A9,A10,A15,A20,C4,C6,C12,D1,D2,D3,D4,D5,D6,D7,D8,D9,D10,D11,D12,D13,D14,D15,D17,D18,D19,D20,E1,E2,E3,E4,E5,E6,E7,E8,E9,E10,E11,E12,E14,E15,E16</v>
      </c>
    </row>
    <row r="200" spans="1:18" ht="15.75" customHeight="1">
      <c r="A200" s="44" t="s">
        <v>653</v>
      </c>
      <c r="B200" s="47">
        <v>948415</v>
      </c>
      <c r="C200" s="46" t="s">
        <v>654</v>
      </c>
      <c r="D200" s="47" t="s">
        <v>569</v>
      </c>
      <c r="E200" s="99">
        <v>540</v>
      </c>
      <c r="F200" s="49">
        <v>46191</v>
      </c>
      <c r="G200" s="49">
        <v>46282</v>
      </c>
      <c r="H200" s="47" t="s">
        <v>652</v>
      </c>
      <c r="I200" s="100">
        <v>280</v>
      </c>
      <c r="J200" s="52">
        <v>35.4</v>
      </c>
      <c r="K200" s="103" t="s">
        <v>1429</v>
      </c>
      <c r="L200" s="50" t="s">
        <v>54</v>
      </c>
      <c r="M200" s="54" t="str">
        <f>VLOOKUP(L200,Packaging!$B$3:$C$21,2,0)</f>
        <v>290 X 200 X 140</v>
      </c>
      <c r="N200" s="47"/>
      <c r="O200" s="100">
        <v>15</v>
      </c>
      <c r="P200" s="47" t="s">
        <v>55</v>
      </c>
      <c r="Q200" s="98" t="s">
        <v>1400</v>
      </c>
      <c r="R200" s="102" t="str">
        <f t="shared" si="0"/>
        <v>A9,A10,A15,A20,C4,C6,C12,D1,D2,D3,D4,D5,D6,D7,D8,D9,D10,D11,D12,D13,D14,D15,D17,D18,D19,D20,E1,E2,E3,E4,E5,E6,E7,E8,E9,E10,E11,E12,E14,E15,E16</v>
      </c>
    </row>
    <row r="201" spans="1:18" ht="15.75" customHeight="1">
      <c r="A201" s="44" t="s">
        <v>655</v>
      </c>
      <c r="B201" s="47">
        <v>949806</v>
      </c>
      <c r="C201" s="46" t="s">
        <v>656</v>
      </c>
      <c r="D201" s="47" t="s">
        <v>569</v>
      </c>
      <c r="E201" s="99">
        <v>10</v>
      </c>
      <c r="F201" s="49">
        <v>46191</v>
      </c>
      <c r="G201" s="49">
        <v>46282</v>
      </c>
      <c r="H201" s="47" t="s">
        <v>657</v>
      </c>
      <c r="I201" s="100"/>
      <c r="J201" s="52">
        <v>163.9</v>
      </c>
      <c r="K201" s="103" t="s">
        <v>1430</v>
      </c>
      <c r="L201" s="47" t="s">
        <v>658</v>
      </c>
      <c r="M201" s="54" t="e">
        <f>VLOOKUP(L201,Packaging!$B$3:$C$21,2,0)</f>
        <v>#N/A</v>
      </c>
      <c r="N201" s="47" t="s">
        <v>659</v>
      </c>
      <c r="O201" s="100">
        <v>10</v>
      </c>
      <c r="P201" s="47" t="s">
        <v>55</v>
      </c>
      <c r="Q201" s="98" t="s">
        <v>1400</v>
      </c>
      <c r="R201" s="102" t="str">
        <f t="shared" si="0"/>
        <v>A9,A10,A15,A20,C4,C6,C12,D1,D2,D3,D4,D5,D6,D7,D8,D9,D10,D11,D12,D13,D14,D15,D17,D18,D19,D20,E1,E2,E3,E4,E5,E6,E7,E8,E9,E10,E11,E12,E14,E15,E16</v>
      </c>
    </row>
    <row r="202" spans="1:18" ht="15.75" customHeight="1">
      <c r="A202" s="44" t="s">
        <v>660</v>
      </c>
      <c r="B202" s="47">
        <v>949809</v>
      </c>
      <c r="C202" s="46" t="s">
        <v>661</v>
      </c>
      <c r="D202" s="47" t="s">
        <v>569</v>
      </c>
      <c r="E202" s="99">
        <v>10</v>
      </c>
      <c r="F202" s="49">
        <v>46191</v>
      </c>
      <c r="G202" s="49">
        <v>46282</v>
      </c>
      <c r="H202" s="47" t="s">
        <v>662</v>
      </c>
      <c r="I202" s="100"/>
      <c r="J202" s="52">
        <v>310.2</v>
      </c>
      <c r="K202" s="103" t="s">
        <v>1431</v>
      </c>
      <c r="L202" s="47" t="s">
        <v>663</v>
      </c>
      <c r="M202" s="54" t="e">
        <f>VLOOKUP(L202,Packaging!$B$3:$C$21,2,0)</f>
        <v>#N/A</v>
      </c>
      <c r="N202" s="47" t="s">
        <v>659</v>
      </c>
      <c r="O202" s="100">
        <v>10</v>
      </c>
      <c r="P202" s="47" t="s">
        <v>55</v>
      </c>
      <c r="Q202" s="98" t="s">
        <v>1400</v>
      </c>
      <c r="R202" s="102" t="str">
        <f t="shared" si="0"/>
        <v>A9,A10,A15,A20,C4,C6,C12,D1,D2,D3,D4,D5,D6,D7,D8,D9,D10,D11,D12,D13,D14,D15,D17,D18,D19,D20,E1,E2,E3,E4,E5,E6,E7,E8,E9,E10,E11,E12,E14,E15,E16</v>
      </c>
    </row>
    <row r="203" spans="1:18" ht="15.75" customHeight="1">
      <c r="A203" s="44" t="s">
        <v>664</v>
      </c>
      <c r="B203" s="47">
        <v>949805</v>
      </c>
      <c r="C203" s="46" t="s">
        <v>665</v>
      </c>
      <c r="D203" s="47" t="s">
        <v>569</v>
      </c>
      <c r="E203" s="99">
        <v>10</v>
      </c>
      <c r="F203" s="49">
        <v>46191</v>
      </c>
      <c r="G203" s="49">
        <v>46282</v>
      </c>
      <c r="H203" s="47" t="s">
        <v>666</v>
      </c>
      <c r="I203" s="100"/>
      <c r="J203" s="52">
        <v>163</v>
      </c>
      <c r="K203" s="103" t="s">
        <v>1432</v>
      </c>
      <c r="L203" s="47" t="s">
        <v>663</v>
      </c>
      <c r="M203" s="54" t="e">
        <f>VLOOKUP(L203,Packaging!$B$3:$C$21,2,0)</f>
        <v>#N/A</v>
      </c>
      <c r="N203" s="47" t="s">
        <v>659</v>
      </c>
      <c r="O203" s="100">
        <v>10</v>
      </c>
      <c r="P203" s="47" t="s">
        <v>55</v>
      </c>
      <c r="Q203" s="98" t="s">
        <v>1400</v>
      </c>
      <c r="R203" s="102" t="str">
        <f t="shared" si="0"/>
        <v>A9,A10,A15,A20,C4,C6,C12,D1,D2,D3,D4,D5,D6,D7,D8,D9,D10,D11,D12,D13,D14,D15,D17,D18,D19,D20,E1,E2,E3,E4,E5,E6,E7,E8,E9,E10,E11,E12,E14,E15,E16</v>
      </c>
    </row>
    <row r="204" spans="1:18" ht="15.75" customHeight="1">
      <c r="A204" s="44" t="s">
        <v>667</v>
      </c>
      <c r="B204" s="47">
        <v>953757</v>
      </c>
      <c r="C204" s="46" t="s">
        <v>668</v>
      </c>
      <c r="D204" s="47" t="s">
        <v>569</v>
      </c>
      <c r="E204" s="99"/>
      <c r="F204" s="49">
        <v>46191</v>
      </c>
      <c r="G204" s="49">
        <v>46282</v>
      </c>
      <c r="H204" s="47" t="s">
        <v>669</v>
      </c>
      <c r="I204" s="100"/>
      <c r="J204" s="52">
        <v>44</v>
      </c>
      <c r="K204" s="103">
        <v>0</v>
      </c>
      <c r="L204" s="47"/>
      <c r="M204" s="54" t="e">
        <f>VLOOKUP(L204,Packaging!$B$3:$C$21,2,0)</f>
        <v>#N/A</v>
      </c>
      <c r="N204" s="47"/>
      <c r="O204" s="100">
        <v>10</v>
      </c>
      <c r="P204" s="47" t="s">
        <v>55</v>
      </c>
      <c r="Q204" s="98" t="s">
        <v>1400</v>
      </c>
      <c r="R204" s="102" t="str">
        <f t="shared" si="0"/>
        <v>A9,A10,A15,A20,C4,C6,C12,D1,D2,D3,D4,D5,D6,D7,D8,D9,D10,D11,D12,D13,D14,D15,D17,D18,D19,D20,E1,E2,E3,E4,E5,E6,E7,E8,E9,E10,E11,E12,E14,E15,E16</v>
      </c>
    </row>
    <row r="205" spans="1:18" ht="15.75" customHeight="1">
      <c r="A205" s="44" t="s">
        <v>670</v>
      </c>
      <c r="B205" s="47">
        <v>950587</v>
      </c>
      <c r="C205" s="46" t="s">
        <v>671</v>
      </c>
      <c r="D205" s="47" t="s">
        <v>569</v>
      </c>
      <c r="E205" s="99">
        <v>1000</v>
      </c>
      <c r="F205" s="49">
        <v>46191</v>
      </c>
      <c r="G205" s="49">
        <v>46282</v>
      </c>
      <c r="H205" s="47" t="s">
        <v>672</v>
      </c>
      <c r="I205" s="100">
        <v>244</v>
      </c>
      <c r="J205" s="52">
        <v>10.8</v>
      </c>
      <c r="K205" s="103" t="s">
        <v>1433</v>
      </c>
      <c r="L205" s="61" t="s">
        <v>274</v>
      </c>
      <c r="M205" s="54" t="str">
        <f>VLOOKUP(L205,Packaging!$B$3:$C$21,2,0)</f>
        <v>290 X 200 X 100</v>
      </c>
      <c r="N205" s="47"/>
      <c r="O205" s="100">
        <v>250</v>
      </c>
      <c r="P205" s="47" t="s">
        <v>55</v>
      </c>
      <c r="Q205" s="98" t="s">
        <v>1400</v>
      </c>
      <c r="R205" s="102" t="str">
        <f t="shared" si="0"/>
        <v>A9,A10,A15,A20,C4,C6,C12,D1,D2,D3,D4,D5,D6,D7,D8,D9,D10,D11,D12,D13,D14,D15,D17,D18,D19,D20,E1,E2,E3,E4,E5,E6,E7,E8,E9,E10,E11,E12,E14,E15,E16</v>
      </c>
    </row>
    <row r="206" spans="1:18" ht="15.75" customHeight="1">
      <c r="A206" s="44" t="s">
        <v>673</v>
      </c>
      <c r="B206" s="47">
        <v>950588</v>
      </c>
      <c r="C206" s="46" t="s">
        <v>674</v>
      </c>
      <c r="D206" s="47" t="s">
        <v>569</v>
      </c>
      <c r="E206" s="99">
        <v>1000</v>
      </c>
      <c r="F206" s="49">
        <v>46191</v>
      </c>
      <c r="G206" s="49">
        <v>46282</v>
      </c>
      <c r="H206" s="47" t="s">
        <v>675</v>
      </c>
      <c r="I206" s="100">
        <v>244</v>
      </c>
      <c r="J206" s="52">
        <v>10.199999999999999</v>
      </c>
      <c r="K206" s="103" t="s">
        <v>1434</v>
      </c>
      <c r="L206" s="61" t="s">
        <v>274</v>
      </c>
      <c r="M206" s="54" t="str">
        <f>VLOOKUP(L206,Packaging!$B$3:$C$21,2,0)</f>
        <v>290 X 200 X 100</v>
      </c>
      <c r="N206" s="47"/>
      <c r="O206" s="100">
        <v>250</v>
      </c>
      <c r="P206" s="47" t="s">
        <v>55</v>
      </c>
      <c r="Q206" s="98" t="s">
        <v>1400</v>
      </c>
      <c r="R206" s="102" t="str">
        <f t="shared" si="0"/>
        <v>A9,A10,A15,A20,C4,C6,C12,D1,D2,D3,D4,D5,D6,D7,D8,D9,D10,D11,D12,D13,D14,D15,D17,D18,D19,D20,E1,E2,E3,E4,E5,E6,E7,E8,E9,E10,E11,E12,E14,E15,E16</v>
      </c>
    </row>
    <row r="207" spans="1:18" ht="15.75" customHeight="1">
      <c r="A207" s="44" t="s">
        <v>676</v>
      </c>
      <c r="B207" s="47">
        <v>950589</v>
      </c>
      <c r="C207" s="46" t="s">
        <v>677</v>
      </c>
      <c r="D207" s="47" t="s">
        <v>569</v>
      </c>
      <c r="E207" s="99">
        <v>1000</v>
      </c>
      <c r="F207" s="49">
        <v>46191</v>
      </c>
      <c r="G207" s="49">
        <v>46282</v>
      </c>
      <c r="H207" s="47" t="s">
        <v>678</v>
      </c>
      <c r="I207" s="100">
        <v>244</v>
      </c>
      <c r="J207" s="52">
        <v>8.8000000000000007</v>
      </c>
      <c r="K207" s="103" t="s">
        <v>1435</v>
      </c>
      <c r="L207" s="61" t="s">
        <v>274</v>
      </c>
      <c r="M207" s="54" t="str">
        <f>VLOOKUP(L207,Packaging!$B$3:$C$21,2,0)</f>
        <v>290 X 200 X 100</v>
      </c>
      <c r="N207" s="47"/>
      <c r="O207" s="100">
        <v>250</v>
      </c>
      <c r="P207" s="47" t="s">
        <v>55</v>
      </c>
      <c r="Q207" s="98" t="s">
        <v>1400</v>
      </c>
      <c r="R207" s="102" t="str">
        <f t="shared" si="0"/>
        <v>A9,A10,A15,A20,C4,C6,C12,D1,D2,D3,D4,D5,D6,D7,D8,D9,D10,D11,D12,D13,D14,D15,D17,D18,D19,D20,E1,E2,E3,E4,E5,E6,E7,E8,E9,E10,E11,E12,E14,E15,E16</v>
      </c>
    </row>
    <row r="208" spans="1:18" ht="15.75" customHeight="1">
      <c r="A208" s="44" t="s">
        <v>679</v>
      </c>
      <c r="B208" s="47">
        <v>950590</v>
      </c>
      <c r="C208" s="46" t="s">
        <v>680</v>
      </c>
      <c r="D208" s="47" t="s">
        <v>569</v>
      </c>
      <c r="E208" s="99">
        <v>1000</v>
      </c>
      <c r="F208" s="49">
        <v>46191</v>
      </c>
      <c r="G208" s="49">
        <v>46282</v>
      </c>
      <c r="H208" s="47" t="s">
        <v>681</v>
      </c>
      <c r="I208" s="100">
        <v>244</v>
      </c>
      <c r="J208" s="52">
        <v>8.1999999999999993</v>
      </c>
      <c r="K208" s="103" t="s">
        <v>1436</v>
      </c>
      <c r="L208" s="61" t="s">
        <v>274</v>
      </c>
      <c r="M208" s="54" t="str">
        <f>VLOOKUP(L208,Packaging!$B$3:$C$21,2,0)</f>
        <v>290 X 200 X 100</v>
      </c>
      <c r="N208" s="47"/>
      <c r="O208" s="100">
        <v>250</v>
      </c>
      <c r="P208" s="47" t="s">
        <v>55</v>
      </c>
      <c r="Q208" s="98" t="s">
        <v>1400</v>
      </c>
      <c r="R208" s="102" t="str">
        <f t="shared" si="0"/>
        <v>A9,A10,A15,A20,C4,C6,C12,D1,D2,D3,D4,D5,D6,D7,D8,D9,D10,D11,D12,D13,D14,D15,D17,D18,D19,D20,E1,E2,E3,E4,E5,E6,E7,E8,E9,E10,E11,E12,E14,E15,E16</v>
      </c>
    </row>
    <row r="209" spans="1:18" ht="15.75" customHeight="1">
      <c r="A209" s="44" t="s">
        <v>682</v>
      </c>
      <c r="B209" s="47">
        <v>950591</v>
      </c>
      <c r="C209" s="46" t="s">
        <v>683</v>
      </c>
      <c r="D209" s="47" t="s">
        <v>569</v>
      </c>
      <c r="E209" s="99">
        <v>1000</v>
      </c>
      <c r="F209" s="49">
        <v>46191</v>
      </c>
      <c r="G209" s="49">
        <v>46282</v>
      </c>
      <c r="H209" s="47" t="s">
        <v>684</v>
      </c>
      <c r="I209" s="100">
        <v>244</v>
      </c>
      <c r="J209" s="52">
        <v>8.1999999999999993</v>
      </c>
      <c r="K209" s="103" t="s">
        <v>1437</v>
      </c>
      <c r="L209" s="61" t="s">
        <v>274</v>
      </c>
      <c r="M209" s="54" t="str">
        <f>VLOOKUP(L209,Packaging!$B$3:$C$21,2,0)</f>
        <v>290 X 200 X 100</v>
      </c>
      <c r="N209" s="47"/>
      <c r="O209" s="100">
        <v>250</v>
      </c>
      <c r="P209" s="47" t="s">
        <v>55</v>
      </c>
      <c r="Q209" s="98" t="s">
        <v>1400</v>
      </c>
      <c r="R209" s="102" t="str">
        <f t="shared" si="0"/>
        <v>A9,A10,A15,A20,C4,C6,C12,D1,D2,D3,D4,D5,D6,D7,D8,D9,D10,D11,D12,D13,D14,D15,D17,D18,D19,D20,E1,E2,E3,E4,E5,E6,E7,E8,E9,E10,E11,E12,E14,E15,E16</v>
      </c>
    </row>
    <row r="210" spans="1:18" ht="15.75" customHeight="1">
      <c r="A210" s="44" t="s">
        <v>685</v>
      </c>
      <c r="B210" s="47">
        <v>952568</v>
      </c>
      <c r="C210" s="46" t="s">
        <v>686</v>
      </c>
      <c r="D210" s="47" t="s">
        <v>569</v>
      </c>
      <c r="E210" s="99">
        <v>1000</v>
      </c>
      <c r="F210" s="49">
        <v>46191</v>
      </c>
      <c r="G210" s="49">
        <v>46282</v>
      </c>
      <c r="H210" s="47" t="s">
        <v>687</v>
      </c>
      <c r="I210" s="100">
        <v>244</v>
      </c>
      <c r="J210" s="52">
        <v>11.4</v>
      </c>
      <c r="K210" s="103" t="s">
        <v>1438</v>
      </c>
      <c r="L210" s="61" t="s">
        <v>274</v>
      </c>
      <c r="M210" s="54" t="str">
        <f>VLOOKUP(L210,Packaging!$B$3:$C$21,2,0)</f>
        <v>290 X 200 X 100</v>
      </c>
      <c r="N210" s="47"/>
      <c r="O210" s="100">
        <v>250</v>
      </c>
      <c r="P210" s="47" t="s">
        <v>55</v>
      </c>
      <c r="Q210" s="98" t="s">
        <v>1400</v>
      </c>
      <c r="R210" s="102" t="str">
        <f t="shared" si="0"/>
        <v>A9,A10,A15,A20,C4,C6,C12,D1,D2,D3,D4,D5,D6,D7,D8,D9,D10,D11,D12,D13,D14,D15,D17,D18,D19,D20,E1,E2,E3,E4,E5,E6,E7,E8,E9,E10,E11,E12,E14,E15,E16</v>
      </c>
    </row>
    <row r="211" spans="1:18" ht="15.75" customHeight="1">
      <c r="A211" s="44" t="s">
        <v>688</v>
      </c>
      <c r="B211" s="47">
        <v>952566</v>
      </c>
      <c r="C211" s="46" t="s">
        <v>689</v>
      </c>
      <c r="D211" s="47" t="s">
        <v>569</v>
      </c>
      <c r="E211" s="99">
        <v>350</v>
      </c>
      <c r="F211" s="49">
        <v>46191</v>
      </c>
      <c r="G211" s="49">
        <v>46282</v>
      </c>
      <c r="H211" s="47" t="s">
        <v>690</v>
      </c>
      <c r="I211" s="100">
        <v>280</v>
      </c>
      <c r="J211" s="52">
        <v>61.2</v>
      </c>
      <c r="K211" s="103" t="s">
        <v>1439</v>
      </c>
      <c r="L211" s="50" t="s">
        <v>54</v>
      </c>
      <c r="M211" s="54" t="str">
        <f>VLOOKUP(L211,Packaging!$B$3:$C$21,2,0)</f>
        <v>290 X 200 X 140</v>
      </c>
      <c r="N211" s="47"/>
      <c r="O211" s="100">
        <v>50</v>
      </c>
      <c r="P211" s="47" t="s">
        <v>55</v>
      </c>
      <c r="Q211" s="98" t="s">
        <v>1400</v>
      </c>
      <c r="R211" s="102" t="str">
        <f t="shared" si="0"/>
        <v>A9,A10,A15,A20,C4,C6,C12,D1,D2,D3,D4,D5,D6,D7,D8,D9,D10,D11,D12,D13,D14,D15,D17,D18,D19,D20,E1,E2,E3,E4,E5,E6,E7,E8,E9,E10,E11,E12,E14,E15,E16</v>
      </c>
    </row>
    <row r="212" spans="1:18" ht="15.75" customHeight="1">
      <c r="A212" s="44" t="s">
        <v>691</v>
      </c>
      <c r="B212" s="47">
        <v>954190</v>
      </c>
      <c r="C212" s="46" t="s">
        <v>692</v>
      </c>
      <c r="D212" s="47" t="s">
        <v>569</v>
      </c>
      <c r="E212" s="99">
        <v>1000</v>
      </c>
      <c r="F212" s="49">
        <v>46191</v>
      </c>
      <c r="G212" s="49">
        <v>46282</v>
      </c>
      <c r="H212" s="47" t="s">
        <v>693</v>
      </c>
      <c r="I212" s="100">
        <v>244</v>
      </c>
      <c r="J212" s="52">
        <v>11.6</v>
      </c>
      <c r="K212" s="103" t="s">
        <v>1440</v>
      </c>
      <c r="L212" s="61" t="s">
        <v>274</v>
      </c>
      <c r="M212" s="54" t="str">
        <f>VLOOKUP(L212,Packaging!$B$3:$C$21,2,0)</f>
        <v>290 X 200 X 100</v>
      </c>
      <c r="N212" s="47"/>
      <c r="O212" s="100">
        <v>250</v>
      </c>
      <c r="P212" s="47" t="s">
        <v>55</v>
      </c>
      <c r="Q212" s="98" t="s">
        <v>1400</v>
      </c>
      <c r="R212" s="102" t="str">
        <f t="shared" si="0"/>
        <v>A9,A10,A15,A20,C4,C6,C12,D1,D2,D3,D4,D5,D6,D7,D8,D9,D10,D11,D12,D13,D14,D15,D17,D18,D19,D20,E1,E2,E3,E4,E5,E6,E7,E8,E9,E10,E11,E12,E14,E15,E16</v>
      </c>
    </row>
    <row r="213" spans="1:18" ht="15.75" customHeight="1">
      <c r="A213" s="44" t="s">
        <v>694</v>
      </c>
      <c r="B213" s="47">
        <v>954191</v>
      </c>
      <c r="C213" s="46" t="s">
        <v>695</v>
      </c>
      <c r="D213" s="47" t="s">
        <v>569</v>
      </c>
      <c r="E213" s="99">
        <v>1000</v>
      </c>
      <c r="F213" s="49">
        <v>46191</v>
      </c>
      <c r="G213" s="49">
        <v>46282</v>
      </c>
      <c r="H213" s="47" t="s">
        <v>696</v>
      </c>
      <c r="I213" s="100">
        <v>244</v>
      </c>
      <c r="J213" s="52">
        <v>11.2</v>
      </c>
      <c r="K213" s="103" t="s">
        <v>1441</v>
      </c>
      <c r="L213" s="61" t="s">
        <v>274</v>
      </c>
      <c r="M213" s="54" t="str">
        <f>VLOOKUP(L213,Packaging!$B$3:$C$21,2,0)</f>
        <v>290 X 200 X 100</v>
      </c>
      <c r="N213" s="47"/>
      <c r="O213" s="100">
        <v>250</v>
      </c>
      <c r="P213" s="47" t="s">
        <v>55</v>
      </c>
      <c r="Q213" s="98" t="s">
        <v>1400</v>
      </c>
      <c r="R213" s="102" t="str">
        <f t="shared" si="0"/>
        <v>A9,A10,A15,A20,C4,C6,C12,D1,D2,D3,D4,D5,D6,D7,D8,D9,D10,D11,D12,D13,D14,D15,D17,D18,D19,D20,E1,E2,E3,E4,E5,E6,E7,E8,E9,E10,E11,E12,E14,E15,E16</v>
      </c>
    </row>
    <row r="214" spans="1:18" ht="15.75" customHeight="1">
      <c r="A214" s="44" t="s">
        <v>697</v>
      </c>
      <c r="B214" s="47">
        <v>954192</v>
      </c>
      <c r="C214" s="46" t="s">
        <v>698</v>
      </c>
      <c r="D214" s="47" t="s">
        <v>569</v>
      </c>
      <c r="E214" s="99">
        <v>1000</v>
      </c>
      <c r="F214" s="49">
        <v>46191</v>
      </c>
      <c r="G214" s="49">
        <v>46282</v>
      </c>
      <c r="H214" s="47" t="s">
        <v>699</v>
      </c>
      <c r="I214" s="100">
        <v>244</v>
      </c>
      <c r="J214" s="52">
        <v>10.4</v>
      </c>
      <c r="K214" s="103" t="s">
        <v>1442</v>
      </c>
      <c r="L214" s="61" t="s">
        <v>274</v>
      </c>
      <c r="M214" s="54" t="str">
        <f>VLOOKUP(L214,Packaging!$B$3:$C$21,2,0)</f>
        <v>290 X 200 X 100</v>
      </c>
      <c r="N214" s="47"/>
      <c r="O214" s="100">
        <v>250</v>
      </c>
      <c r="P214" s="47" t="s">
        <v>55</v>
      </c>
      <c r="Q214" s="98" t="s">
        <v>1400</v>
      </c>
      <c r="R214" s="102" t="str">
        <f t="shared" si="0"/>
        <v>A9,A10,A15,A20,C4,C6,C12,D1,D2,D3,D4,D5,D6,D7,D8,D9,D10,D11,D12,D13,D14,D15,D17,D18,D19,D20,E1,E2,E3,E4,E5,E6,E7,E8,E9,E10,E11,E12,E14,E15,E16</v>
      </c>
    </row>
    <row r="215" spans="1:18" ht="15.75" customHeight="1">
      <c r="A215" s="44" t="s">
        <v>700</v>
      </c>
      <c r="B215" s="47">
        <v>954193</v>
      </c>
      <c r="C215" s="46" t="s">
        <v>701</v>
      </c>
      <c r="D215" s="47" t="s">
        <v>569</v>
      </c>
      <c r="E215" s="99">
        <v>1000</v>
      </c>
      <c r="F215" s="49">
        <v>46191</v>
      </c>
      <c r="G215" s="49">
        <v>46282</v>
      </c>
      <c r="H215" s="47" t="s">
        <v>702</v>
      </c>
      <c r="I215" s="100">
        <v>244</v>
      </c>
      <c r="J215" s="52">
        <v>9.6</v>
      </c>
      <c r="K215" s="103" t="s">
        <v>1443</v>
      </c>
      <c r="L215" s="61" t="s">
        <v>274</v>
      </c>
      <c r="M215" s="54" t="str">
        <f>VLOOKUP(L215,Packaging!$B$3:$C$21,2,0)</f>
        <v>290 X 200 X 100</v>
      </c>
      <c r="N215" s="47"/>
      <c r="O215" s="100">
        <v>250</v>
      </c>
      <c r="P215" s="47" t="s">
        <v>55</v>
      </c>
      <c r="Q215" s="98" t="s">
        <v>1400</v>
      </c>
      <c r="R215" s="102" t="str">
        <f t="shared" si="0"/>
        <v>A9,A10,A15,A20,C4,C6,C12,D1,D2,D3,D4,D5,D6,D7,D8,D9,D10,D11,D12,D13,D14,D15,D17,D18,D19,D20,E1,E2,E3,E4,E5,E6,E7,E8,E9,E10,E11,E12,E14,E15,E16</v>
      </c>
    </row>
    <row r="216" spans="1:18" ht="15.75" customHeight="1">
      <c r="A216" s="44" t="s">
        <v>703</v>
      </c>
      <c r="B216" s="47">
        <v>952772</v>
      </c>
      <c r="C216" s="46" t="s">
        <v>692</v>
      </c>
      <c r="D216" s="47" t="s">
        <v>569</v>
      </c>
      <c r="E216" s="99">
        <v>1000</v>
      </c>
      <c r="F216" s="49">
        <v>46191</v>
      </c>
      <c r="G216" s="49">
        <v>46282</v>
      </c>
      <c r="H216" s="47" t="s">
        <v>704</v>
      </c>
      <c r="I216" s="100">
        <v>244</v>
      </c>
      <c r="J216" s="52">
        <v>12.6</v>
      </c>
      <c r="K216" s="103" t="s">
        <v>1444</v>
      </c>
      <c r="L216" s="61" t="s">
        <v>274</v>
      </c>
      <c r="M216" s="54" t="str">
        <f>VLOOKUP(L216,Packaging!$B$3:$C$21,2,0)</f>
        <v>290 X 200 X 100</v>
      </c>
      <c r="N216" s="47"/>
      <c r="O216" s="100">
        <v>250</v>
      </c>
      <c r="P216" s="47" t="s">
        <v>55</v>
      </c>
      <c r="Q216" s="98" t="s">
        <v>1400</v>
      </c>
      <c r="R216" s="102" t="str">
        <f t="shared" si="0"/>
        <v>A9,A10,A15,A20,C4,C6,C12,D1,D2,D3,D4,D5,D6,D7,D8,D9,D10,D11,D12,D13,D14,D15,D17,D18,D19,D20,E1,E2,E3,E4,E5,E6,E7,E8,E9,E10,E11,E12,E14,E15,E16</v>
      </c>
    </row>
    <row r="217" spans="1:18" ht="15.75" customHeight="1">
      <c r="A217" s="44" t="s">
        <v>705</v>
      </c>
      <c r="B217" s="47">
        <v>952773</v>
      </c>
      <c r="C217" s="46" t="s">
        <v>706</v>
      </c>
      <c r="D217" s="47" t="s">
        <v>569</v>
      </c>
      <c r="E217" s="99">
        <v>1000</v>
      </c>
      <c r="F217" s="49">
        <v>46191</v>
      </c>
      <c r="G217" s="49">
        <v>46282</v>
      </c>
      <c r="H217" s="47" t="s">
        <v>707</v>
      </c>
      <c r="I217" s="100">
        <v>244</v>
      </c>
      <c r="J217" s="52">
        <v>12.4</v>
      </c>
      <c r="K217" s="103" t="s">
        <v>1445</v>
      </c>
      <c r="L217" s="61" t="s">
        <v>274</v>
      </c>
      <c r="M217" s="54" t="str">
        <f>VLOOKUP(L217,Packaging!$B$3:$C$21,2,0)</f>
        <v>290 X 200 X 100</v>
      </c>
      <c r="N217" s="47"/>
      <c r="O217" s="100">
        <v>250</v>
      </c>
      <c r="P217" s="47" t="s">
        <v>55</v>
      </c>
      <c r="Q217" s="98" t="s">
        <v>1400</v>
      </c>
      <c r="R217" s="102" t="str">
        <f t="shared" si="0"/>
        <v>A9,A10,A15,A20,C4,C6,C12,D1,D2,D3,D4,D5,D6,D7,D8,D9,D10,D11,D12,D13,D14,D15,D17,D18,D19,D20,E1,E2,E3,E4,E5,E6,E7,E8,E9,E10,E11,E12,E14,E15,E16</v>
      </c>
    </row>
    <row r="218" spans="1:18" ht="15.75" customHeight="1">
      <c r="A218" s="44" t="s">
        <v>708</v>
      </c>
      <c r="B218" s="47">
        <v>952774</v>
      </c>
      <c r="C218" s="46" t="s">
        <v>698</v>
      </c>
      <c r="D218" s="47" t="s">
        <v>569</v>
      </c>
      <c r="E218" s="99">
        <v>1000</v>
      </c>
      <c r="F218" s="49">
        <v>46191</v>
      </c>
      <c r="G218" s="49">
        <v>46282</v>
      </c>
      <c r="H218" s="47" t="s">
        <v>709</v>
      </c>
      <c r="I218" s="100">
        <v>244</v>
      </c>
      <c r="J218" s="52">
        <v>11.6</v>
      </c>
      <c r="K218" s="103" t="s">
        <v>1446</v>
      </c>
      <c r="L218" s="61" t="s">
        <v>274</v>
      </c>
      <c r="M218" s="54" t="str">
        <f>VLOOKUP(L218,Packaging!$B$3:$C$21,2,0)</f>
        <v>290 X 200 X 100</v>
      </c>
      <c r="N218" s="47"/>
      <c r="O218" s="100">
        <v>250</v>
      </c>
      <c r="P218" s="47" t="s">
        <v>55</v>
      </c>
      <c r="Q218" s="98" t="s">
        <v>1400</v>
      </c>
      <c r="R218" s="102" t="str">
        <f t="shared" si="0"/>
        <v>A9,A10,A15,A20,C4,C6,C12,D1,D2,D3,D4,D5,D6,D7,D8,D9,D10,D11,D12,D13,D14,D15,D17,D18,D19,D20,E1,E2,E3,E4,E5,E6,E7,E8,E9,E10,E11,E12,E14,E15,E16</v>
      </c>
    </row>
    <row r="219" spans="1:18" ht="15.75" customHeight="1">
      <c r="A219" s="44" t="s">
        <v>710</v>
      </c>
      <c r="B219" s="47">
        <v>952775</v>
      </c>
      <c r="C219" s="46" t="s">
        <v>711</v>
      </c>
      <c r="D219" s="47" t="s">
        <v>569</v>
      </c>
      <c r="E219" s="99">
        <v>1000</v>
      </c>
      <c r="F219" s="49">
        <v>46191</v>
      </c>
      <c r="G219" s="49">
        <v>46282</v>
      </c>
      <c r="H219" s="47" t="s">
        <v>712</v>
      </c>
      <c r="I219" s="100">
        <v>244</v>
      </c>
      <c r="J219" s="52">
        <v>10.4</v>
      </c>
      <c r="K219" s="103" t="s">
        <v>1447</v>
      </c>
      <c r="L219" s="61" t="s">
        <v>274</v>
      </c>
      <c r="M219" s="54" t="str">
        <f>VLOOKUP(L219,Packaging!$B$3:$C$21,2,0)</f>
        <v>290 X 200 X 100</v>
      </c>
      <c r="N219" s="47"/>
      <c r="O219" s="100">
        <v>250</v>
      </c>
      <c r="P219" s="47" t="s">
        <v>55</v>
      </c>
      <c r="Q219" s="98" t="s">
        <v>1400</v>
      </c>
      <c r="R219" s="102" t="str">
        <f t="shared" si="0"/>
        <v>A9,A10,A15,A20,C4,C6,C12,D1,D2,D3,D4,D5,D6,D7,D8,D9,D10,D11,D12,D13,D14,D15,D17,D18,D19,D20,E1,E2,E3,E4,E5,E6,E7,E8,E9,E10,E11,E12,E14,E15,E16</v>
      </c>
    </row>
    <row r="220" spans="1:18" ht="15.75" customHeight="1">
      <c r="A220" s="44" t="s">
        <v>713</v>
      </c>
      <c r="B220" s="47">
        <v>816717</v>
      </c>
      <c r="C220" s="46" t="s">
        <v>714</v>
      </c>
      <c r="D220" s="47" t="s">
        <v>569</v>
      </c>
      <c r="E220" s="99">
        <v>800</v>
      </c>
      <c r="F220" s="49">
        <v>46191</v>
      </c>
      <c r="G220" s="49">
        <v>46282</v>
      </c>
      <c r="H220" s="47" t="s">
        <v>715</v>
      </c>
      <c r="I220" s="100">
        <v>244</v>
      </c>
      <c r="J220" s="52">
        <v>22.2</v>
      </c>
      <c r="K220" s="103" t="s">
        <v>1448</v>
      </c>
      <c r="L220" s="61" t="s">
        <v>274</v>
      </c>
      <c r="M220" s="54" t="str">
        <f>VLOOKUP(L220,Packaging!$B$3:$C$21,2,0)</f>
        <v>290 X 200 X 100</v>
      </c>
      <c r="N220" s="47"/>
      <c r="O220" s="100">
        <v>50</v>
      </c>
      <c r="P220" s="47" t="s">
        <v>55</v>
      </c>
      <c r="Q220" s="98" t="s">
        <v>1400</v>
      </c>
      <c r="R220" s="102" t="str">
        <f t="shared" si="0"/>
        <v>A9,A10,A15,A20,C4,C6,C12,D1,D2,D3,D4,D5,D6,D7,D8,D9,D10,D11,D12,D13,D14,D15,D17,D18,D19,D20,E1,E2,E3,E4,E5,E6,E7,E8,E9,E10,E11,E12,E14,E15,E16</v>
      </c>
    </row>
    <row r="221" spans="1:18" ht="15.75" customHeight="1">
      <c r="A221" s="44" t="s">
        <v>716</v>
      </c>
      <c r="B221" s="47">
        <v>816718</v>
      </c>
      <c r="C221" s="46" t="s">
        <v>717</v>
      </c>
      <c r="D221" s="47" t="s">
        <v>569</v>
      </c>
      <c r="E221" s="99">
        <v>800</v>
      </c>
      <c r="F221" s="49">
        <v>46191</v>
      </c>
      <c r="G221" s="49">
        <v>46282</v>
      </c>
      <c r="H221" s="47" t="s">
        <v>718</v>
      </c>
      <c r="I221" s="100">
        <v>244</v>
      </c>
      <c r="J221" s="52">
        <v>20.8</v>
      </c>
      <c r="K221" s="103" t="s">
        <v>1449</v>
      </c>
      <c r="L221" s="61" t="s">
        <v>274</v>
      </c>
      <c r="M221" s="54" t="str">
        <f>VLOOKUP(L221,Packaging!$B$3:$C$21,2,0)</f>
        <v>290 X 200 X 100</v>
      </c>
      <c r="N221" s="47"/>
      <c r="O221" s="100">
        <v>50</v>
      </c>
      <c r="P221" s="47" t="s">
        <v>55</v>
      </c>
      <c r="Q221" s="98" t="s">
        <v>1400</v>
      </c>
      <c r="R221" s="102" t="str">
        <f t="shared" si="0"/>
        <v>A9,A10,A15,A20,C4,C6,C12,D1,D2,D3,D4,D5,D6,D7,D8,D9,D10,D11,D12,D13,D14,D15,D17,D18,D19,D20,E1,E2,E3,E4,E5,E6,E7,E8,E9,E10,E11,E12,E14,E15,E16</v>
      </c>
    </row>
    <row r="222" spans="1:18" ht="15.75" customHeight="1">
      <c r="A222" s="44" t="s">
        <v>719</v>
      </c>
      <c r="B222" s="47">
        <v>816719</v>
      </c>
      <c r="C222" s="46" t="s">
        <v>720</v>
      </c>
      <c r="D222" s="47" t="s">
        <v>569</v>
      </c>
      <c r="E222" s="99">
        <v>800</v>
      </c>
      <c r="F222" s="49">
        <v>46191</v>
      </c>
      <c r="G222" s="49">
        <v>46282</v>
      </c>
      <c r="H222" s="47" t="s">
        <v>721</v>
      </c>
      <c r="I222" s="100">
        <v>244</v>
      </c>
      <c r="J222" s="52">
        <v>19.2</v>
      </c>
      <c r="K222" s="103" t="s">
        <v>1450</v>
      </c>
      <c r="L222" s="61" t="s">
        <v>274</v>
      </c>
      <c r="M222" s="54" t="str">
        <f>VLOOKUP(L222,Packaging!$B$3:$C$21,2,0)</f>
        <v>290 X 200 X 100</v>
      </c>
      <c r="N222" s="47"/>
      <c r="O222" s="100">
        <v>50</v>
      </c>
      <c r="P222" s="47" t="s">
        <v>55</v>
      </c>
      <c r="Q222" s="98" t="s">
        <v>1400</v>
      </c>
      <c r="R222" s="102" t="str">
        <f t="shared" si="0"/>
        <v>A9,A10,A15,A20,C4,C6,C12,D1,D2,D3,D4,D5,D6,D7,D8,D9,D10,D11,D12,D13,D14,D15,D17,D18,D19,D20,E1,E2,E3,E4,E5,E6,E7,E8,E9,E10,E11,E12,E14,E15,E16</v>
      </c>
    </row>
    <row r="223" spans="1:18" ht="15.75" customHeight="1">
      <c r="A223" s="44" t="s">
        <v>722</v>
      </c>
      <c r="B223" s="47">
        <v>818042</v>
      </c>
      <c r="C223" s="46" t="s">
        <v>723</v>
      </c>
      <c r="D223" s="47" t="s">
        <v>569</v>
      </c>
      <c r="E223" s="99">
        <v>800</v>
      </c>
      <c r="F223" s="49">
        <v>46191</v>
      </c>
      <c r="G223" s="49">
        <v>46282</v>
      </c>
      <c r="H223" s="47" t="s">
        <v>724</v>
      </c>
      <c r="I223" s="100">
        <v>244</v>
      </c>
      <c r="J223" s="52">
        <v>27.6</v>
      </c>
      <c r="K223" s="103" t="s">
        <v>1451</v>
      </c>
      <c r="L223" s="61" t="s">
        <v>274</v>
      </c>
      <c r="M223" s="54" t="str">
        <f>VLOOKUP(L223,Packaging!$B$3:$C$21,2,0)</f>
        <v>290 X 200 X 100</v>
      </c>
      <c r="N223" s="47"/>
      <c r="O223" s="100">
        <v>50</v>
      </c>
      <c r="P223" s="47" t="s">
        <v>55</v>
      </c>
      <c r="Q223" s="98" t="s">
        <v>1400</v>
      </c>
      <c r="R223" s="102" t="str">
        <f t="shared" si="0"/>
        <v>A9,A10,A15,A20,C4,C6,C12,D1,D2,D3,D4,D5,D6,D7,D8,D9,D10,D11,D12,D13,D14,D15,D17,D18,D19,D20,E1,E2,E3,E4,E5,E6,E7,E8,E9,E10,E11,E12,E14,E15,E16</v>
      </c>
    </row>
    <row r="224" spans="1:18" ht="15.75" customHeight="1">
      <c r="A224" s="44" t="s">
        <v>725</v>
      </c>
      <c r="B224" s="47">
        <v>818043</v>
      </c>
      <c r="C224" s="46" t="s">
        <v>726</v>
      </c>
      <c r="D224" s="47" t="s">
        <v>569</v>
      </c>
      <c r="E224" s="99">
        <v>800</v>
      </c>
      <c r="F224" s="49">
        <v>46191</v>
      </c>
      <c r="G224" s="49">
        <v>46282</v>
      </c>
      <c r="H224" s="47" t="s">
        <v>727</v>
      </c>
      <c r="I224" s="100">
        <v>244</v>
      </c>
      <c r="J224" s="52">
        <v>23.6</v>
      </c>
      <c r="K224" s="103" t="s">
        <v>1452</v>
      </c>
      <c r="L224" s="61" t="s">
        <v>274</v>
      </c>
      <c r="M224" s="54" t="str">
        <f>VLOOKUP(L224,Packaging!$B$3:$C$21,2,0)</f>
        <v>290 X 200 X 100</v>
      </c>
      <c r="N224" s="47"/>
      <c r="O224" s="100">
        <v>50</v>
      </c>
      <c r="P224" s="47" t="s">
        <v>55</v>
      </c>
      <c r="Q224" s="98" t="s">
        <v>1400</v>
      </c>
      <c r="R224" s="102" t="str">
        <f t="shared" si="0"/>
        <v>A9,A10,A15,A20,C4,C6,C12,D1,D2,D3,D4,D5,D6,D7,D8,D9,D10,D11,D12,D13,D14,D15,D17,D18,D19,D20,E1,E2,E3,E4,E5,E6,E7,E8,E9,E10,E11,E12,E14,E15,E16</v>
      </c>
    </row>
    <row r="225" spans="1:18" ht="15.75" customHeight="1">
      <c r="A225" s="44" t="s">
        <v>728</v>
      </c>
      <c r="B225" s="47">
        <v>818677</v>
      </c>
      <c r="C225" s="46" t="s">
        <v>729</v>
      </c>
      <c r="D225" s="47" t="s">
        <v>569</v>
      </c>
      <c r="E225" s="99">
        <v>1000</v>
      </c>
      <c r="F225" s="49">
        <v>46191</v>
      </c>
      <c r="G225" s="49">
        <v>46282</v>
      </c>
      <c r="H225" s="47" t="s">
        <v>730</v>
      </c>
      <c r="I225" s="100">
        <v>244</v>
      </c>
      <c r="J225" s="52">
        <v>13.2</v>
      </c>
      <c r="K225" s="103" t="s">
        <v>1453</v>
      </c>
      <c r="L225" s="61" t="s">
        <v>274</v>
      </c>
      <c r="M225" s="54" t="str">
        <f>VLOOKUP(L225,Packaging!$B$3:$C$21,2,0)</f>
        <v>290 X 200 X 100</v>
      </c>
      <c r="N225" s="47"/>
      <c r="O225" s="100">
        <v>250</v>
      </c>
      <c r="P225" s="47" t="s">
        <v>55</v>
      </c>
      <c r="Q225" s="98" t="s">
        <v>1400</v>
      </c>
      <c r="R225" s="102" t="str">
        <f t="shared" si="0"/>
        <v>A9,A10,A15,A20,C4,C6,C12,D1,D2,D3,D4,D5,D6,D7,D8,D9,D10,D11,D12,D13,D14,D15,D17,D18,D19,D20,E1,E2,E3,E4,E5,E6,E7,E8,E9,E10,E11,E12,E14,E15,E16</v>
      </c>
    </row>
    <row r="226" spans="1:18" ht="15.75" customHeight="1">
      <c r="A226" s="44" t="s">
        <v>731</v>
      </c>
      <c r="B226" s="47">
        <v>818678</v>
      </c>
      <c r="C226" s="46" t="s">
        <v>695</v>
      </c>
      <c r="D226" s="47" t="s">
        <v>569</v>
      </c>
      <c r="E226" s="99">
        <v>1000</v>
      </c>
      <c r="F226" s="49">
        <v>46191</v>
      </c>
      <c r="G226" s="49">
        <v>46282</v>
      </c>
      <c r="H226" s="47" t="s">
        <v>732</v>
      </c>
      <c r="I226" s="100">
        <v>244</v>
      </c>
      <c r="J226" s="52">
        <v>12.2</v>
      </c>
      <c r="K226" s="103" t="s">
        <v>1454</v>
      </c>
      <c r="L226" s="61" t="s">
        <v>274</v>
      </c>
      <c r="M226" s="54" t="str">
        <f>VLOOKUP(L226,Packaging!$B$3:$C$21,2,0)</f>
        <v>290 X 200 X 100</v>
      </c>
      <c r="N226" s="47"/>
      <c r="O226" s="100">
        <v>250</v>
      </c>
      <c r="P226" s="47" t="s">
        <v>55</v>
      </c>
      <c r="Q226" s="98" t="s">
        <v>1400</v>
      </c>
      <c r="R226" s="102" t="str">
        <f t="shared" si="0"/>
        <v>A9,A10,A15,A20,C4,C6,C12,D1,D2,D3,D4,D5,D6,D7,D8,D9,D10,D11,D12,D13,D14,D15,D17,D18,D19,D20,E1,E2,E3,E4,E5,E6,E7,E8,E9,E10,E11,E12,E14,E15,E16</v>
      </c>
    </row>
    <row r="227" spans="1:18" ht="15.75" customHeight="1">
      <c r="A227" s="44" t="s">
        <v>733</v>
      </c>
      <c r="B227" s="47">
        <v>818679</v>
      </c>
      <c r="C227" s="46" t="s">
        <v>698</v>
      </c>
      <c r="D227" s="47" t="s">
        <v>569</v>
      </c>
      <c r="E227" s="99">
        <v>1000</v>
      </c>
      <c r="F227" s="49">
        <v>46191</v>
      </c>
      <c r="G227" s="49">
        <v>46282</v>
      </c>
      <c r="H227" s="47" t="s">
        <v>734</v>
      </c>
      <c r="I227" s="100">
        <v>244</v>
      </c>
      <c r="J227" s="52">
        <v>12</v>
      </c>
      <c r="K227" s="103" t="s">
        <v>1455</v>
      </c>
      <c r="L227" s="61" t="s">
        <v>274</v>
      </c>
      <c r="M227" s="54" t="str">
        <f>VLOOKUP(L227,Packaging!$B$3:$C$21,2,0)</f>
        <v>290 X 200 X 100</v>
      </c>
      <c r="N227" s="47"/>
      <c r="O227" s="100">
        <v>250</v>
      </c>
      <c r="P227" s="47" t="s">
        <v>55</v>
      </c>
      <c r="Q227" s="98" t="s">
        <v>1400</v>
      </c>
      <c r="R227" s="102" t="str">
        <f t="shared" si="0"/>
        <v>A9,A10,A15,A20,C4,C6,C12,D1,D2,D3,D4,D5,D6,D7,D8,D9,D10,D11,D12,D13,D14,D15,D17,D18,D19,D20,E1,E2,E3,E4,E5,E6,E7,E8,E9,E10,E11,E12,E14,E15,E16</v>
      </c>
    </row>
    <row r="228" spans="1:18" ht="15.75" customHeight="1">
      <c r="A228" s="44" t="s">
        <v>735</v>
      </c>
      <c r="B228" s="47">
        <v>818680</v>
      </c>
      <c r="C228" s="46" t="s">
        <v>701</v>
      </c>
      <c r="D228" s="47" t="s">
        <v>569</v>
      </c>
      <c r="E228" s="99">
        <v>1000</v>
      </c>
      <c r="F228" s="49">
        <v>46191</v>
      </c>
      <c r="G228" s="49">
        <v>46282</v>
      </c>
      <c r="H228" s="47" t="s">
        <v>736</v>
      </c>
      <c r="I228" s="100">
        <v>244</v>
      </c>
      <c r="J228" s="52">
        <v>10.6</v>
      </c>
      <c r="K228" s="103" t="s">
        <v>1456</v>
      </c>
      <c r="L228" s="61" t="s">
        <v>274</v>
      </c>
      <c r="M228" s="54" t="str">
        <f>VLOOKUP(L228,Packaging!$B$3:$C$21,2,0)</f>
        <v>290 X 200 X 100</v>
      </c>
      <c r="N228" s="47"/>
      <c r="O228" s="100">
        <v>250</v>
      </c>
      <c r="P228" s="47" t="s">
        <v>55</v>
      </c>
      <c r="Q228" s="98" t="s">
        <v>1400</v>
      </c>
      <c r="R228" s="102" t="str">
        <f t="shared" si="0"/>
        <v>A9,A10,A15,A20,C4,C6,C12,D1,D2,D3,D4,D5,D6,D7,D8,D9,D10,D11,D12,D13,D14,D15,D17,D18,D19,D20,E1,E2,E3,E4,E5,E6,E7,E8,E9,E10,E11,E12,E14,E15,E16</v>
      </c>
    </row>
    <row r="229" spans="1:18" ht="15.75" customHeight="1">
      <c r="A229" s="44" t="s">
        <v>737</v>
      </c>
      <c r="B229" s="47">
        <v>955981</v>
      </c>
      <c r="C229" s="46" t="s">
        <v>738</v>
      </c>
      <c r="D229" s="47" t="s">
        <v>569</v>
      </c>
      <c r="E229" s="99">
        <v>1000</v>
      </c>
      <c r="F229" s="49">
        <v>46191</v>
      </c>
      <c r="G229" s="49">
        <v>46282</v>
      </c>
      <c r="H229" s="47" t="s">
        <v>739</v>
      </c>
      <c r="I229" s="100">
        <v>280</v>
      </c>
      <c r="J229" s="52">
        <v>3.5</v>
      </c>
      <c r="K229" s="103" t="s">
        <v>1457</v>
      </c>
      <c r="L229" s="50" t="s">
        <v>54</v>
      </c>
      <c r="M229" s="54" t="str">
        <f>VLOOKUP(L229,Packaging!$B$3:$C$21,2,0)</f>
        <v>290 X 200 X 140</v>
      </c>
      <c r="N229" s="47"/>
      <c r="O229" s="100">
        <v>200</v>
      </c>
      <c r="P229" s="47" t="s">
        <v>55</v>
      </c>
      <c r="Q229" s="98" t="s">
        <v>1400</v>
      </c>
      <c r="R229" s="102" t="str">
        <f t="shared" si="0"/>
        <v>A9,A10,A15,A20,C4,C6,C12,D1,D2,D3,D4,D5,D6,D7,D8,D9,D10,D11,D12,D13,D14,D15,D17,D18,D19,D20,E1,E2,E3,E4,E5,E6,E7,E8,E9,E10,E11,E12,E14,E15,E16</v>
      </c>
    </row>
    <row r="230" spans="1:18" ht="15.75" customHeight="1">
      <c r="A230" s="44" t="s">
        <v>17</v>
      </c>
      <c r="B230" s="47">
        <v>955985</v>
      </c>
      <c r="C230" s="46" t="s">
        <v>740</v>
      </c>
      <c r="D230" s="47" t="s">
        <v>569</v>
      </c>
      <c r="E230" s="99">
        <v>1000</v>
      </c>
      <c r="F230" s="49">
        <v>46191</v>
      </c>
      <c r="G230" s="49">
        <v>46282</v>
      </c>
      <c r="H230" s="47" t="s">
        <v>741</v>
      </c>
      <c r="I230" s="100">
        <v>280</v>
      </c>
      <c r="J230" s="52">
        <v>4.2</v>
      </c>
      <c r="K230" s="103" t="s">
        <v>1458</v>
      </c>
      <c r="L230" s="50" t="s">
        <v>54</v>
      </c>
      <c r="M230" s="54" t="str">
        <f>VLOOKUP(L230,Packaging!$B$3:$C$21,2,0)</f>
        <v>290 X 200 X 140</v>
      </c>
      <c r="N230" s="47"/>
      <c r="O230" s="100">
        <v>200</v>
      </c>
      <c r="P230" s="47" t="s">
        <v>55</v>
      </c>
      <c r="Q230" s="98" t="s">
        <v>1400</v>
      </c>
      <c r="R230" s="102" t="str">
        <f t="shared" si="0"/>
        <v>A9,A10,A15,A20,C4,C6,C12,D1,D2,D3,D4,D5,D6,D7,D8,D9,D10,D11,D12,D13,D14,D15,D17,D18,D19,D20,E1,E2,E3,E4,E5,E6,E7,E8,E9,E10,E11,E12,E14,E15,E16</v>
      </c>
    </row>
    <row r="231" spans="1:18" ht="15.75" customHeight="1">
      <c r="A231" s="44" t="s">
        <v>742</v>
      </c>
      <c r="B231" s="47">
        <v>955989</v>
      </c>
      <c r="C231" s="46" t="s">
        <v>743</v>
      </c>
      <c r="D231" s="47" t="s">
        <v>569</v>
      </c>
      <c r="E231" s="99">
        <v>8</v>
      </c>
      <c r="F231" s="49">
        <v>46191</v>
      </c>
      <c r="G231" s="49">
        <v>46282</v>
      </c>
      <c r="H231" s="47" t="s">
        <v>744</v>
      </c>
      <c r="I231" s="100"/>
      <c r="J231" s="52">
        <v>624.20000000000005</v>
      </c>
      <c r="K231" s="103" t="s">
        <v>1459</v>
      </c>
      <c r="L231" s="47"/>
      <c r="M231" s="54" t="e">
        <f>VLOOKUP(L231,Packaging!$B$3:$C$21,2,0)</f>
        <v>#N/A</v>
      </c>
      <c r="N231" s="47"/>
      <c r="O231" s="100"/>
      <c r="P231" s="47" t="s">
        <v>55</v>
      </c>
      <c r="Q231" s="98" t="s">
        <v>1400</v>
      </c>
      <c r="R231" s="102" t="str">
        <f t="shared" si="0"/>
        <v>A9,A10,A15,A20,C4,C6,C12,D1,D2,D3,D4,D5,D6,D7,D8,D9,D10,D11,D12,D13,D14,D15,D17,D18,D19,D20,E1,E2,E3,E4,E5,E6,E7,E8,E9,E10,E11,E12,E14,E15,E16</v>
      </c>
    </row>
    <row r="232" spans="1:18" ht="15.75" customHeight="1">
      <c r="A232" s="44" t="s">
        <v>745</v>
      </c>
      <c r="B232" s="47">
        <v>956052</v>
      </c>
      <c r="C232" s="46" t="s">
        <v>746</v>
      </c>
      <c r="D232" s="47" t="s">
        <v>569</v>
      </c>
      <c r="E232" s="99">
        <v>5</v>
      </c>
      <c r="F232" s="49">
        <v>46191</v>
      </c>
      <c r="G232" s="49">
        <v>46282</v>
      </c>
      <c r="H232" s="47" t="s">
        <v>747</v>
      </c>
      <c r="I232" s="100">
        <v>766</v>
      </c>
      <c r="J232" s="52">
        <v>832.8</v>
      </c>
      <c r="K232" s="103" t="s">
        <v>1460</v>
      </c>
      <c r="L232" s="50" t="s">
        <v>72</v>
      </c>
      <c r="M232" s="54" t="str">
        <f>VLOOKUP(L232,Packaging!$B$3:$C$21,2,0)</f>
        <v>390 X 350 X 280</v>
      </c>
      <c r="N232" s="47"/>
      <c r="O232" s="100"/>
      <c r="P232" s="47" t="s">
        <v>55</v>
      </c>
      <c r="Q232" s="98" t="s">
        <v>1400</v>
      </c>
      <c r="R232" s="102" t="str">
        <f t="shared" si="0"/>
        <v>A9,A10,A15,A20,C4,C6,C12,D1,D2,D3,D4,D5,D6,D7,D8,D9,D10,D11,D12,D13,D14,D15,D17,D18,D19,D20,E1,E2,E3,E4,E5,E6,E7,E8,E9,E10,E11,E12,E14,E15,E16</v>
      </c>
    </row>
    <row r="233" spans="1:18" ht="15.75" customHeight="1">
      <c r="A233" s="44" t="s">
        <v>748</v>
      </c>
      <c r="B233" s="47">
        <v>956004</v>
      </c>
      <c r="C233" s="46" t="s">
        <v>749</v>
      </c>
      <c r="D233" s="47" t="s">
        <v>569</v>
      </c>
      <c r="E233" s="99">
        <v>120</v>
      </c>
      <c r="F233" s="49">
        <v>46191</v>
      </c>
      <c r="G233" s="49">
        <v>46282</v>
      </c>
      <c r="H233" s="47" t="s">
        <v>750</v>
      </c>
      <c r="I233" s="100">
        <v>280</v>
      </c>
      <c r="J233" s="52">
        <v>65.400000000000006</v>
      </c>
      <c r="K233" s="103" t="s">
        <v>1461</v>
      </c>
      <c r="L233" s="50" t="s">
        <v>54</v>
      </c>
      <c r="M233" s="54" t="str">
        <f>VLOOKUP(L233,Packaging!$B$3:$C$21,2,0)</f>
        <v>290 X 200 X 140</v>
      </c>
      <c r="N233" s="47"/>
      <c r="O233" s="100">
        <v>20</v>
      </c>
      <c r="P233" s="47" t="s">
        <v>55</v>
      </c>
      <c r="Q233" s="98" t="s">
        <v>1400</v>
      </c>
      <c r="R233" s="102" t="str">
        <f t="shared" si="0"/>
        <v>A9,A10,A15,A20,C4,C6,C12,D1,D2,D3,D4,D5,D6,D7,D8,D9,D10,D11,D12,D13,D14,D15,D17,D18,D19,D20,E1,E2,E3,E4,E5,E6,E7,E8,E9,E10,E11,E12,E14,E15,E16</v>
      </c>
    </row>
    <row r="234" spans="1:18" ht="15.75" customHeight="1">
      <c r="A234" s="44" t="s">
        <v>751</v>
      </c>
      <c r="B234" s="47">
        <v>956213</v>
      </c>
      <c r="C234" s="46" t="s">
        <v>752</v>
      </c>
      <c r="D234" s="47" t="s">
        <v>569</v>
      </c>
      <c r="E234" s="99" t="s">
        <v>53</v>
      </c>
      <c r="F234" s="49">
        <v>46191</v>
      </c>
      <c r="G234" s="49">
        <v>46282</v>
      </c>
      <c r="H234" s="47" t="s">
        <v>753</v>
      </c>
      <c r="I234" s="100"/>
      <c r="J234" s="52">
        <v>4.8</v>
      </c>
      <c r="K234" s="106" t="s">
        <v>1462</v>
      </c>
      <c r="L234" s="47"/>
      <c r="M234" s="54" t="e">
        <f>VLOOKUP(L234,Packaging!$B$3:$C$21,2,0)</f>
        <v>#N/A</v>
      </c>
      <c r="N234" s="47"/>
      <c r="O234" s="100"/>
      <c r="P234" s="47" t="s">
        <v>55</v>
      </c>
      <c r="Q234" s="98" t="s">
        <v>1400</v>
      </c>
      <c r="R234" s="102" t="str">
        <f t="shared" si="0"/>
        <v>A9,A10,A15,A20,C4,C6,C12,D1,D2,D3,D4,D5,D6,D7,D8,D9,D10,D11,D12,D13,D14,D15,D17,D18,D19,D20,E1,E2,E3,E4,E5,E6,E7,E8,E9,E10,E11,E12,E14,E15,E16</v>
      </c>
    </row>
    <row r="235" spans="1:18" ht="15.75" customHeight="1">
      <c r="A235" s="44" t="s">
        <v>754</v>
      </c>
      <c r="B235" s="47">
        <v>956399</v>
      </c>
      <c r="C235" s="46" t="s">
        <v>755</v>
      </c>
      <c r="D235" s="47" t="s">
        <v>569</v>
      </c>
      <c r="E235" s="99">
        <v>500</v>
      </c>
      <c r="F235" s="49">
        <v>46191</v>
      </c>
      <c r="G235" s="49">
        <v>46282</v>
      </c>
      <c r="H235" s="47" t="s">
        <v>756</v>
      </c>
      <c r="I235" s="100">
        <v>280</v>
      </c>
      <c r="J235" s="52">
        <v>30</v>
      </c>
      <c r="K235" s="103" t="s">
        <v>1463</v>
      </c>
      <c r="L235" s="50" t="s">
        <v>54</v>
      </c>
      <c r="M235" s="54" t="str">
        <f>VLOOKUP(L235,Packaging!$B$3:$C$21,2,0)</f>
        <v>290 X 200 X 140</v>
      </c>
      <c r="N235" s="47"/>
      <c r="O235" s="100"/>
      <c r="P235" s="47" t="s">
        <v>55</v>
      </c>
      <c r="Q235" s="98" t="s">
        <v>1400</v>
      </c>
      <c r="R235" s="102" t="str">
        <f t="shared" si="0"/>
        <v>A9,A10,A15,A20,C4,C6,C12,D1,D2,D3,D4,D5,D6,D7,D8,D9,D10,D11,D12,D13,D14,D15,D17,D18,D19,D20,E1,E2,E3,E4,E5,E6,E7,E8,E9,E10,E11,E12,E14,E15,E16</v>
      </c>
    </row>
    <row r="236" spans="1:18" ht="15.75" customHeight="1">
      <c r="A236" s="44" t="s">
        <v>757</v>
      </c>
      <c r="B236" s="47" t="s">
        <v>758</v>
      </c>
      <c r="C236" s="46" t="s">
        <v>759</v>
      </c>
      <c r="D236" s="47" t="s">
        <v>569</v>
      </c>
      <c r="E236" s="99">
        <v>20</v>
      </c>
      <c r="F236" s="49">
        <v>46191</v>
      </c>
      <c r="G236" s="49">
        <v>46282</v>
      </c>
      <c r="H236" s="47" t="s">
        <v>760</v>
      </c>
      <c r="I236" s="100"/>
      <c r="J236" s="52">
        <v>161</v>
      </c>
      <c r="K236" s="103" t="s">
        <v>1464</v>
      </c>
      <c r="L236" s="47"/>
      <c r="M236" s="54" t="e">
        <f>VLOOKUP(L236,Packaging!$B$3:$C$21,2,0)</f>
        <v>#N/A</v>
      </c>
      <c r="N236" s="47" t="s">
        <v>761</v>
      </c>
      <c r="O236" s="100"/>
      <c r="P236" s="47" t="s">
        <v>55</v>
      </c>
      <c r="Q236" s="98" t="s">
        <v>1400</v>
      </c>
      <c r="R236" s="102" t="str">
        <f t="shared" si="0"/>
        <v>A9,A10,A15,A20,C4,C6,C12,D1,D2,D3,D4,D5,D6,D7,D8,D9,D10,D11,D12,D13,D14,D15,D17,D18,D19,D20,E1,E2,E3,E4,E5,E6,E7,E8,E9,E10,E11,E12,E14,E15,E16</v>
      </c>
    </row>
    <row r="237" spans="1:18" ht="15.75" customHeight="1">
      <c r="A237" s="44" t="s">
        <v>762</v>
      </c>
      <c r="B237" s="47" t="s">
        <v>763</v>
      </c>
      <c r="C237" s="46" t="s">
        <v>764</v>
      </c>
      <c r="D237" s="47" t="s">
        <v>569</v>
      </c>
      <c r="E237" s="99" t="s">
        <v>53</v>
      </c>
      <c r="F237" s="49">
        <v>46191</v>
      </c>
      <c r="G237" s="49">
        <v>46282</v>
      </c>
      <c r="H237" s="47" t="s">
        <v>765</v>
      </c>
      <c r="I237" s="100">
        <v>280</v>
      </c>
      <c r="J237" s="52">
        <v>10.8</v>
      </c>
      <c r="K237" s="106" t="s">
        <v>1465</v>
      </c>
      <c r="L237" s="50" t="s">
        <v>54</v>
      </c>
      <c r="M237" s="54" t="str">
        <f>VLOOKUP(L237,Packaging!$B$3:$C$21,2,0)</f>
        <v>290 X 200 X 140</v>
      </c>
      <c r="N237" s="47"/>
      <c r="O237" s="100">
        <v>20</v>
      </c>
      <c r="P237" s="47" t="s">
        <v>55</v>
      </c>
      <c r="Q237" s="98" t="s">
        <v>1400</v>
      </c>
      <c r="R237" s="102" t="str">
        <f t="shared" si="0"/>
        <v>A9,A10,A15,A20,C4,C6,C12,D1,D2,D3,D4,D5,D6,D7,D8,D9,D10,D11,D12,D13,D14,D15,D17,D18,D19,D20,E1,E2,E3,E4,E5,E6,E7,E8,E9,E10,E11,E12,E14,E15,E16</v>
      </c>
    </row>
    <row r="238" spans="1:18" ht="15.75" customHeight="1">
      <c r="A238" s="44" t="s">
        <v>766</v>
      </c>
      <c r="B238" s="47">
        <v>956423</v>
      </c>
      <c r="C238" s="46" t="s">
        <v>767</v>
      </c>
      <c r="D238" s="47" t="s">
        <v>569</v>
      </c>
      <c r="E238" s="99">
        <v>1000</v>
      </c>
      <c r="F238" s="49">
        <v>46191</v>
      </c>
      <c r="G238" s="49">
        <v>46282</v>
      </c>
      <c r="H238" s="47" t="s">
        <v>768</v>
      </c>
      <c r="I238" s="100">
        <v>244</v>
      </c>
      <c r="J238" s="52">
        <v>12.6</v>
      </c>
      <c r="K238" s="103" t="s">
        <v>1466</v>
      </c>
      <c r="L238" s="61" t="s">
        <v>274</v>
      </c>
      <c r="M238" s="54" t="str">
        <f>VLOOKUP(L238,Packaging!$B$3:$C$21,2,0)</f>
        <v>290 X 200 X 100</v>
      </c>
      <c r="N238" s="47"/>
      <c r="O238" s="100">
        <v>250</v>
      </c>
      <c r="P238" s="47" t="s">
        <v>55</v>
      </c>
      <c r="Q238" s="98" t="s">
        <v>1400</v>
      </c>
      <c r="R238" s="102" t="str">
        <f t="shared" si="0"/>
        <v>A9,A10,A15,A20,C4,C6,C12,D1,D2,D3,D4,D5,D6,D7,D8,D9,D10,D11,D12,D13,D14,D15,D17,D18,D19,D20,E1,E2,E3,E4,E5,E6,E7,E8,E9,E10,E11,E12,E14,E15,E16</v>
      </c>
    </row>
    <row r="239" spans="1:18" ht="15.75" customHeight="1">
      <c r="A239" s="44" t="s">
        <v>769</v>
      </c>
      <c r="B239" s="47">
        <v>956463</v>
      </c>
      <c r="C239" s="46" t="s">
        <v>770</v>
      </c>
      <c r="D239" s="47" t="s">
        <v>569</v>
      </c>
      <c r="E239" s="99">
        <v>1000</v>
      </c>
      <c r="F239" s="49">
        <v>46191</v>
      </c>
      <c r="G239" s="49">
        <v>46282</v>
      </c>
      <c r="H239" s="47" t="s">
        <v>771</v>
      </c>
      <c r="I239" s="100">
        <v>244</v>
      </c>
      <c r="J239" s="52">
        <v>11.6</v>
      </c>
      <c r="K239" s="103" t="s">
        <v>1467</v>
      </c>
      <c r="L239" s="61" t="s">
        <v>274</v>
      </c>
      <c r="M239" s="54" t="str">
        <f>VLOOKUP(L239,Packaging!$B$3:$C$21,2,0)</f>
        <v>290 X 200 X 100</v>
      </c>
      <c r="N239" s="47"/>
      <c r="O239" s="100">
        <v>250</v>
      </c>
      <c r="P239" s="47" t="s">
        <v>55</v>
      </c>
      <c r="Q239" s="98" t="s">
        <v>1400</v>
      </c>
      <c r="R239" s="102" t="str">
        <f t="shared" si="0"/>
        <v>A9,A10,A15,A20,C4,C6,C12,D1,D2,D3,D4,D5,D6,D7,D8,D9,D10,D11,D12,D13,D14,D15,D17,D18,D19,D20,E1,E2,E3,E4,E5,E6,E7,E8,E9,E10,E11,E12,E14,E15,E16</v>
      </c>
    </row>
    <row r="240" spans="1:18" ht="15.75" customHeight="1">
      <c r="A240" s="44" t="s">
        <v>772</v>
      </c>
      <c r="B240" s="62">
        <v>3000007326</v>
      </c>
      <c r="C240" s="57" t="s">
        <v>773</v>
      </c>
      <c r="D240" s="47" t="s">
        <v>569</v>
      </c>
      <c r="E240" s="99">
        <v>60</v>
      </c>
      <c r="F240" s="49">
        <v>46191</v>
      </c>
      <c r="G240" s="49">
        <v>46282</v>
      </c>
      <c r="H240" s="47" t="s">
        <v>774</v>
      </c>
      <c r="I240" s="100">
        <v>280</v>
      </c>
      <c r="J240" s="52">
        <v>86</v>
      </c>
      <c r="K240" s="103" t="s">
        <v>1468</v>
      </c>
      <c r="L240" s="50" t="s">
        <v>54</v>
      </c>
      <c r="M240" s="54" t="str">
        <f>VLOOKUP(L240,Packaging!$B$3:$C$21,2,0)</f>
        <v>290 X 200 X 140</v>
      </c>
      <c r="N240" s="47"/>
      <c r="O240" s="100"/>
      <c r="P240" s="47" t="s">
        <v>55</v>
      </c>
      <c r="Q240" s="98" t="s">
        <v>1400</v>
      </c>
      <c r="R240" s="102" t="str">
        <f t="shared" si="0"/>
        <v>A9,A10,A15,A20,C4,C6,C12,D1,D2,D3,D4,D5,D6,D7,D8,D9,D10,D11,D12,D13,D14,D15,D17,D18,D19,D20,E1,E2,E3,E4,E5,E6,E7,E8,E9,E10,E11,E12,E14,E15,E16</v>
      </c>
    </row>
    <row r="241" spans="1:18" ht="15.75" customHeight="1">
      <c r="A241" s="44" t="s">
        <v>775</v>
      </c>
      <c r="B241" s="47" t="s">
        <v>776</v>
      </c>
      <c r="C241" s="46" t="s">
        <v>777</v>
      </c>
      <c r="D241" s="47" t="s">
        <v>569</v>
      </c>
      <c r="E241" s="99">
        <v>30</v>
      </c>
      <c r="F241" s="49">
        <v>46191</v>
      </c>
      <c r="G241" s="49">
        <v>46282</v>
      </c>
      <c r="H241" s="47" t="s">
        <v>778</v>
      </c>
      <c r="I241" s="100">
        <v>580</v>
      </c>
      <c r="J241" s="52">
        <v>512.4</v>
      </c>
      <c r="K241" s="103" t="s">
        <v>1469</v>
      </c>
      <c r="L241" s="61" t="s">
        <v>101</v>
      </c>
      <c r="M241" s="54" t="str">
        <f>VLOOKUP(L241,Packaging!$B$3:$C$21,2,0)</f>
        <v>1380 X 150 X 80</v>
      </c>
      <c r="N241" s="47"/>
      <c r="O241" s="100"/>
      <c r="P241" s="47" t="s">
        <v>55</v>
      </c>
      <c r="Q241" s="98" t="s">
        <v>1400</v>
      </c>
      <c r="R241" s="102" t="str">
        <f t="shared" si="0"/>
        <v>A9,A10,A15,A20,C4,C6,C12,D1,D2,D3,D4,D5,D6,D7,D8,D9,D10,D11,D12,D13,D14,D15,D17,D18,D19,D20,E1,E2,E3,E4,E5,E6,E7,E8,E9,E10,E11,E12,E14,E15,E16</v>
      </c>
    </row>
    <row r="242" spans="1:18" ht="15.75" customHeight="1">
      <c r="A242" s="44" t="s">
        <v>779</v>
      </c>
      <c r="B242" s="47" t="s">
        <v>780</v>
      </c>
      <c r="C242" s="46" t="s">
        <v>781</v>
      </c>
      <c r="D242" s="47" t="s">
        <v>569</v>
      </c>
      <c r="E242" s="99">
        <v>100</v>
      </c>
      <c r="F242" s="49">
        <v>46191</v>
      </c>
      <c r="G242" s="49">
        <v>46282</v>
      </c>
      <c r="H242" s="47" t="s">
        <v>782</v>
      </c>
      <c r="I242" s="100"/>
      <c r="J242" s="52">
        <v>217.2</v>
      </c>
      <c r="K242" s="103" t="s">
        <v>1470</v>
      </c>
      <c r="L242" s="47"/>
      <c r="M242" s="54" t="e">
        <f>VLOOKUP(L242,Packaging!$B$3:$C$21,2,0)</f>
        <v>#N/A</v>
      </c>
      <c r="N242" s="47"/>
      <c r="O242" s="100">
        <v>5</v>
      </c>
      <c r="P242" s="47" t="s">
        <v>55</v>
      </c>
      <c r="Q242" s="98" t="s">
        <v>1400</v>
      </c>
      <c r="R242" s="102" t="str">
        <f t="shared" si="0"/>
        <v>A9,A10,A15,A20,C4,C6,C12,D1,D2,D3,D4,D5,D6,D7,D8,D9,D10,D11,D12,D13,D14,D15,D17,D18,D19,D20,E1,E2,E3,E4,E5,E6,E7,E8,E9,E10,E11,E12,E14,E15,E16</v>
      </c>
    </row>
    <row r="243" spans="1:18" ht="15.75" customHeight="1">
      <c r="A243" s="44" t="s">
        <v>783</v>
      </c>
      <c r="B243" s="47" t="s">
        <v>784</v>
      </c>
      <c r="C243" s="46" t="s">
        <v>785</v>
      </c>
      <c r="D243" s="47" t="s">
        <v>569</v>
      </c>
      <c r="E243" s="99">
        <v>400</v>
      </c>
      <c r="F243" s="49">
        <v>46191</v>
      </c>
      <c r="G243" s="49">
        <v>46282</v>
      </c>
      <c r="H243" s="47" t="s">
        <v>786</v>
      </c>
      <c r="I243" s="100">
        <v>378</v>
      </c>
      <c r="J243" s="52">
        <v>13.8</v>
      </c>
      <c r="K243" s="103" t="s">
        <v>1471</v>
      </c>
      <c r="L243" s="61" t="s">
        <v>91</v>
      </c>
      <c r="M243" s="54" t="str">
        <f>VLOOKUP(L243,Packaging!$B$3:$C$21,2,0)</f>
        <v>400 X 240 X 130</v>
      </c>
      <c r="N243" s="47"/>
      <c r="O243" s="100">
        <v>50</v>
      </c>
      <c r="P243" s="47" t="s">
        <v>55</v>
      </c>
      <c r="Q243" s="98" t="s">
        <v>1400</v>
      </c>
      <c r="R243" s="102" t="str">
        <f t="shared" si="0"/>
        <v>A9,A10,A15,A20,C4,C6,C12,D1,D2,D3,D4,D5,D6,D7,D8,D9,D10,D11,D12,D13,D14,D15,D17,D18,D19,D20,E1,E2,E3,E4,E5,E6,E7,E8,E9,E10,E11,E12,E14,E15,E16</v>
      </c>
    </row>
    <row r="244" spans="1:18" ht="15.75" customHeight="1">
      <c r="A244" s="44" t="s">
        <v>787</v>
      </c>
      <c r="B244" s="47" t="s">
        <v>788</v>
      </c>
      <c r="C244" s="46" t="s">
        <v>789</v>
      </c>
      <c r="D244" s="47" t="s">
        <v>569</v>
      </c>
      <c r="E244" s="99">
        <v>600</v>
      </c>
      <c r="F244" s="49">
        <v>46191</v>
      </c>
      <c r="G244" s="49">
        <v>46282</v>
      </c>
      <c r="H244" s="47" t="s">
        <v>790</v>
      </c>
      <c r="I244" s="100"/>
      <c r="J244" s="52">
        <v>21.2</v>
      </c>
      <c r="K244" s="103" t="s">
        <v>1472</v>
      </c>
      <c r="L244" s="47"/>
      <c r="M244" s="54" t="e">
        <f>VLOOKUP(L244,Packaging!$B$3:$C$21,2,0)</f>
        <v>#N/A</v>
      </c>
      <c r="N244" s="47"/>
      <c r="O244" s="100"/>
      <c r="P244" s="47" t="s">
        <v>55</v>
      </c>
      <c r="Q244" s="98" t="s">
        <v>1400</v>
      </c>
      <c r="R244" s="102" t="str">
        <f t="shared" si="0"/>
        <v>A9,A10,A15,A20,C4,C6,C12,D1,D2,D3,D4,D5,D6,D7,D8,D9,D10,D11,D12,D13,D14,D15,D17,D18,D19,D20,E1,E2,E3,E4,E5,E6,E7,E8,E9,E10,E11,E12,E14,E15,E16</v>
      </c>
    </row>
    <row r="245" spans="1:18" ht="15.75" customHeight="1">
      <c r="A245" s="44" t="s">
        <v>791</v>
      </c>
      <c r="B245" s="47" t="s">
        <v>792</v>
      </c>
      <c r="C245" s="46" t="s">
        <v>793</v>
      </c>
      <c r="D245" s="47" t="s">
        <v>569</v>
      </c>
      <c r="E245" s="99">
        <v>2000</v>
      </c>
      <c r="F245" s="49">
        <v>46191</v>
      </c>
      <c r="G245" s="49">
        <v>46282</v>
      </c>
      <c r="H245" s="47" t="s">
        <v>794</v>
      </c>
      <c r="I245" s="100">
        <v>280</v>
      </c>
      <c r="J245" s="52">
        <v>1.6</v>
      </c>
      <c r="K245" s="103" t="s">
        <v>1473</v>
      </c>
      <c r="L245" s="61" t="s">
        <v>54</v>
      </c>
      <c r="M245" s="54" t="str">
        <f>VLOOKUP(L245,Packaging!$B$3:$C$21,2,0)</f>
        <v>290 X 200 X 140</v>
      </c>
      <c r="N245" s="47"/>
      <c r="O245" s="100">
        <v>250</v>
      </c>
      <c r="P245" s="47" t="s">
        <v>55</v>
      </c>
      <c r="Q245" s="98" t="s">
        <v>1400</v>
      </c>
      <c r="R245" s="102" t="str">
        <f t="shared" si="0"/>
        <v>A9,A10,A15,A20,C4,C6,C12,D1,D2,D3,D4,D5,D6,D7,D8,D9,D10,D11,D12,D13,D14,D15,D17,D18,D19,D20,E1,E2,E3,E4,E5,E6,E7,E8,E9,E10,E11,E12,E14,E15,E16</v>
      </c>
    </row>
    <row r="246" spans="1:18" ht="15.75" customHeight="1">
      <c r="A246" s="44" t="s">
        <v>795</v>
      </c>
      <c r="B246" s="47" t="s">
        <v>796</v>
      </c>
      <c r="C246" s="46" t="s">
        <v>797</v>
      </c>
      <c r="D246" s="47" t="s">
        <v>569</v>
      </c>
      <c r="E246" s="99">
        <v>300</v>
      </c>
      <c r="F246" s="49">
        <v>46191</v>
      </c>
      <c r="G246" s="49">
        <v>46282</v>
      </c>
      <c r="H246" s="47" t="s">
        <v>798</v>
      </c>
      <c r="I246" s="100">
        <v>280</v>
      </c>
      <c r="J246" s="52">
        <v>13.4</v>
      </c>
      <c r="K246" s="103" t="s">
        <v>1474</v>
      </c>
      <c r="L246" s="61" t="s">
        <v>54</v>
      </c>
      <c r="M246" s="54" t="str">
        <f>VLOOKUP(L246,Packaging!$B$3:$C$21,2,0)</f>
        <v>290 X 200 X 140</v>
      </c>
      <c r="N246" s="47"/>
      <c r="O246" s="100">
        <v>50</v>
      </c>
      <c r="P246" s="47" t="s">
        <v>55</v>
      </c>
      <c r="Q246" s="98" t="s">
        <v>1400</v>
      </c>
      <c r="R246" s="102" t="str">
        <f t="shared" si="0"/>
        <v>A9,A10,A15,A20,C4,C6,C12,D1,D2,D3,D4,D5,D6,D7,D8,D9,D10,D11,D12,D13,D14,D15,D17,D18,D19,D20,E1,E2,E3,E4,E5,E6,E7,E8,E9,E10,E11,E12,E14,E15,E16</v>
      </c>
    </row>
    <row r="247" spans="1:18" ht="15.75" customHeight="1">
      <c r="A247" s="44" t="s">
        <v>799</v>
      </c>
      <c r="B247" s="47" t="s">
        <v>800</v>
      </c>
      <c r="C247" s="46" t="s">
        <v>801</v>
      </c>
      <c r="D247" s="47" t="s">
        <v>569</v>
      </c>
      <c r="E247" s="99">
        <v>20</v>
      </c>
      <c r="F247" s="49">
        <v>46191</v>
      </c>
      <c r="G247" s="49">
        <v>46282</v>
      </c>
      <c r="H247" s="47" t="s">
        <v>802</v>
      </c>
      <c r="I247" s="100">
        <v>378</v>
      </c>
      <c r="J247" s="52">
        <v>185</v>
      </c>
      <c r="K247" s="103" t="s">
        <v>1475</v>
      </c>
      <c r="L247" s="61" t="s">
        <v>91</v>
      </c>
      <c r="M247" s="54" t="str">
        <f>VLOOKUP(L247,Packaging!$B$3:$C$21,2,0)</f>
        <v>400 X 240 X 130</v>
      </c>
      <c r="N247" s="47"/>
      <c r="O247" s="100">
        <v>2</v>
      </c>
      <c r="P247" s="47" t="s">
        <v>55</v>
      </c>
      <c r="Q247" s="98" t="s">
        <v>1400</v>
      </c>
      <c r="R247" s="102" t="str">
        <f t="shared" si="0"/>
        <v>A9,A10,A15,A20,C4,C6,C12,D1,D2,D3,D4,D5,D6,D7,D8,D9,D10,D11,D12,D13,D14,D15,D17,D18,D19,D20,E1,E2,E3,E4,E5,E6,E7,E8,E9,E10,E11,E12,E14,E15,E16</v>
      </c>
    </row>
    <row r="248" spans="1:18" ht="15.75" customHeight="1">
      <c r="A248" s="44" t="s">
        <v>803</v>
      </c>
      <c r="B248" s="67">
        <v>813910</v>
      </c>
      <c r="C248" s="68" t="s">
        <v>804</v>
      </c>
      <c r="D248" s="47" t="s">
        <v>569</v>
      </c>
      <c r="E248" s="99"/>
      <c r="F248" s="49">
        <v>46191</v>
      </c>
      <c r="G248" s="49">
        <v>46282</v>
      </c>
      <c r="H248" s="47">
        <v>813910</v>
      </c>
      <c r="I248" s="100">
        <v>244</v>
      </c>
      <c r="J248" s="52">
        <v>61</v>
      </c>
      <c r="K248" s="103" t="s">
        <v>1476</v>
      </c>
      <c r="L248" s="47"/>
      <c r="M248" s="54" t="e">
        <f>VLOOKUP(L248,Packaging!$B$3:$C$21,2,0)</f>
        <v>#N/A</v>
      </c>
      <c r="N248" s="47"/>
      <c r="O248" s="100">
        <v>5</v>
      </c>
      <c r="P248" s="47" t="s">
        <v>55</v>
      </c>
      <c r="Q248" s="98" t="s">
        <v>1400</v>
      </c>
      <c r="R248" s="102" t="str">
        <f t="shared" si="0"/>
        <v>A9,A10,A15,A20,C4,C6,C12,D1,D2,D3,D4,D5,D6,D7,D8,D9,D10,D11,D12,D13,D14,D15,D17,D18,D19,D20,E1,E2,E3,E4,E5,E6,E7,E8,E9,E10,E11,E12,E14,E15,E16</v>
      </c>
    </row>
    <row r="249" spans="1:18" ht="15.75" customHeight="1">
      <c r="A249" s="44" t="s">
        <v>805</v>
      </c>
      <c r="B249" s="47" t="s">
        <v>806</v>
      </c>
      <c r="C249" s="46" t="s">
        <v>807</v>
      </c>
      <c r="D249" s="47" t="s">
        <v>569</v>
      </c>
      <c r="E249" s="99">
        <v>100</v>
      </c>
      <c r="F249" s="49">
        <v>46191</v>
      </c>
      <c r="G249" s="49">
        <v>46282</v>
      </c>
      <c r="H249" s="47" t="s">
        <v>808</v>
      </c>
      <c r="I249" s="100"/>
      <c r="J249" s="52">
        <v>154</v>
      </c>
      <c r="K249" s="103" t="s">
        <v>1477</v>
      </c>
      <c r="L249" s="61" t="s">
        <v>91</v>
      </c>
      <c r="M249" s="54" t="str">
        <f>VLOOKUP(L249,Packaging!$B$3:$C$21,2,0)</f>
        <v>400 X 240 X 130</v>
      </c>
      <c r="N249" s="47"/>
      <c r="O249" s="100">
        <v>5</v>
      </c>
      <c r="P249" s="47" t="s">
        <v>55</v>
      </c>
      <c r="Q249" s="98" t="s">
        <v>1400</v>
      </c>
      <c r="R249" s="102" t="str">
        <f t="shared" si="0"/>
        <v>A9,A10,A15,A20,C4,C6,C12,D1,D2,D3,D4,D5,D6,D7,D8,D9,D10,D11,D12,D13,D14,D15,D17,D18,D19,D20,E1,E2,E3,E4,E5,E6,E7,E8,E9,E10,E11,E12,E14,E15,E16</v>
      </c>
    </row>
    <row r="250" spans="1:18" ht="15.75" customHeight="1">
      <c r="A250" s="44" t="s">
        <v>809</v>
      </c>
      <c r="B250" s="47" t="s">
        <v>810</v>
      </c>
      <c r="C250" s="46" t="s">
        <v>811</v>
      </c>
      <c r="D250" s="47" t="s">
        <v>569</v>
      </c>
      <c r="E250" s="99">
        <v>180</v>
      </c>
      <c r="F250" s="49">
        <v>46191</v>
      </c>
      <c r="G250" s="49">
        <v>46282</v>
      </c>
      <c r="H250" s="47" t="s">
        <v>812</v>
      </c>
      <c r="I250" s="100">
        <v>280</v>
      </c>
      <c r="J250" s="52">
        <v>98</v>
      </c>
      <c r="K250" s="103" t="s">
        <v>1478</v>
      </c>
      <c r="L250" s="61" t="s">
        <v>54</v>
      </c>
      <c r="M250" s="54" t="str">
        <f>VLOOKUP(L250,Packaging!$B$3:$C$21,2,0)</f>
        <v>290 X 200 X 140</v>
      </c>
      <c r="N250" s="47"/>
      <c r="O250" s="100"/>
      <c r="P250" s="47" t="s">
        <v>55</v>
      </c>
      <c r="Q250" s="98" t="s">
        <v>1400</v>
      </c>
      <c r="R250" s="102" t="str">
        <f t="shared" si="0"/>
        <v>A9,A10,A15,A20,C4,C6,C12,D1,D2,D3,D4,D5,D6,D7,D8,D9,D10,D11,D12,D13,D14,D15,D17,D18,D19,D20,E1,E2,E3,E4,E5,E6,E7,E8,E9,E10,E11,E12,E14,E15,E16</v>
      </c>
    </row>
    <row r="251" spans="1:18" ht="15.75" customHeight="1">
      <c r="A251" s="44" t="s">
        <v>813</v>
      </c>
      <c r="B251" s="47" t="s">
        <v>814</v>
      </c>
      <c r="C251" s="46" t="s">
        <v>815</v>
      </c>
      <c r="D251" s="47" t="s">
        <v>569</v>
      </c>
      <c r="E251" s="99">
        <v>12</v>
      </c>
      <c r="F251" s="49">
        <v>46191</v>
      </c>
      <c r="G251" s="49">
        <v>46282</v>
      </c>
      <c r="H251" s="47" t="s">
        <v>816</v>
      </c>
      <c r="I251" s="100"/>
      <c r="J251" s="52">
        <v>270</v>
      </c>
      <c r="K251" s="103" t="s">
        <v>1479</v>
      </c>
      <c r="L251" s="47"/>
      <c r="M251" s="54" t="e">
        <f>VLOOKUP(L251,Packaging!$B$3:$C$21,2,0)</f>
        <v>#N/A</v>
      </c>
      <c r="N251" s="47"/>
      <c r="O251" s="100"/>
      <c r="P251" s="47" t="s">
        <v>55</v>
      </c>
      <c r="Q251" s="98" t="s">
        <v>1400</v>
      </c>
      <c r="R251" s="102" t="str">
        <f t="shared" si="0"/>
        <v>A9,A10,A15,A20,C4,C6,C12,D1,D2,D3,D4,D5,D6,D7,D8,D9,D10,D11,D12,D13,D14,D15,D17,D18,D19,D20,E1,E2,E3,E4,E5,E6,E7,E8,E9,E10,E11,E12,E14,E15,E16</v>
      </c>
    </row>
    <row r="252" spans="1:18" ht="15.75" customHeight="1">
      <c r="A252" s="44" t="s">
        <v>817</v>
      </c>
      <c r="B252" s="47">
        <v>951656</v>
      </c>
      <c r="C252" s="46" t="s">
        <v>818</v>
      </c>
      <c r="D252" s="47" t="s">
        <v>569</v>
      </c>
      <c r="E252" s="99">
        <v>540</v>
      </c>
      <c r="F252" s="49">
        <v>46191</v>
      </c>
      <c r="G252" s="49">
        <v>46282</v>
      </c>
      <c r="H252" s="47" t="s">
        <v>652</v>
      </c>
      <c r="I252" s="100">
        <v>280</v>
      </c>
      <c r="J252" s="52">
        <v>35.4</v>
      </c>
      <c r="K252" s="103" t="s">
        <v>1480</v>
      </c>
      <c r="L252" s="61" t="s">
        <v>54</v>
      </c>
      <c r="M252" s="54" t="str">
        <f>VLOOKUP(L252,Packaging!$B$3:$C$21,2,0)</f>
        <v>290 X 200 X 140</v>
      </c>
      <c r="N252" s="47"/>
      <c r="O252" s="100">
        <v>15</v>
      </c>
      <c r="P252" s="47" t="s">
        <v>55</v>
      </c>
      <c r="Q252" s="98" t="s">
        <v>1400</v>
      </c>
      <c r="R252" s="102" t="str">
        <f t="shared" si="0"/>
        <v>A9,A10,A15,A20,C4,C6,C12,D1,D2,D3,D4,D5,D6,D7,D8,D9,D10,D11,D12,D13,D14,D15,D17,D18,D19,D20,E1,E2,E3,E4,E5,E6,E7,E8,E9,E10,E11,E12,E14,E15,E16</v>
      </c>
    </row>
    <row r="253" spans="1:18" ht="15.75" customHeight="1">
      <c r="A253" s="44" t="s">
        <v>819</v>
      </c>
      <c r="B253" s="47">
        <v>951657</v>
      </c>
      <c r="C253" s="46" t="s">
        <v>820</v>
      </c>
      <c r="D253" s="47" t="s">
        <v>569</v>
      </c>
      <c r="E253" s="99">
        <v>540</v>
      </c>
      <c r="F253" s="49">
        <v>46191</v>
      </c>
      <c r="G253" s="49">
        <v>46282</v>
      </c>
      <c r="H253" s="47" t="s">
        <v>652</v>
      </c>
      <c r="I253" s="100">
        <v>280</v>
      </c>
      <c r="J253" s="52">
        <v>35.4</v>
      </c>
      <c r="K253" s="103" t="s">
        <v>1481</v>
      </c>
      <c r="L253" s="61" t="s">
        <v>54</v>
      </c>
      <c r="M253" s="54" t="str">
        <f>VLOOKUP(L253,Packaging!$B$3:$C$21,2,0)</f>
        <v>290 X 200 X 140</v>
      </c>
      <c r="N253" s="47"/>
      <c r="O253" s="100">
        <v>15</v>
      </c>
      <c r="P253" s="47" t="s">
        <v>55</v>
      </c>
      <c r="Q253" s="98" t="s">
        <v>1400</v>
      </c>
      <c r="R253" s="102" t="str">
        <f t="shared" si="0"/>
        <v>A9,A10,A15,A20,C4,C6,C12,D1,D2,D3,D4,D5,D6,D7,D8,D9,D10,D11,D12,D13,D14,D15,D17,D18,D19,D20,E1,E2,E3,E4,E5,E6,E7,E8,E9,E10,E11,E12,E14,E15,E16</v>
      </c>
    </row>
    <row r="254" spans="1:18" ht="15.75" customHeight="1">
      <c r="A254" s="44" t="s">
        <v>821</v>
      </c>
      <c r="B254" s="47">
        <v>3000003867</v>
      </c>
      <c r="C254" s="46" t="s">
        <v>822</v>
      </c>
      <c r="D254" s="47" t="s">
        <v>569</v>
      </c>
      <c r="E254" s="99">
        <v>28</v>
      </c>
      <c r="F254" s="49">
        <v>46191</v>
      </c>
      <c r="G254" s="49">
        <v>46282</v>
      </c>
      <c r="H254" s="47" t="s">
        <v>823</v>
      </c>
      <c r="I254" s="100"/>
      <c r="J254" s="53">
        <v>1.0640000000000001</v>
      </c>
      <c r="K254" s="103" t="s">
        <v>1482</v>
      </c>
      <c r="L254" s="47"/>
      <c r="M254" s="54" t="e">
        <f>VLOOKUP(L254,Packaging!$B$3:$C$21,2,0)</f>
        <v>#N/A</v>
      </c>
      <c r="N254" s="47"/>
      <c r="O254" s="100"/>
      <c r="P254" s="47" t="s">
        <v>55</v>
      </c>
      <c r="Q254" s="98" t="s">
        <v>1400</v>
      </c>
      <c r="R254" s="102" t="str">
        <f t="shared" si="0"/>
        <v>A9,A10,A15,A20,C4,C6,C12,D1,D2,D3,D4,D5,D6,D7,D8,D9,D10,D11,D12,D13,D14,D15,D17,D18,D19,D20,E1,E2,E3,E4,E5,E6,E7,E8,E9,E10,E11,E12,E14,E15,E16</v>
      </c>
    </row>
    <row r="255" spans="1:18" ht="15.75" customHeight="1">
      <c r="A255" s="44" t="s">
        <v>824</v>
      </c>
      <c r="B255" s="47">
        <v>3000004582</v>
      </c>
      <c r="C255" s="46" t="s">
        <v>825</v>
      </c>
      <c r="D255" s="47" t="s">
        <v>569</v>
      </c>
      <c r="E255" s="99">
        <v>5</v>
      </c>
      <c r="F255" s="49">
        <v>46191</v>
      </c>
      <c r="G255" s="49">
        <v>46282</v>
      </c>
      <c r="H255" s="47" t="s">
        <v>826</v>
      </c>
      <c r="I255" s="100">
        <v>766</v>
      </c>
      <c r="J255" s="52">
        <v>1271.8</v>
      </c>
      <c r="K255" s="103" t="s">
        <v>1483</v>
      </c>
      <c r="L255" s="61" t="s">
        <v>72</v>
      </c>
      <c r="M255" s="54" t="str">
        <f>VLOOKUP(L255,Packaging!$B$3:$C$21,2,0)</f>
        <v>390 X 350 X 280</v>
      </c>
      <c r="N255" s="47"/>
      <c r="O255" s="100"/>
      <c r="P255" s="47" t="s">
        <v>55</v>
      </c>
      <c r="Q255" s="98" t="s">
        <v>1400</v>
      </c>
      <c r="R255" s="102" t="str">
        <f t="shared" si="0"/>
        <v>A9,A10,A15,A20,C4,C6,C12,D1,D2,D3,D4,D5,D6,D7,D8,D9,D10,D11,D12,D13,D14,D15,D17,D18,D19,D20,E1,E2,E3,E4,E5,E6,E7,E8,E9,E10,E11,E12,E14,E15,E16</v>
      </c>
    </row>
    <row r="256" spans="1:18" ht="15.75" customHeight="1">
      <c r="A256" s="44" t="s">
        <v>827</v>
      </c>
      <c r="B256" s="47">
        <v>3000004578</v>
      </c>
      <c r="C256" s="46" t="s">
        <v>828</v>
      </c>
      <c r="D256" s="47" t="s">
        <v>569</v>
      </c>
      <c r="E256" s="99">
        <v>26</v>
      </c>
      <c r="F256" s="49">
        <v>46191</v>
      </c>
      <c r="G256" s="49">
        <v>46282</v>
      </c>
      <c r="H256" s="47" t="s">
        <v>829</v>
      </c>
      <c r="I256" s="100">
        <v>280</v>
      </c>
      <c r="J256" s="52">
        <v>520.4</v>
      </c>
      <c r="K256" s="103" t="s">
        <v>1484</v>
      </c>
      <c r="L256" s="61" t="s">
        <v>54</v>
      </c>
      <c r="M256" s="54" t="str">
        <f>VLOOKUP(L256,Packaging!$B$3:$C$21,2,0)</f>
        <v>290 X 200 X 140</v>
      </c>
      <c r="N256" s="47"/>
      <c r="O256" s="100"/>
      <c r="P256" s="47" t="s">
        <v>55</v>
      </c>
      <c r="Q256" s="98" t="s">
        <v>1400</v>
      </c>
      <c r="R256" s="102" t="str">
        <f t="shared" si="0"/>
        <v>A9,A10,A15,A20,C4,C6,C12,D1,D2,D3,D4,D5,D6,D7,D8,D9,D10,D11,D12,D13,D14,D15,D17,D18,D19,D20,E1,E2,E3,E4,E5,E6,E7,E8,E9,E10,E11,E12,E14,E15,E16</v>
      </c>
    </row>
    <row r="257" spans="1:18" ht="15.75" customHeight="1">
      <c r="A257" s="44" t="s">
        <v>830</v>
      </c>
      <c r="B257" s="47">
        <v>3000004579</v>
      </c>
      <c r="C257" s="46" t="s">
        <v>831</v>
      </c>
      <c r="D257" s="47" t="s">
        <v>569</v>
      </c>
      <c r="E257" s="99">
        <v>70</v>
      </c>
      <c r="F257" s="49">
        <v>46191</v>
      </c>
      <c r="G257" s="49">
        <v>46282</v>
      </c>
      <c r="H257" s="47" t="s">
        <v>832</v>
      </c>
      <c r="I257" s="100">
        <v>378</v>
      </c>
      <c r="J257" s="52">
        <v>210.4</v>
      </c>
      <c r="K257" s="103" t="s">
        <v>1485</v>
      </c>
      <c r="L257" s="61" t="s">
        <v>91</v>
      </c>
      <c r="M257" s="54" t="str">
        <f>VLOOKUP(L257,Packaging!$B$3:$C$21,2,0)</f>
        <v>400 X 240 X 130</v>
      </c>
      <c r="N257" s="47"/>
      <c r="O257" s="100">
        <v>5</v>
      </c>
      <c r="P257" s="47" t="s">
        <v>55</v>
      </c>
      <c r="Q257" s="98" t="s">
        <v>1400</v>
      </c>
      <c r="R257" s="102" t="str">
        <f t="shared" si="0"/>
        <v>A9,A10,A15,A20,C4,C6,C12,D1,D2,D3,D4,D5,D6,D7,D8,D9,D10,D11,D12,D13,D14,D15,D17,D18,D19,D20,E1,E2,E3,E4,E5,E6,E7,E8,E9,E10,E11,E12,E14,E15,E16</v>
      </c>
    </row>
    <row r="258" spans="1:18" ht="15.75" customHeight="1">
      <c r="A258" s="44" t="s">
        <v>833</v>
      </c>
      <c r="B258" s="47">
        <v>3000004587</v>
      </c>
      <c r="C258" s="46" t="s">
        <v>834</v>
      </c>
      <c r="D258" s="47" t="s">
        <v>569</v>
      </c>
      <c r="E258" s="99">
        <v>12</v>
      </c>
      <c r="F258" s="49">
        <v>46191</v>
      </c>
      <c r="G258" s="49">
        <v>46282</v>
      </c>
      <c r="H258" s="47" t="s">
        <v>835</v>
      </c>
      <c r="I258" s="100">
        <v>378</v>
      </c>
      <c r="J258" s="52">
        <v>164.6</v>
      </c>
      <c r="K258" s="103" t="s">
        <v>1486</v>
      </c>
      <c r="L258" s="61" t="s">
        <v>91</v>
      </c>
      <c r="M258" s="54" t="str">
        <f>VLOOKUP(L258,Packaging!$B$3:$C$21,2,0)</f>
        <v>400 X 240 X 130</v>
      </c>
      <c r="N258" s="47"/>
      <c r="O258" s="100"/>
      <c r="P258" s="47" t="s">
        <v>55</v>
      </c>
      <c r="Q258" s="98" t="s">
        <v>1400</v>
      </c>
      <c r="R258" s="102" t="str">
        <f t="shared" si="0"/>
        <v>A9,A10,A15,A20,C4,C6,C12,D1,D2,D3,D4,D5,D6,D7,D8,D9,D10,D11,D12,D13,D14,D15,D17,D18,D19,D20,E1,E2,E3,E4,E5,E6,E7,E8,E9,E10,E11,E12,E14,E15,E16</v>
      </c>
    </row>
    <row r="259" spans="1:18" ht="15.75" customHeight="1">
      <c r="A259" s="44" t="s">
        <v>836</v>
      </c>
      <c r="B259" s="47">
        <v>3000005012</v>
      </c>
      <c r="C259" s="46" t="s">
        <v>825</v>
      </c>
      <c r="D259" s="47" t="s">
        <v>569</v>
      </c>
      <c r="E259" s="99">
        <v>5</v>
      </c>
      <c r="F259" s="49">
        <v>46191</v>
      </c>
      <c r="G259" s="49">
        <v>46282</v>
      </c>
      <c r="H259" s="47" t="s">
        <v>837</v>
      </c>
      <c r="I259" s="100">
        <v>766</v>
      </c>
      <c r="J259" s="69">
        <v>1.5549999999999999</v>
      </c>
      <c r="K259" s="103" t="s">
        <v>1487</v>
      </c>
      <c r="L259" s="61" t="s">
        <v>72</v>
      </c>
      <c r="M259" s="54" t="str">
        <f>VLOOKUP(L259,Packaging!$B$3:$C$21,2,0)</f>
        <v>390 X 350 X 280</v>
      </c>
      <c r="N259" s="47"/>
      <c r="O259" s="100"/>
      <c r="P259" s="47" t="s">
        <v>55</v>
      </c>
      <c r="Q259" s="98" t="s">
        <v>1400</v>
      </c>
      <c r="R259" s="102" t="str">
        <f t="shared" si="0"/>
        <v>A9,A10,A15,A20,C4,C6,C12,D1,D2,D3,D4,D5,D6,D7,D8,D9,D10,D11,D12,D13,D14,D15,D17,D18,D19,D20,E1,E2,E3,E4,E5,E6,E7,E8,E9,E10,E11,E12,E14,E15,E16</v>
      </c>
    </row>
    <row r="260" spans="1:18" ht="15.75" customHeight="1">
      <c r="A260" s="44" t="s">
        <v>838</v>
      </c>
      <c r="B260" s="47">
        <v>3000004754</v>
      </c>
      <c r="C260" s="46" t="s">
        <v>839</v>
      </c>
      <c r="D260" s="47" t="s">
        <v>569</v>
      </c>
      <c r="E260" s="99">
        <v>100</v>
      </c>
      <c r="F260" s="49">
        <v>46191</v>
      </c>
      <c r="G260" s="49">
        <v>46282</v>
      </c>
      <c r="H260" s="47" t="s">
        <v>840</v>
      </c>
      <c r="I260" s="100">
        <v>244</v>
      </c>
      <c r="J260" s="52">
        <v>11.2</v>
      </c>
      <c r="K260" s="103" t="s">
        <v>1488</v>
      </c>
      <c r="L260" s="47" t="s">
        <v>274</v>
      </c>
      <c r="M260" s="54" t="str">
        <f>VLOOKUP(L260,Packaging!$B$3:$C$21,2,0)</f>
        <v>290 X 200 X 100</v>
      </c>
      <c r="N260" s="47"/>
      <c r="O260" s="100">
        <v>10</v>
      </c>
      <c r="P260" s="47" t="s">
        <v>55</v>
      </c>
      <c r="Q260" s="98" t="s">
        <v>1400</v>
      </c>
      <c r="R260" s="102" t="str">
        <f t="shared" si="0"/>
        <v>A9,A10,A15,A20,C4,C6,C12,D1,D2,D3,D4,D5,D6,D7,D8,D9,D10,D11,D12,D13,D14,D15,D17,D18,D19,D20,E1,E2,E3,E4,E5,E6,E7,E8,E9,E10,E11,E12,E14,E15,E16</v>
      </c>
    </row>
    <row r="261" spans="1:18" ht="15.75" customHeight="1">
      <c r="A261" s="44" t="s">
        <v>841</v>
      </c>
      <c r="B261" s="47">
        <v>3000005448</v>
      </c>
      <c r="C261" s="46" t="s">
        <v>842</v>
      </c>
      <c r="D261" s="47" t="s">
        <v>569</v>
      </c>
      <c r="E261" s="99">
        <v>70</v>
      </c>
      <c r="F261" s="49">
        <v>46191</v>
      </c>
      <c r="G261" s="49">
        <v>46282</v>
      </c>
      <c r="H261" s="47" t="s">
        <v>843</v>
      </c>
      <c r="I261" s="100">
        <v>28</v>
      </c>
      <c r="J261" s="52">
        <v>65.2</v>
      </c>
      <c r="K261" s="103" t="s">
        <v>1489</v>
      </c>
      <c r="L261" s="61" t="s">
        <v>161</v>
      </c>
      <c r="M261" s="54" t="str">
        <f>VLOOKUP(L261,Packaging!$B$3:$C$21,2,0)</f>
        <v>360 X 270 X 128</v>
      </c>
      <c r="N261" s="47"/>
      <c r="O261" s="100"/>
      <c r="P261" s="47" t="s">
        <v>55</v>
      </c>
      <c r="Q261" s="98" t="s">
        <v>1400</v>
      </c>
      <c r="R261" s="102" t="str">
        <f t="shared" si="0"/>
        <v>A9,A10,A15,A20,C4,C6,C12,D1,D2,D3,D4,D5,D6,D7,D8,D9,D10,D11,D12,D13,D14,D15,D17,D18,D19,D20,E1,E2,E3,E4,E5,E6,E7,E8,E9,E10,E11,E12,E14,E15,E16</v>
      </c>
    </row>
    <row r="262" spans="1:18" ht="15.75" customHeight="1">
      <c r="A262" s="44" t="s">
        <v>844</v>
      </c>
      <c r="B262" s="47">
        <v>3000005728</v>
      </c>
      <c r="C262" s="46" t="s">
        <v>845</v>
      </c>
      <c r="D262" s="47" t="s">
        <v>569</v>
      </c>
      <c r="E262" s="99">
        <v>440</v>
      </c>
      <c r="F262" s="49">
        <v>46191</v>
      </c>
      <c r="G262" s="49">
        <v>46282</v>
      </c>
      <c r="H262" s="47" t="s">
        <v>846</v>
      </c>
      <c r="I262" s="100">
        <v>280</v>
      </c>
      <c r="J262" s="52">
        <v>26.4</v>
      </c>
      <c r="K262" s="103" t="s">
        <v>1490</v>
      </c>
      <c r="L262" s="47" t="s">
        <v>54</v>
      </c>
      <c r="M262" s="54" t="str">
        <f>VLOOKUP(L262,Packaging!$B$3:$C$21,2,0)</f>
        <v>290 X 200 X 140</v>
      </c>
      <c r="N262" s="47"/>
      <c r="O262" s="100">
        <v>44</v>
      </c>
      <c r="P262" s="47" t="s">
        <v>55</v>
      </c>
      <c r="Q262" s="98" t="s">
        <v>1400</v>
      </c>
      <c r="R262" s="102" t="str">
        <f t="shared" si="0"/>
        <v>A9,A10,A15,A20,C4,C6,C12,D1,D2,D3,D4,D5,D6,D7,D8,D9,D10,D11,D12,D13,D14,D15,D17,D18,D19,D20,E1,E2,E3,E4,E5,E6,E7,E8,E9,E10,E11,E12,E14,E15,E16</v>
      </c>
    </row>
    <row r="263" spans="1:18" ht="15.75" customHeight="1">
      <c r="A263" s="44" t="s">
        <v>847</v>
      </c>
      <c r="B263" s="47">
        <v>3000005729</v>
      </c>
      <c r="C263" s="46" t="s">
        <v>613</v>
      </c>
      <c r="D263" s="47" t="s">
        <v>569</v>
      </c>
      <c r="E263" s="99">
        <v>450</v>
      </c>
      <c r="F263" s="49">
        <v>46191</v>
      </c>
      <c r="G263" s="49">
        <v>46282</v>
      </c>
      <c r="H263" s="47" t="s">
        <v>848</v>
      </c>
      <c r="I263" s="100">
        <v>280</v>
      </c>
      <c r="J263" s="52">
        <v>24</v>
      </c>
      <c r="K263" s="103" t="s">
        <v>1491</v>
      </c>
      <c r="L263" s="47" t="s">
        <v>54</v>
      </c>
      <c r="M263" s="54" t="str">
        <f>VLOOKUP(L263,Packaging!$B$3:$C$21,2,0)</f>
        <v>290 X 200 X 140</v>
      </c>
      <c r="N263" s="47"/>
      <c r="O263" s="100">
        <v>75</v>
      </c>
      <c r="P263" s="47" t="s">
        <v>55</v>
      </c>
      <c r="Q263" s="98" t="s">
        <v>1400</v>
      </c>
      <c r="R263" s="102" t="str">
        <f t="shared" si="0"/>
        <v>A9,A10,A15,A20,C4,C6,C12,D1,D2,D3,D4,D5,D6,D7,D8,D9,D10,D11,D12,D13,D14,D15,D17,D18,D19,D20,E1,E2,E3,E4,E5,E6,E7,E8,E9,E10,E11,E12,E14,E15,E16</v>
      </c>
    </row>
    <row r="264" spans="1:18" ht="15.75" customHeight="1">
      <c r="A264" s="44" t="s">
        <v>849</v>
      </c>
      <c r="B264" s="47">
        <v>3000005730</v>
      </c>
      <c r="C264" s="46" t="s">
        <v>850</v>
      </c>
      <c r="D264" s="47" t="s">
        <v>569</v>
      </c>
      <c r="E264" s="99">
        <v>250</v>
      </c>
      <c r="F264" s="49">
        <v>46191</v>
      </c>
      <c r="G264" s="49">
        <v>46282</v>
      </c>
      <c r="H264" s="47" t="s">
        <v>851</v>
      </c>
      <c r="I264" s="100">
        <v>280</v>
      </c>
      <c r="J264" s="52">
        <v>52.2</v>
      </c>
      <c r="K264" s="103" t="s">
        <v>1492</v>
      </c>
      <c r="L264" s="47" t="s">
        <v>54</v>
      </c>
      <c r="M264" s="54" t="str">
        <f>VLOOKUP(L264,Packaging!$B$3:$C$21,2,0)</f>
        <v>290 X 200 X 140</v>
      </c>
      <c r="N264" s="47"/>
      <c r="O264" s="100">
        <v>50</v>
      </c>
      <c r="P264" s="47" t="s">
        <v>55</v>
      </c>
      <c r="Q264" s="98" t="s">
        <v>1400</v>
      </c>
      <c r="R264" s="102" t="str">
        <f t="shared" si="0"/>
        <v>A9,A10,A15,A20,C4,C6,C12,D1,D2,D3,D4,D5,D6,D7,D8,D9,D10,D11,D12,D13,D14,D15,D17,D18,D19,D20,E1,E2,E3,E4,E5,E6,E7,E8,E9,E10,E11,E12,E14,E15,E16</v>
      </c>
    </row>
    <row r="265" spans="1:18" ht="15.75" customHeight="1">
      <c r="A265" s="44" t="s">
        <v>852</v>
      </c>
      <c r="B265" s="47" t="s">
        <v>853</v>
      </c>
      <c r="C265" s="46" t="s">
        <v>854</v>
      </c>
      <c r="D265" s="47" t="s">
        <v>569</v>
      </c>
      <c r="E265" s="99">
        <v>30</v>
      </c>
      <c r="F265" s="49">
        <v>46191</v>
      </c>
      <c r="G265" s="49">
        <v>46282</v>
      </c>
      <c r="H265" s="47" t="s">
        <v>855</v>
      </c>
      <c r="I265" s="100">
        <v>580</v>
      </c>
      <c r="J265" s="52">
        <v>542.6</v>
      </c>
      <c r="K265" s="103" t="s">
        <v>1493</v>
      </c>
      <c r="L265" s="61" t="s">
        <v>101</v>
      </c>
      <c r="M265" s="54" t="str">
        <f>VLOOKUP(L265,Packaging!$B$3:$C$21,2,0)</f>
        <v>1380 X 150 X 80</v>
      </c>
      <c r="N265" s="47"/>
      <c r="O265" s="100"/>
      <c r="P265" s="47" t="s">
        <v>55</v>
      </c>
      <c r="Q265" s="98" t="s">
        <v>1400</v>
      </c>
      <c r="R265" s="102" t="str">
        <f t="shared" si="0"/>
        <v>A9,A10,A15,A20,C4,C6,C12,D1,D2,D3,D4,D5,D6,D7,D8,D9,D10,D11,D12,D13,D14,D15,D17,D18,D19,D20,E1,E2,E3,E4,E5,E6,E7,E8,E9,E10,E11,E12,E14,E15,E16</v>
      </c>
    </row>
    <row r="266" spans="1:18" ht="15.75" customHeight="1">
      <c r="A266" s="44" t="s">
        <v>856</v>
      </c>
      <c r="B266" s="70">
        <v>3000001306</v>
      </c>
      <c r="C266" s="71" t="s">
        <v>773</v>
      </c>
      <c r="D266" s="70" t="s">
        <v>569</v>
      </c>
      <c r="E266" s="107">
        <v>60</v>
      </c>
      <c r="F266" s="49">
        <v>46191</v>
      </c>
      <c r="G266" s="49">
        <v>46282</v>
      </c>
      <c r="H266" s="70">
        <v>3000001306</v>
      </c>
      <c r="I266" s="108">
        <v>280</v>
      </c>
      <c r="J266" s="109"/>
      <c r="K266" s="103" t="s">
        <v>1494</v>
      </c>
      <c r="L266" s="70" t="s">
        <v>54</v>
      </c>
      <c r="M266" s="77" t="str">
        <f>VLOOKUP(L266,Packaging!$B$3:$C$21,2,0)</f>
        <v>290 X 200 X 140</v>
      </c>
      <c r="N266" s="70" t="s">
        <v>857</v>
      </c>
      <c r="O266" s="100"/>
      <c r="P266" s="47" t="s">
        <v>55</v>
      </c>
      <c r="Q266" s="98" t="s">
        <v>1400</v>
      </c>
      <c r="R266" s="102" t="str">
        <f t="shared" si="0"/>
        <v>A9,A10,A15,A20,C4,C6,C12,D1,D2,D3,D4,D5,D6,D7,D8,D9,D10,D11,D12,D13,D14,D15,D17,D18,D19,D20,E1,E2,E3,E4,E5,E6,E7,E8,E9,E10,E11,E12,E14,E15,E16</v>
      </c>
    </row>
    <row r="267" spans="1:18" ht="15.75" customHeight="1">
      <c r="A267" s="44" t="s">
        <v>858</v>
      </c>
      <c r="B267" s="47" t="s">
        <v>859</v>
      </c>
      <c r="C267" s="46" t="s">
        <v>860</v>
      </c>
      <c r="D267" s="47" t="s">
        <v>569</v>
      </c>
      <c r="E267" s="99">
        <v>40</v>
      </c>
      <c r="F267" s="49">
        <v>46191</v>
      </c>
      <c r="G267" s="49">
        <v>46282</v>
      </c>
      <c r="H267" s="47" t="s">
        <v>861</v>
      </c>
      <c r="I267" s="100">
        <v>278</v>
      </c>
      <c r="J267" s="52">
        <v>153.5</v>
      </c>
      <c r="K267" s="103" t="s">
        <v>1495</v>
      </c>
      <c r="L267" s="61" t="s">
        <v>161</v>
      </c>
      <c r="M267" s="54" t="str">
        <f>VLOOKUP(L267,Packaging!$B$3:$C$21,2,0)</f>
        <v>360 X 270 X 128</v>
      </c>
      <c r="N267" s="47"/>
      <c r="O267" s="100">
        <v>2</v>
      </c>
      <c r="P267" s="47" t="s">
        <v>55</v>
      </c>
      <c r="Q267" s="98" t="s">
        <v>1400</v>
      </c>
      <c r="R267" s="102" t="str">
        <f t="shared" si="0"/>
        <v>A9,A10,A15,A20,C4,C6,C12,D1,D2,D3,D4,D5,D6,D7,D8,D9,D10,D11,D12,D13,D14,D15,D17,D18,D19,D20,E1,E2,E3,E4,E5,E6,E7,E8,E9,E10,E11,E12,E14,E15,E16</v>
      </c>
    </row>
    <row r="268" spans="1:18" ht="15.75" customHeight="1">
      <c r="A268" s="44" t="s">
        <v>862</v>
      </c>
      <c r="B268" s="47">
        <v>949825</v>
      </c>
      <c r="C268" s="46" t="s">
        <v>863</v>
      </c>
      <c r="D268" s="47" t="s">
        <v>569</v>
      </c>
      <c r="E268" s="99">
        <v>600</v>
      </c>
      <c r="F268" s="49">
        <v>46191</v>
      </c>
      <c r="G268" s="49">
        <v>46282</v>
      </c>
      <c r="H268" s="47" t="s">
        <v>864</v>
      </c>
      <c r="I268" s="100">
        <v>280</v>
      </c>
      <c r="J268" s="52">
        <v>20</v>
      </c>
      <c r="K268" s="103" t="s">
        <v>1496</v>
      </c>
      <c r="L268" s="47" t="s">
        <v>54</v>
      </c>
      <c r="M268" s="54" t="str">
        <f>VLOOKUP(L268,Packaging!$B$3:$C$21,2,0)</f>
        <v>290 X 200 X 140</v>
      </c>
      <c r="N268" s="47"/>
      <c r="O268" s="100">
        <v>100</v>
      </c>
      <c r="P268" s="47" t="s">
        <v>55</v>
      </c>
      <c r="Q268" s="98" t="s">
        <v>1400</v>
      </c>
      <c r="R268" s="102" t="str">
        <f t="shared" si="0"/>
        <v>A9,A10,A15,A20,C4,C6,C12,D1,D2,D3,D4,D5,D6,D7,D8,D9,D10,D11,D12,D13,D14,D15,D17,D18,D19,D20,E1,E2,E3,E4,E5,E6,E7,E8,E9,E10,E11,E12,E14,E15,E16</v>
      </c>
    </row>
    <row r="269" spans="1:18" ht="15.75" customHeight="1">
      <c r="A269" s="44" t="s">
        <v>865</v>
      </c>
      <c r="B269" s="47" t="s">
        <v>866</v>
      </c>
      <c r="C269" s="46" t="s">
        <v>867</v>
      </c>
      <c r="D269" s="47" t="s">
        <v>569</v>
      </c>
      <c r="E269" s="99">
        <v>120</v>
      </c>
      <c r="F269" s="49">
        <v>46191</v>
      </c>
      <c r="G269" s="49">
        <v>46282</v>
      </c>
      <c r="H269" s="47" t="s">
        <v>868</v>
      </c>
      <c r="I269" s="100">
        <v>378</v>
      </c>
      <c r="J269" s="52">
        <v>153.4</v>
      </c>
      <c r="K269" s="103" t="s">
        <v>1497</v>
      </c>
      <c r="L269" s="61" t="s">
        <v>91</v>
      </c>
      <c r="M269" s="54" t="str">
        <f>VLOOKUP(L269,Packaging!$B$3:$C$21,2,0)</f>
        <v>400 X 240 X 130</v>
      </c>
      <c r="N269" s="47"/>
      <c r="O269" s="100">
        <v>5</v>
      </c>
      <c r="P269" s="47" t="s">
        <v>55</v>
      </c>
      <c r="Q269" s="98" t="s">
        <v>1400</v>
      </c>
      <c r="R269" s="102" t="str">
        <f t="shared" si="0"/>
        <v>A9,A10,A15,A20,C4,C6,C12,D1,D2,D3,D4,D5,D6,D7,D8,D9,D10,D11,D12,D13,D14,D15,D17,D18,D19,D20,E1,E2,E3,E4,E5,E6,E7,E8,E9,E10,E11,E12,E14,E15,E16</v>
      </c>
    </row>
    <row r="270" spans="1:18" ht="15.75" customHeight="1">
      <c r="A270" s="44" t="s">
        <v>869</v>
      </c>
      <c r="B270" s="47" t="s">
        <v>870</v>
      </c>
      <c r="C270" s="46" t="s">
        <v>871</v>
      </c>
      <c r="D270" s="47" t="s">
        <v>569</v>
      </c>
      <c r="E270" s="99">
        <v>120</v>
      </c>
      <c r="F270" s="49">
        <v>46191</v>
      </c>
      <c r="G270" s="49">
        <v>46282</v>
      </c>
      <c r="H270" s="47" t="s">
        <v>868</v>
      </c>
      <c r="I270" s="100">
        <v>378</v>
      </c>
      <c r="J270" s="52">
        <v>153.4</v>
      </c>
      <c r="K270" s="103" t="s">
        <v>1498</v>
      </c>
      <c r="L270" s="61" t="s">
        <v>91</v>
      </c>
      <c r="M270" s="54" t="str">
        <f>VLOOKUP(L270,Packaging!$B$3:$C$21,2,0)</f>
        <v>400 X 240 X 130</v>
      </c>
      <c r="N270" s="47"/>
      <c r="O270" s="100">
        <v>5</v>
      </c>
      <c r="P270" s="47" t="s">
        <v>55</v>
      </c>
      <c r="Q270" s="98" t="s">
        <v>1400</v>
      </c>
      <c r="R270" s="102" t="str">
        <f t="shared" si="0"/>
        <v>A9,A10,A15,A20,C4,C6,C12,D1,D2,D3,D4,D5,D6,D7,D8,D9,D10,D11,D12,D13,D14,D15,D17,D18,D19,D20,E1,E2,E3,E4,E5,E6,E7,E8,E9,E10,E11,E12,E14,E15,E16</v>
      </c>
    </row>
    <row r="271" spans="1:18" ht="15.75" customHeight="1">
      <c r="A271" s="44" t="s">
        <v>872</v>
      </c>
      <c r="B271" s="47" t="s">
        <v>873</v>
      </c>
      <c r="C271" s="46" t="s">
        <v>874</v>
      </c>
      <c r="D271" s="47" t="s">
        <v>569</v>
      </c>
      <c r="E271" s="99"/>
      <c r="F271" s="49">
        <v>46191</v>
      </c>
      <c r="G271" s="49">
        <v>46282</v>
      </c>
      <c r="H271" s="47" t="s">
        <v>875</v>
      </c>
      <c r="I271" s="100"/>
      <c r="J271" s="52">
        <v>20</v>
      </c>
      <c r="K271" s="103">
        <v>0</v>
      </c>
      <c r="L271" s="47"/>
      <c r="M271" s="54" t="e">
        <f>VLOOKUP(L271,Packaging!$B$3:$C$21,2,0)</f>
        <v>#N/A</v>
      </c>
      <c r="N271" s="47"/>
      <c r="O271" s="100"/>
      <c r="P271" s="47" t="s">
        <v>55</v>
      </c>
      <c r="Q271" s="98" t="s">
        <v>1400</v>
      </c>
      <c r="R271" s="102" t="str">
        <f t="shared" si="0"/>
        <v>A9,A10,A15,A20,C4,C6,C12,D1,D2,D3,D4,D5,D6,D7,D8,D9,D10,D11,D12,D13,D14,D15,D17,D18,D19,D20,E1,E2,E3,E4,E5,E6,E7,E8,E9,E10,E11,E12,E14,E15,E16</v>
      </c>
    </row>
    <row r="272" spans="1:18" ht="15.75" customHeight="1">
      <c r="A272" s="44" t="s">
        <v>876</v>
      </c>
      <c r="B272" s="47">
        <v>953529</v>
      </c>
      <c r="C272" s="46" t="s">
        <v>877</v>
      </c>
      <c r="D272" s="47" t="s">
        <v>878</v>
      </c>
      <c r="E272" s="99">
        <v>200</v>
      </c>
      <c r="F272" s="49">
        <v>46191</v>
      </c>
      <c r="G272" s="49">
        <v>46282</v>
      </c>
      <c r="H272" s="47" t="s">
        <v>879</v>
      </c>
      <c r="I272" s="100">
        <v>280</v>
      </c>
      <c r="J272" s="52">
        <v>74.7</v>
      </c>
      <c r="K272" s="103" t="s">
        <v>1499</v>
      </c>
      <c r="L272" s="61" t="s">
        <v>54</v>
      </c>
      <c r="M272" s="54" t="str">
        <f>VLOOKUP(L272,Packaging!$B$3:$C$21,2,0)</f>
        <v>290 X 200 X 140</v>
      </c>
      <c r="N272" s="47"/>
      <c r="O272" s="100">
        <v>5</v>
      </c>
      <c r="P272" s="47" t="s">
        <v>55</v>
      </c>
      <c r="Q272" s="98" t="s">
        <v>1500</v>
      </c>
      <c r="R272" s="102" t="str">
        <f t="shared" si="0"/>
        <v/>
      </c>
    </row>
    <row r="273" spans="1:18" ht="15.75" customHeight="1">
      <c r="A273" s="44" t="s">
        <v>880</v>
      </c>
      <c r="B273" s="47">
        <v>953531</v>
      </c>
      <c r="C273" s="46" t="s">
        <v>881</v>
      </c>
      <c r="D273" s="47" t="s">
        <v>569</v>
      </c>
      <c r="E273" s="99"/>
      <c r="F273" s="49">
        <v>46191</v>
      </c>
      <c r="G273" s="49">
        <v>46282</v>
      </c>
      <c r="H273" s="47" t="s">
        <v>882</v>
      </c>
      <c r="I273" s="100"/>
      <c r="J273" s="52">
        <v>212.4</v>
      </c>
      <c r="K273" s="103">
        <v>0</v>
      </c>
      <c r="L273" s="47"/>
      <c r="M273" s="54" t="e">
        <f>VLOOKUP(L273,Packaging!$B$3:$C$21,2,0)</f>
        <v>#N/A</v>
      </c>
      <c r="N273" s="47"/>
      <c r="O273" s="100"/>
      <c r="P273" s="47" t="s">
        <v>55</v>
      </c>
      <c r="Q273" s="98" t="s">
        <v>1400</v>
      </c>
      <c r="R273" s="102" t="str">
        <f t="shared" si="0"/>
        <v>A9,A10,A15,A20,C4,C6,C12,D1,D2,D3,D4,D5,D6,D7,D8,D9,D10,D11,D12,D13,D14,D15,D17,D18,D19,D20,E1,E2,E3,E4,E5,E6,E7,E8,E9,E10,E11,E12,E14,E15,E16</v>
      </c>
    </row>
    <row r="274" spans="1:18" ht="15.75" customHeight="1">
      <c r="A274" s="44" t="s">
        <v>883</v>
      </c>
      <c r="B274" s="47" t="s">
        <v>884</v>
      </c>
      <c r="C274" s="46" t="s">
        <v>885</v>
      </c>
      <c r="D274" s="47" t="s">
        <v>886</v>
      </c>
      <c r="E274" s="99">
        <v>16</v>
      </c>
      <c r="F274" s="49">
        <v>46191</v>
      </c>
      <c r="G274" s="49">
        <v>46282</v>
      </c>
      <c r="H274" s="78" t="s">
        <v>53</v>
      </c>
      <c r="I274" s="100">
        <v>580</v>
      </c>
      <c r="J274" s="52">
        <v>1046.2</v>
      </c>
      <c r="K274" s="103" t="s">
        <v>1501</v>
      </c>
      <c r="L274" s="61" t="s">
        <v>101</v>
      </c>
      <c r="M274" s="50" t="s">
        <v>887</v>
      </c>
      <c r="N274" s="47"/>
      <c r="O274" s="100"/>
      <c r="P274" s="47" t="s">
        <v>55</v>
      </c>
      <c r="Q274" s="98" t="s">
        <v>1502</v>
      </c>
      <c r="R274" s="102" t="str">
        <f t="shared" si="0"/>
        <v>A5,B1,B2,B5,B8,B9,B10,B11,B14,B15,C9,D16</v>
      </c>
    </row>
    <row r="275" spans="1:18" ht="15.75" customHeight="1">
      <c r="A275" s="44" t="s">
        <v>888</v>
      </c>
      <c r="B275" s="47" t="s">
        <v>889</v>
      </c>
      <c r="C275" s="46" t="s">
        <v>890</v>
      </c>
      <c r="D275" s="47" t="s">
        <v>886</v>
      </c>
      <c r="E275" s="99">
        <v>10</v>
      </c>
      <c r="F275" s="49">
        <v>46191</v>
      </c>
      <c r="G275" s="49">
        <v>46282</v>
      </c>
      <c r="H275" s="78" t="s">
        <v>53</v>
      </c>
      <c r="I275" s="100">
        <v>134</v>
      </c>
      <c r="J275" s="52">
        <v>828.2</v>
      </c>
      <c r="K275" s="103" t="s">
        <v>1503</v>
      </c>
      <c r="L275" s="61" t="s">
        <v>891</v>
      </c>
      <c r="M275" s="54" t="str">
        <f>VLOOKUP(L275,Packaging!$B$3:$C$21,2,0)</f>
        <v>280 X 90 X 150</v>
      </c>
      <c r="N275" s="47"/>
      <c r="O275" s="100">
        <v>10</v>
      </c>
      <c r="P275" s="47" t="s">
        <v>55</v>
      </c>
      <c r="Q275" s="98" t="s">
        <v>1502</v>
      </c>
      <c r="R275" s="102" t="str">
        <f t="shared" si="0"/>
        <v>A5,B1,B2,B5,B8,B9,B10,B11,B14,B15,C9,D16</v>
      </c>
    </row>
    <row r="276" spans="1:18" ht="15.75" customHeight="1">
      <c r="A276" s="44" t="s">
        <v>892</v>
      </c>
      <c r="B276" s="47" t="s">
        <v>893</v>
      </c>
      <c r="C276" s="46" t="s">
        <v>894</v>
      </c>
      <c r="D276" s="47" t="s">
        <v>886</v>
      </c>
      <c r="E276" s="99">
        <v>10</v>
      </c>
      <c r="F276" s="49">
        <v>46191</v>
      </c>
      <c r="G276" s="49">
        <v>46282</v>
      </c>
      <c r="H276" s="78" t="s">
        <v>53</v>
      </c>
      <c r="I276" s="100">
        <v>134</v>
      </c>
      <c r="J276" s="52">
        <v>824.6</v>
      </c>
      <c r="K276" s="103" t="s">
        <v>1504</v>
      </c>
      <c r="L276" s="61" t="s">
        <v>891</v>
      </c>
      <c r="M276" s="54" t="str">
        <f>VLOOKUP(L276,Packaging!$B$3:$C$21,2,0)</f>
        <v>280 X 90 X 150</v>
      </c>
      <c r="N276" s="47"/>
      <c r="O276" s="100">
        <v>10</v>
      </c>
      <c r="P276" s="47" t="s">
        <v>55</v>
      </c>
      <c r="Q276" s="98" t="s">
        <v>1502</v>
      </c>
      <c r="R276" s="102" t="str">
        <f t="shared" si="0"/>
        <v>A5,B1,B2,B5,B8,B9,B10,B11,B14,B15,C9,D16</v>
      </c>
    </row>
    <row r="277" spans="1:18" ht="15.75" customHeight="1">
      <c r="A277" s="44" t="s">
        <v>895</v>
      </c>
      <c r="B277" s="47" t="s">
        <v>896</v>
      </c>
      <c r="C277" s="46" t="s">
        <v>897</v>
      </c>
      <c r="D277" s="47" t="s">
        <v>886</v>
      </c>
      <c r="E277" s="99">
        <v>10</v>
      </c>
      <c r="F277" s="49">
        <v>46191</v>
      </c>
      <c r="G277" s="49">
        <v>46282</v>
      </c>
      <c r="H277" s="78" t="s">
        <v>53</v>
      </c>
      <c r="I277" s="100"/>
      <c r="J277" s="52">
        <v>1287.8</v>
      </c>
      <c r="K277" s="103" t="s">
        <v>1505</v>
      </c>
      <c r="L277" s="47"/>
      <c r="M277" s="54" t="e">
        <f>VLOOKUP(L277,Packaging!$B$3:$C$21,2,0)</f>
        <v>#N/A</v>
      </c>
      <c r="N277" s="47"/>
      <c r="O277" s="100"/>
      <c r="P277" s="47" t="s">
        <v>55</v>
      </c>
      <c r="Q277" s="98" t="s">
        <v>1502</v>
      </c>
      <c r="R277" s="102" t="str">
        <f t="shared" si="0"/>
        <v>A5,B1,B2,B5,B8,B9,B10,B11,B14,B15,C9,D16</v>
      </c>
    </row>
    <row r="278" spans="1:18" ht="15.75" customHeight="1">
      <c r="A278" s="44" t="s">
        <v>898</v>
      </c>
      <c r="B278" s="47" t="s">
        <v>899</v>
      </c>
      <c r="C278" s="46" t="s">
        <v>900</v>
      </c>
      <c r="D278" s="47" t="s">
        <v>886</v>
      </c>
      <c r="E278" s="99">
        <v>100</v>
      </c>
      <c r="F278" s="49">
        <v>46191</v>
      </c>
      <c r="G278" s="49">
        <v>46282</v>
      </c>
      <c r="H278" s="78" t="s">
        <v>53</v>
      </c>
      <c r="I278" s="100">
        <v>244</v>
      </c>
      <c r="J278" s="52">
        <v>112</v>
      </c>
      <c r="K278" s="103" t="s">
        <v>1506</v>
      </c>
      <c r="L278" s="61" t="s">
        <v>274</v>
      </c>
      <c r="M278" s="54" t="str">
        <f>VLOOKUP(L278,Packaging!$B$3:$C$21,2,0)</f>
        <v>290 X 200 X 100</v>
      </c>
      <c r="N278" s="47"/>
      <c r="O278" s="100">
        <v>10</v>
      </c>
      <c r="P278" s="47" t="s">
        <v>55</v>
      </c>
      <c r="Q278" s="98" t="s">
        <v>1502</v>
      </c>
      <c r="R278" s="102" t="str">
        <f t="shared" si="0"/>
        <v>A5,B1,B2,B5,B8,B9,B10,B11,B14,B15,C9,D16</v>
      </c>
    </row>
    <row r="279" spans="1:18" ht="15.75" customHeight="1">
      <c r="A279" s="44" t="s">
        <v>901</v>
      </c>
      <c r="B279" s="47" t="s">
        <v>902</v>
      </c>
      <c r="C279" s="46" t="s">
        <v>903</v>
      </c>
      <c r="D279" s="47" t="s">
        <v>886</v>
      </c>
      <c r="E279" s="99">
        <v>100</v>
      </c>
      <c r="F279" s="49">
        <v>46191</v>
      </c>
      <c r="G279" s="49">
        <v>46282</v>
      </c>
      <c r="H279" s="78" t="s">
        <v>53</v>
      </c>
      <c r="I279" s="100">
        <v>244</v>
      </c>
      <c r="J279" s="52">
        <v>112.8</v>
      </c>
      <c r="K279" s="103" t="s">
        <v>1507</v>
      </c>
      <c r="L279" s="61" t="s">
        <v>274</v>
      </c>
      <c r="M279" s="54" t="str">
        <f>VLOOKUP(L279,Packaging!$B$3:$C$21,2,0)</f>
        <v>290 X 200 X 100</v>
      </c>
      <c r="N279" s="47"/>
      <c r="O279" s="100">
        <v>10</v>
      </c>
      <c r="P279" s="47" t="s">
        <v>55</v>
      </c>
      <c r="Q279" s="98" t="s">
        <v>1502</v>
      </c>
      <c r="R279" s="102" t="str">
        <f t="shared" si="0"/>
        <v>A5,B1,B2,B5,B8,B9,B10,B11,B14,B15,C9,D16</v>
      </c>
    </row>
    <row r="280" spans="1:18" ht="15.75" customHeight="1">
      <c r="A280" s="44" t="s">
        <v>904</v>
      </c>
      <c r="B280" s="47" t="s">
        <v>905</v>
      </c>
      <c r="C280" s="46" t="s">
        <v>906</v>
      </c>
      <c r="D280" s="47" t="s">
        <v>886</v>
      </c>
      <c r="E280" s="99">
        <v>100</v>
      </c>
      <c r="F280" s="49">
        <v>46191</v>
      </c>
      <c r="G280" s="49">
        <v>46282</v>
      </c>
      <c r="H280" s="78" t="s">
        <v>53</v>
      </c>
      <c r="I280" s="100">
        <v>244</v>
      </c>
      <c r="J280" s="52">
        <v>114.2</v>
      </c>
      <c r="K280" s="103" t="s">
        <v>1508</v>
      </c>
      <c r="L280" s="61" t="s">
        <v>274</v>
      </c>
      <c r="M280" s="54" t="str">
        <f>VLOOKUP(L280,Packaging!$B$3:$C$21,2,0)</f>
        <v>290 X 200 X 100</v>
      </c>
      <c r="N280" s="47"/>
      <c r="O280" s="100">
        <v>5</v>
      </c>
      <c r="P280" s="47" t="s">
        <v>55</v>
      </c>
      <c r="Q280" s="98" t="s">
        <v>1502</v>
      </c>
      <c r="R280" s="102" t="str">
        <f t="shared" si="0"/>
        <v>A5,B1,B2,B5,B8,B9,B10,B11,B14,B15,C9,D16</v>
      </c>
    </row>
    <row r="281" spans="1:18" ht="15.75" customHeight="1">
      <c r="A281" s="44" t="s">
        <v>907</v>
      </c>
      <c r="B281" s="47" t="s">
        <v>908</v>
      </c>
      <c r="C281" s="46" t="s">
        <v>909</v>
      </c>
      <c r="D281" s="47" t="s">
        <v>886</v>
      </c>
      <c r="E281" s="99">
        <v>100</v>
      </c>
      <c r="F281" s="49">
        <v>46191</v>
      </c>
      <c r="G281" s="49">
        <v>46282</v>
      </c>
      <c r="H281" s="78" t="s">
        <v>53</v>
      </c>
      <c r="I281" s="100">
        <v>244</v>
      </c>
      <c r="J281" s="52">
        <v>114.2</v>
      </c>
      <c r="K281" s="103" t="s">
        <v>1509</v>
      </c>
      <c r="L281" s="61" t="s">
        <v>274</v>
      </c>
      <c r="M281" s="54" t="str">
        <f>VLOOKUP(L281,Packaging!$B$3:$C$21,2,0)</f>
        <v>290 X 200 X 100</v>
      </c>
      <c r="N281" s="47"/>
      <c r="O281" s="100">
        <v>5</v>
      </c>
      <c r="P281" s="47" t="s">
        <v>55</v>
      </c>
      <c r="Q281" s="98" t="s">
        <v>1502</v>
      </c>
      <c r="R281" s="102" t="str">
        <f t="shared" si="0"/>
        <v>A5,B1,B2,B5,B8,B9,B10,B11,B14,B15,C9,D16</v>
      </c>
    </row>
    <row r="282" spans="1:18" ht="15.75" customHeight="1">
      <c r="A282" s="44" t="s">
        <v>910</v>
      </c>
      <c r="B282" s="47" t="s">
        <v>911</v>
      </c>
      <c r="C282" s="46" t="s">
        <v>912</v>
      </c>
      <c r="D282" s="47" t="s">
        <v>886</v>
      </c>
      <c r="E282" s="99">
        <v>14</v>
      </c>
      <c r="F282" s="49">
        <v>46191</v>
      </c>
      <c r="G282" s="49">
        <v>46282</v>
      </c>
      <c r="H282" s="78" t="s">
        <v>53</v>
      </c>
      <c r="I282" s="100">
        <v>766</v>
      </c>
      <c r="J282" s="52">
        <v>504</v>
      </c>
      <c r="K282" s="103" t="s">
        <v>1510</v>
      </c>
      <c r="L282" s="61" t="s">
        <v>72</v>
      </c>
      <c r="M282" s="54" t="str">
        <f>VLOOKUP(L282,Packaging!$B$3:$C$21,2,0)</f>
        <v>390 X 350 X 280</v>
      </c>
      <c r="N282" s="47"/>
      <c r="O282" s="100">
        <v>14</v>
      </c>
      <c r="P282" s="47" t="s">
        <v>55</v>
      </c>
      <c r="Q282" s="98" t="s">
        <v>1502</v>
      </c>
      <c r="R282" s="102" t="str">
        <f t="shared" si="0"/>
        <v>A5,B1,B2,B5,B8,B9,B10,B11,B14,B15,C9,D16</v>
      </c>
    </row>
    <row r="283" spans="1:18" ht="15.75" customHeight="1">
      <c r="A283" s="44" t="s">
        <v>913</v>
      </c>
      <c r="B283" s="47" t="s">
        <v>914</v>
      </c>
      <c r="C283" s="46" t="s">
        <v>915</v>
      </c>
      <c r="D283" s="47" t="s">
        <v>886</v>
      </c>
      <c r="E283" s="99">
        <v>200</v>
      </c>
      <c r="F283" s="49">
        <v>46191</v>
      </c>
      <c r="G283" s="49">
        <v>46282</v>
      </c>
      <c r="H283" s="78" t="s">
        <v>53</v>
      </c>
      <c r="I283" s="100">
        <v>280</v>
      </c>
      <c r="J283" s="52">
        <v>32</v>
      </c>
      <c r="K283" s="103" t="s">
        <v>1511</v>
      </c>
      <c r="L283" s="61" t="s">
        <v>54</v>
      </c>
      <c r="M283" s="54" t="str">
        <f>VLOOKUP(L283,Packaging!$B$3:$C$21,2,0)</f>
        <v>290 X 200 X 140</v>
      </c>
      <c r="N283" s="47"/>
      <c r="O283" s="100">
        <v>200</v>
      </c>
      <c r="P283" s="47" t="s">
        <v>55</v>
      </c>
      <c r="Q283" s="98" t="s">
        <v>1502</v>
      </c>
      <c r="R283" s="102" t="str">
        <f t="shared" si="0"/>
        <v>A5,B1,B2,B5,B8,B9,B10,B11,B14,B15,C9,D16</v>
      </c>
    </row>
    <row r="284" spans="1:18" ht="15.75" customHeight="1">
      <c r="A284" s="44" t="s">
        <v>916</v>
      </c>
      <c r="B284" s="47" t="s">
        <v>917</v>
      </c>
      <c r="C284" s="46" t="s">
        <v>918</v>
      </c>
      <c r="D284" s="47" t="s">
        <v>886</v>
      </c>
      <c r="E284" s="99">
        <v>150</v>
      </c>
      <c r="F284" s="49">
        <v>46191</v>
      </c>
      <c r="G284" s="49">
        <v>46282</v>
      </c>
      <c r="H284" s="78" t="s">
        <v>53</v>
      </c>
      <c r="I284" s="100">
        <v>280</v>
      </c>
      <c r="J284" s="52">
        <v>33</v>
      </c>
      <c r="K284" s="103" t="s">
        <v>1512</v>
      </c>
      <c r="L284" s="61" t="s">
        <v>54</v>
      </c>
      <c r="M284" s="54" t="str">
        <f>VLOOKUP(L284,Packaging!$B$3:$C$21,2,0)</f>
        <v>290 X 200 X 140</v>
      </c>
      <c r="N284" s="47"/>
      <c r="O284" s="100">
        <v>150</v>
      </c>
      <c r="P284" s="47" t="s">
        <v>55</v>
      </c>
      <c r="Q284" s="98" t="s">
        <v>1502</v>
      </c>
      <c r="R284" s="102" t="str">
        <f t="shared" si="0"/>
        <v>A5,B1,B2,B5,B8,B9,B10,B11,B14,B15,C9,D16</v>
      </c>
    </row>
    <row r="285" spans="1:18" ht="15.75" customHeight="1">
      <c r="A285" s="44" t="s">
        <v>919</v>
      </c>
      <c r="B285" s="47" t="s">
        <v>920</v>
      </c>
      <c r="C285" s="46" t="s">
        <v>921</v>
      </c>
      <c r="D285" s="47" t="s">
        <v>886</v>
      </c>
      <c r="E285" s="99">
        <v>150</v>
      </c>
      <c r="F285" s="49">
        <v>46191</v>
      </c>
      <c r="G285" s="49">
        <v>46282</v>
      </c>
      <c r="H285" s="78" t="s">
        <v>53</v>
      </c>
      <c r="I285" s="100">
        <v>280</v>
      </c>
      <c r="J285" s="52">
        <v>33</v>
      </c>
      <c r="K285" s="103" t="s">
        <v>1513</v>
      </c>
      <c r="L285" s="61" t="s">
        <v>54</v>
      </c>
      <c r="M285" s="54" t="str">
        <f>VLOOKUP(L285,Packaging!$B$3:$C$21,2,0)</f>
        <v>290 X 200 X 140</v>
      </c>
      <c r="N285" s="47"/>
      <c r="O285" s="100">
        <v>150</v>
      </c>
      <c r="P285" s="47" t="s">
        <v>55</v>
      </c>
      <c r="Q285" s="98" t="s">
        <v>1502</v>
      </c>
      <c r="R285" s="102" t="str">
        <f t="shared" si="0"/>
        <v>A5,B1,B2,B5,B8,B9,B10,B11,B14,B15,C9,D16</v>
      </c>
    </row>
    <row r="286" spans="1:18" ht="15.75" customHeight="1">
      <c r="A286" s="44" t="s">
        <v>922</v>
      </c>
      <c r="B286" s="47" t="s">
        <v>923</v>
      </c>
      <c r="C286" s="46" t="s">
        <v>924</v>
      </c>
      <c r="D286" s="47" t="s">
        <v>886</v>
      </c>
      <c r="E286" s="99">
        <v>150</v>
      </c>
      <c r="F286" s="49">
        <v>46191</v>
      </c>
      <c r="G286" s="49">
        <v>46282</v>
      </c>
      <c r="H286" s="78" t="s">
        <v>53</v>
      </c>
      <c r="I286" s="100">
        <v>280</v>
      </c>
      <c r="J286" s="52">
        <v>31.6</v>
      </c>
      <c r="K286" s="103" t="s">
        <v>1514</v>
      </c>
      <c r="L286" s="61" t="s">
        <v>54</v>
      </c>
      <c r="M286" s="54" t="str">
        <f>VLOOKUP(L286,Packaging!$B$3:$C$21,2,0)</f>
        <v>290 X 200 X 140</v>
      </c>
      <c r="N286" s="47"/>
      <c r="O286" s="100">
        <v>150</v>
      </c>
      <c r="P286" s="47" t="s">
        <v>55</v>
      </c>
      <c r="Q286" s="98" t="s">
        <v>1502</v>
      </c>
      <c r="R286" s="102" t="str">
        <f t="shared" si="0"/>
        <v>A5,B1,B2,B5,B8,B9,B10,B11,B14,B15,C9,D16</v>
      </c>
    </row>
    <row r="287" spans="1:18" ht="15.75" customHeight="1">
      <c r="A287" s="44" t="s">
        <v>925</v>
      </c>
      <c r="B287" s="47" t="s">
        <v>926</v>
      </c>
      <c r="C287" s="46" t="s">
        <v>927</v>
      </c>
      <c r="D287" s="47" t="s">
        <v>886</v>
      </c>
      <c r="E287" s="99">
        <v>200</v>
      </c>
      <c r="F287" s="49">
        <v>46191</v>
      </c>
      <c r="G287" s="49">
        <v>46282</v>
      </c>
      <c r="H287" s="78" t="s">
        <v>53</v>
      </c>
      <c r="I287" s="100">
        <v>280</v>
      </c>
      <c r="J287" s="52">
        <v>31.4</v>
      </c>
      <c r="K287" s="103" t="s">
        <v>1515</v>
      </c>
      <c r="L287" s="61" t="s">
        <v>54</v>
      </c>
      <c r="M287" s="54" t="str">
        <f>VLOOKUP(L287,Packaging!$B$3:$C$21,2,0)</f>
        <v>290 X 200 X 140</v>
      </c>
      <c r="N287" s="47"/>
      <c r="O287" s="100">
        <v>200</v>
      </c>
      <c r="P287" s="47" t="s">
        <v>55</v>
      </c>
      <c r="Q287" s="98" t="s">
        <v>1502</v>
      </c>
      <c r="R287" s="102" t="str">
        <f t="shared" si="0"/>
        <v>A5,B1,B2,B5,B8,B9,B10,B11,B14,B15,C9,D16</v>
      </c>
    </row>
    <row r="288" spans="1:18" ht="15.75" customHeight="1">
      <c r="A288" s="44" t="s">
        <v>928</v>
      </c>
      <c r="B288" s="47" t="s">
        <v>929</v>
      </c>
      <c r="C288" s="46" t="s">
        <v>930</v>
      </c>
      <c r="D288" s="47" t="s">
        <v>886</v>
      </c>
      <c r="E288" s="99">
        <v>12</v>
      </c>
      <c r="F288" s="49">
        <v>46191</v>
      </c>
      <c r="G288" s="49">
        <v>46282</v>
      </c>
      <c r="H288" s="78" t="s">
        <v>53</v>
      </c>
      <c r="I288" s="100">
        <v>766</v>
      </c>
      <c r="J288" s="52">
        <v>597</v>
      </c>
      <c r="K288" s="103" t="s">
        <v>1516</v>
      </c>
      <c r="L288" s="61" t="s">
        <v>72</v>
      </c>
      <c r="M288" s="54" t="str">
        <f>VLOOKUP(L288,Packaging!$B$3:$C$21,2,0)</f>
        <v>390 X 350 X 280</v>
      </c>
      <c r="N288" s="47"/>
      <c r="O288" s="100">
        <v>12</v>
      </c>
      <c r="P288" s="47" t="s">
        <v>55</v>
      </c>
      <c r="Q288" s="98" t="s">
        <v>1502</v>
      </c>
      <c r="R288" s="102" t="str">
        <f t="shared" si="0"/>
        <v>A5,B1,B2,B5,B8,B9,B10,B11,B14,B15,C9,D16</v>
      </c>
    </row>
    <row r="289" spans="1:18" ht="15.75" customHeight="1">
      <c r="A289" s="44" t="s">
        <v>931</v>
      </c>
      <c r="B289" s="47" t="s">
        <v>932</v>
      </c>
      <c r="C289" s="46" t="s">
        <v>933</v>
      </c>
      <c r="D289" s="47" t="s">
        <v>886</v>
      </c>
      <c r="E289" s="99">
        <v>140</v>
      </c>
      <c r="F289" s="49">
        <v>46191</v>
      </c>
      <c r="G289" s="49">
        <v>46282</v>
      </c>
      <c r="H289" s="78" t="s">
        <v>53</v>
      </c>
      <c r="I289" s="100">
        <v>280</v>
      </c>
      <c r="J289" s="52">
        <v>123.4</v>
      </c>
      <c r="K289" s="103" t="s">
        <v>1517</v>
      </c>
      <c r="L289" s="61" t="s">
        <v>54</v>
      </c>
      <c r="M289" s="54" t="str">
        <f>VLOOKUP(L289,Packaging!$B$3:$C$21,2,0)</f>
        <v>290 X 200 X 140</v>
      </c>
      <c r="N289" s="47"/>
      <c r="O289" s="100">
        <v>140</v>
      </c>
      <c r="P289" s="47" t="s">
        <v>55</v>
      </c>
      <c r="Q289" s="98" t="s">
        <v>1502</v>
      </c>
      <c r="R289" s="102" t="str">
        <f t="shared" si="0"/>
        <v>A5,B1,B2,B5,B8,B9,B10,B11,B14,B15,C9,D16</v>
      </c>
    </row>
    <row r="290" spans="1:18" ht="15.75" customHeight="1">
      <c r="A290" s="44" t="s">
        <v>934</v>
      </c>
      <c r="B290" s="47" t="s">
        <v>935</v>
      </c>
      <c r="C290" s="46" t="s">
        <v>936</v>
      </c>
      <c r="D290" s="47" t="s">
        <v>937</v>
      </c>
      <c r="E290" s="99">
        <v>1050</v>
      </c>
      <c r="F290" s="49">
        <v>46191</v>
      </c>
      <c r="G290" s="49">
        <v>46282</v>
      </c>
      <c r="H290" s="78" t="s">
        <v>53</v>
      </c>
      <c r="I290" s="100">
        <v>280</v>
      </c>
      <c r="J290" s="52">
        <v>16.399999999999999</v>
      </c>
      <c r="K290" s="103" t="s">
        <v>1518</v>
      </c>
      <c r="L290" s="61" t="s">
        <v>54</v>
      </c>
      <c r="M290" s="54" t="str">
        <f>VLOOKUP(L290,Packaging!$B$3:$C$21,2,0)</f>
        <v>290 X 200 X 140</v>
      </c>
      <c r="N290" s="47"/>
      <c r="O290" s="100">
        <v>20</v>
      </c>
      <c r="P290" s="47" t="s">
        <v>55</v>
      </c>
      <c r="Q290" s="98" t="s">
        <v>1500</v>
      </c>
      <c r="R290" s="102" t="str">
        <f t="shared" si="0"/>
        <v/>
      </c>
    </row>
    <row r="291" spans="1:18" ht="15.75" customHeight="1">
      <c r="A291" s="44" t="s">
        <v>938</v>
      </c>
      <c r="B291" s="47" t="s">
        <v>939</v>
      </c>
      <c r="C291" s="46" t="s">
        <v>940</v>
      </c>
      <c r="D291" s="47" t="s">
        <v>937</v>
      </c>
      <c r="E291" s="99">
        <v>48</v>
      </c>
      <c r="F291" s="49">
        <v>46191</v>
      </c>
      <c r="G291" s="49">
        <v>46282</v>
      </c>
      <c r="H291" s="78" t="s">
        <v>53</v>
      </c>
      <c r="I291" s="100">
        <v>278</v>
      </c>
      <c r="J291" s="52">
        <v>206</v>
      </c>
      <c r="K291" s="103" t="s">
        <v>1519</v>
      </c>
      <c r="L291" s="61" t="s">
        <v>161</v>
      </c>
      <c r="M291" s="54" t="str">
        <f>VLOOKUP(L291,Packaging!$B$3:$C$21,2,0)</f>
        <v>360 X 270 X 128</v>
      </c>
      <c r="N291" s="47"/>
      <c r="O291" s="100">
        <v>48</v>
      </c>
      <c r="P291" s="47" t="s">
        <v>55</v>
      </c>
      <c r="Q291" s="98" t="s">
        <v>1500</v>
      </c>
      <c r="R291" s="102" t="str">
        <f t="shared" si="0"/>
        <v/>
      </c>
    </row>
    <row r="292" spans="1:18" ht="15.75" customHeight="1">
      <c r="A292" s="44" t="s">
        <v>941</v>
      </c>
      <c r="B292" s="47" t="s">
        <v>942</v>
      </c>
      <c r="C292" s="46" t="s">
        <v>943</v>
      </c>
      <c r="D292" s="47" t="s">
        <v>944</v>
      </c>
      <c r="E292" s="99">
        <v>900</v>
      </c>
      <c r="F292" s="49">
        <v>46191</v>
      </c>
      <c r="G292" s="49">
        <v>46282</v>
      </c>
      <c r="H292" s="78" t="s">
        <v>53</v>
      </c>
      <c r="I292" s="100">
        <v>280</v>
      </c>
      <c r="J292" s="52">
        <v>12.6</v>
      </c>
      <c r="K292" s="103" t="s">
        <v>1520</v>
      </c>
      <c r="L292" s="61" t="s">
        <v>54</v>
      </c>
      <c r="M292" s="54" t="str">
        <f>VLOOKUP(L292,Packaging!$B$3:$C$21,2,0)</f>
        <v>290 X 200 X 140</v>
      </c>
      <c r="N292" s="47"/>
      <c r="O292" s="100">
        <v>100</v>
      </c>
      <c r="P292" s="47" t="s">
        <v>55</v>
      </c>
      <c r="Q292" s="98" t="s">
        <v>1500</v>
      </c>
      <c r="R292" s="102" t="str">
        <f t="shared" si="0"/>
        <v/>
      </c>
    </row>
    <row r="293" spans="1:18" ht="15.75" customHeight="1">
      <c r="A293" s="44" t="s">
        <v>945</v>
      </c>
      <c r="B293" s="47" t="s">
        <v>946</v>
      </c>
      <c r="C293" s="46" t="s">
        <v>947</v>
      </c>
      <c r="D293" s="47" t="s">
        <v>944</v>
      </c>
      <c r="E293" s="99">
        <v>300</v>
      </c>
      <c r="F293" s="49">
        <v>46191</v>
      </c>
      <c r="G293" s="49">
        <v>46282</v>
      </c>
      <c r="H293" s="78" t="s">
        <v>53</v>
      </c>
      <c r="I293" s="100">
        <v>280</v>
      </c>
      <c r="J293" s="52">
        <v>28</v>
      </c>
      <c r="K293" s="103" t="s">
        <v>1521</v>
      </c>
      <c r="L293" s="61" t="s">
        <v>54</v>
      </c>
      <c r="M293" s="54" t="str">
        <f>VLOOKUP(L293,Packaging!$B$3:$C$21,2,0)</f>
        <v>290 X 200 X 140</v>
      </c>
      <c r="N293" s="47"/>
      <c r="O293" s="100">
        <v>50</v>
      </c>
      <c r="P293" s="47" t="s">
        <v>55</v>
      </c>
      <c r="Q293" s="98" t="s">
        <v>1500</v>
      </c>
      <c r="R293" s="102" t="str">
        <f t="shared" si="0"/>
        <v/>
      </c>
    </row>
    <row r="294" spans="1:18" ht="15.75" customHeight="1">
      <c r="A294" s="44" t="s">
        <v>948</v>
      </c>
      <c r="B294" s="47" t="s">
        <v>949</v>
      </c>
      <c r="C294" s="46" t="s">
        <v>950</v>
      </c>
      <c r="D294" s="47" t="s">
        <v>944</v>
      </c>
      <c r="E294" s="99">
        <v>350</v>
      </c>
      <c r="F294" s="49">
        <v>46191</v>
      </c>
      <c r="G294" s="49">
        <v>46282</v>
      </c>
      <c r="H294" s="78" t="s">
        <v>53</v>
      </c>
      <c r="I294" s="100"/>
      <c r="J294" s="52">
        <v>69.599999999999994</v>
      </c>
      <c r="K294" s="103" t="s">
        <v>1522</v>
      </c>
      <c r="L294" s="47"/>
      <c r="M294" s="54" t="e">
        <f>VLOOKUP(L294,Packaging!$B$3:$C$21,2,0)</f>
        <v>#N/A</v>
      </c>
      <c r="N294" s="47"/>
      <c r="O294" s="100">
        <v>50</v>
      </c>
      <c r="P294" s="47" t="s">
        <v>55</v>
      </c>
      <c r="Q294" s="98" t="s">
        <v>1500</v>
      </c>
      <c r="R294" s="102" t="str">
        <f t="shared" si="0"/>
        <v/>
      </c>
    </row>
    <row r="295" spans="1:18" ht="15.75" customHeight="1">
      <c r="A295" s="44" t="s">
        <v>951</v>
      </c>
      <c r="B295" s="47" t="s">
        <v>952</v>
      </c>
      <c r="C295" s="46" t="s">
        <v>953</v>
      </c>
      <c r="D295" s="47" t="s">
        <v>944</v>
      </c>
      <c r="E295" s="99">
        <v>350</v>
      </c>
      <c r="F295" s="49">
        <v>46191</v>
      </c>
      <c r="G295" s="49">
        <v>46282</v>
      </c>
      <c r="H295" s="78" t="s">
        <v>53</v>
      </c>
      <c r="I295" s="100">
        <v>280</v>
      </c>
      <c r="J295" s="52">
        <v>36</v>
      </c>
      <c r="K295" s="103" t="s">
        <v>1523</v>
      </c>
      <c r="L295" s="61" t="s">
        <v>54</v>
      </c>
      <c r="M295" s="54" t="str">
        <f>VLOOKUP(L295,Packaging!$B$3:$C$21,2,0)</f>
        <v>290 X 200 X 140</v>
      </c>
      <c r="N295" s="47"/>
      <c r="O295" s="100">
        <v>50</v>
      </c>
      <c r="P295" s="47" t="s">
        <v>55</v>
      </c>
      <c r="Q295" s="98" t="s">
        <v>1500</v>
      </c>
      <c r="R295" s="102" t="str">
        <f t="shared" si="0"/>
        <v/>
      </c>
    </row>
    <row r="296" spans="1:18" ht="15.75" customHeight="1">
      <c r="A296" s="44" t="s">
        <v>954</v>
      </c>
      <c r="B296" s="47">
        <v>932945</v>
      </c>
      <c r="C296" s="46" t="s">
        <v>955</v>
      </c>
      <c r="D296" s="47" t="s">
        <v>956</v>
      </c>
      <c r="E296" s="99">
        <v>200</v>
      </c>
      <c r="F296" s="49">
        <v>46191</v>
      </c>
      <c r="G296" s="49">
        <v>46282</v>
      </c>
      <c r="H296" s="47" t="s">
        <v>957</v>
      </c>
      <c r="I296" s="100">
        <v>278</v>
      </c>
      <c r="J296" s="52">
        <v>64.8</v>
      </c>
      <c r="K296" s="103" t="s">
        <v>1524</v>
      </c>
      <c r="L296" s="61" t="s">
        <v>161</v>
      </c>
      <c r="M296" s="54" t="str">
        <f>VLOOKUP(L296,Packaging!$B$3:$C$21,2,0)</f>
        <v>360 X 270 X 128</v>
      </c>
      <c r="N296" s="47"/>
      <c r="O296" s="100"/>
      <c r="P296" s="47" t="s">
        <v>55</v>
      </c>
      <c r="Q296" s="98" t="s">
        <v>1500</v>
      </c>
      <c r="R296" s="102" t="str">
        <f t="shared" si="0"/>
        <v/>
      </c>
    </row>
    <row r="297" spans="1:18" ht="15.75" customHeight="1">
      <c r="A297" s="44" t="s">
        <v>958</v>
      </c>
      <c r="B297" s="47">
        <v>933075</v>
      </c>
      <c r="C297" s="68" t="s">
        <v>959</v>
      </c>
      <c r="D297" s="47" t="s">
        <v>956</v>
      </c>
      <c r="E297" s="99">
        <v>450</v>
      </c>
      <c r="F297" s="49">
        <v>46191</v>
      </c>
      <c r="G297" s="49">
        <v>46282</v>
      </c>
      <c r="H297" s="78" t="s">
        <v>960</v>
      </c>
      <c r="I297" s="100">
        <v>280</v>
      </c>
      <c r="J297" s="52">
        <v>18</v>
      </c>
      <c r="K297" s="103" t="s">
        <v>1525</v>
      </c>
      <c r="L297" s="61" t="s">
        <v>54</v>
      </c>
      <c r="M297" s="54" t="str">
        <f>VLOOKUP(L297,Packaging!$B$3:$C$21,2,0)</f>
        <v>290 X 200 X 140</v>
      </c>
      <c r="N297" s="47"/>
      <c r="O297" s="100"/>
      <c r="P297" s="47" t="s">
        <v>55</v>
      </c>
      <c r="Q297" s="98" t="s">
        <v>1500</v>
      </c>
      <c r="R297" s="102" t="str">
        <f t="shared" si="0"/>
        <v/>
      </c>
    </row>
    <row r="298" spans="1:18" ht="15.75" customHeight="1">
      <c r="A298" s="44" t="s">
        <v>961</v>
      </c>
      <c r="B298" s="47">
        <v>933080</v>
      </c>
      <c r="C298" s="68" t="s">
        <v>962</v>
      </c>
      <c r="D298" s="47" t="s">
        <v>956</v>
      </c>
      <c r="E298" s="99">
        <v>450</v>
      </c>
      <c r="F298" s="49">
        <v>46191</v>
      </c>
      <c r="G298" s="49">
        <v>46282</v>
      </c>
      <c r="H298" s="78" t="s">
        <v>960</v>
      </c>
      <c r="I298" s="100">
        <v>280</v>
      </c>
      <c r="J298" s="52">
        <v>18</v>
      </c>
      <c r="K298" s="103" t="s">
        <v>1526</v>
      </c>
      <c r="L298" s="61" t="s">
        <v>54</v>
      </c>
      <c r="M298" s="54" t="str">
        <f>VLOOKUP(L298,Packaging!$B$3:$C$21,2,0)</f>
        <v>290 X 200 X 140</v>
      </c>
      <c r="N298" s="47"/>
      <c r="O298" s="100"/>
      <c r="P298" s="47" t="s">
        <v>55</v>
      </c>
      <c r="Q298" s="98" t="s">
        <v>1500</v>
      </c>
      <c r="R298" s="102" t="str">
        <f t="shared" si="0"/>
        <v/>
      </c>
    </row>
    <row r="299" spans="1:18" ht="15.75" customHeight="1">
      <c r="A299" s="44" t="s">
        <v>963</v>
      </c>
      <c r="B299" s="47">
        <v>947584</v>
      </c>
      <c r="C299" s="46" t="s">
        <v>964</v>
      </c>
      <c r="D299" s="47" t="s">
        <v>956</v>
      </c>
      <c r="E299" s="99">
        <v>100</v>
      </c>
      <c r="F299" s="49">
        <v>46191</v>
      </c>
      <c r="G299" s="49">
        <v>46282</v>
      </c>
      <c r="H299" s="47" t="s">
        <v>965</v>
      </c>
      <c r="I299" s="100"/>
      <c r="J299" s="52">
        <v>160.80000000000001</v>
      </c>
      <c r="K299" s="103" t="s">
        <v>1527</v>
      </c>
      <c r="L299" s="47"/>
      <c r="M299" s="54" t="e">
        <f>VLOOKUP(L299,Packaging!$B$3:$C$21,2,0)</f>
        <v>#N/A</v>
      </c>
      <c r="N299" s="47"/>
      <c r="O299" s="100"/>
      <c r="P299" s="47" t="s">
        <v>55</v>
      </c>
      <c r="Q299" s="98" t="s">
        <v>1500</v>
      </c>
      <c r="R299" s="102" t="str">
        <f t="shared" si="0"/>
        <v/>
      </c>
    </row>
    <row r="300" spans="1:18" ht="15.75" customHeight="1">
      <c r="A300" s="44" t="s">
        <v>966</v>
      </c>
      <c r="B300" s="47" t="s">
        <v>967</v>
      </c>
      <c r="C300" s="46" t="s">
        <v>968</v>
      </c>
      <c r="D300" s="47" t="s">
        <v>969</v>
      </c>
      <c r="E300" s="99">
        <v>50000</v>
      </c>
      <c r="F300" s="49">
        <v>46191</v>
      </c>
      <c r="G300" s="49">
        <v>46282</v>
      </c>
      <c r="H300" s="78" t="s">
        <v>53</v>
      </c>
      <c r="I300" s="100">
        <v>280</v>
      </c>
      <c r="J300" s="53">
        <v>0.22</v>
      </c>
      <c r="K300" s="103" t="s">
        <v>1528</v>
      </c>
      <c r="L300" s="61" t="s">
        <v>54</v>
      </c>
      <c r="M300" s="54" t="str">
        <f>VLOOKUP(L300,Packaging!$B$3:$C$21,2,0)</f>
        <v>290 X 200 X 140</v>
      </c>
      <c r="N300" s="47"/>
      <c r="O300" s="100">
        <v>2000</v>
      </c>
      <c r="P300" s="47" t="s">
        <v>55</v>
      </c>
      <c r="Q300" s="98" t="s">
        <v>1529</v>
      </c>
      <c r="R300" s="102" t="str">
        <f t="shared" si="0"/>
        <v>B19,B20</v>
      </c>
    </row>
    <row r="301" spans="1:18" ht="15.75" customHeight="1">
      <c r="A301" s="44" t="s">
        <v>970</v>
      </c>
      <c r="B301" s="47" t="s">
        <v>971</v>
      </c>
      <c r="C301" s="46" t="s">
        <v>972</v>
      </c>
      <c r="D301" s="47" t="s">
        <v>969</v>
      </c>
      <c r="E301" s="99">
        <v>50000</v>
      </c>
      <c r="F301" s="49">
        <v>46191</v>
      </c>
      <c r="G301" s="49">
        <v>46282</v>
      </c>
      <c r="H301" s="78" t="s">
        <v>53</v>
      </c>
      <c r="I301" s="100">
        <v>280</v>
      </c>
      <c r="J301" s="53">
        <v>0.25</v>
      </c>
      <c r="K301" s="103" t="s">
        <v>1530</v>
      </c>
      <c r="L301" s="61" t="s">
        <v>54</v>
      </c>
      <c r="M301" s="54" t="str">
        <f>VLOOKUP(L301,Packaging!$B$3:$C$21,2,0)</f>
        <v>290 X 200 X 140</v>
      </c>
      <c r="N301" s="47"/>
      <c r="O301" s="100">
        <v>2000</v>
      </c>
      <c r="P301" s="47" t="s">
        <v>55</v>
      </c>
      <c r="Q301" s="98" t="s">
        <v>1529</v>
      </c>
      <c r="R301" s="102" t="str">
        <f t="shared" si="0"/>
        <v>B19,B20</v>
      </c>
    </row>
    <row r="302" spans="1:18" ht="15.75" customHeight="1">
      <c r="A302" s="44" t="s">
        <v>973</v>
      </c>
      <c r="B302" s="47" t="s">
        <v>974</v>
      </c>
      <c r="C302" s="46" t="s">
        <v>975</v>
      </c>
      <c r="D302" s="47" t="s">
        <v>969</v>
      </c>
      <c r="E302" s="99">
        <v>50000</v>
      </c>
      <c r="F302" s="49">
        <v>46191</v>
      </c>
      <c r="G302" s="49">
        <v>46282</v>
      </c>
      <c r="H302" s="78" t="s">
        <v>53</v>
      </c>
      <c r="I302" s="100">
        <v>280</v>
      </c>
      <c r="J302" s="53">
        <v>0.27800000000000002</v>
      </c>
      <c r="K302" s="103" t="s">
        <v>1531</v>
      </c>
      <c r="L302" s="61" t="s">
        <v>54</v>
      </c>
      <c r="M302" s="54" t="str">
        <f>VLOOKUP(L302,Packaging!$B$3:$C$21,2,0)</f>
        <v>290 X 200 X 140</v>
      </c>
      <c r="N302" s="47"/>
      <c r="O302" s="100">
        <v>2000</v>
      </c>
      <c r="P302" s="47" t="s">
        <v>55</v>
      </c>
      <c r="Q302" s="98" t="s">
        <v>1529</v>
      </c>
      <c r="R302" s="102" t="str">
        <f t="shared" si="0"/>
        <v>B19,B20</v>
      </c>
    </row>
    <row r="303" spans="1:18" ht="15.75" customHeight="1">
      <c r="A303" s="44" t="s">
        <v>976</v>
      </c>
      <c r="B303" s="47">
        <v>814997</v>
      </c>
      <c r="C303" s="46" t="s">
        <v>977</v>
      </c>
      <c r="D303" s="47" t="s">
        <v>978</v>
      </c>
      <c r="E303" s="99">
        <v>1000</v>
      </c>
      <c r="F303" s="49">
        <v>46191</v>
      </c>
      <c r="G303" s="49">
        <v>46282</v>
      </c>
      <c r="H303" s="47" t="s">
        <v>979</v>
      </c>
      <c r="I303" s="100"/>
      <c r="J303" s="52">
        <v>3.2</v>
      </c>
      <c r="K303" s="103" t="s">
        <v>1532</v>
      </c>
      <c r="L303" s="47"/>
      <c r="M303" s="54" t="e">
        <f>VLOOKUP(L303,Packaging!$B$3:$C$21,2,0)</f>
        <v>#N/A</v>
      </c>
      <c r="N303" s="47"/>
      <c r="O303" s="100"/>
      <c r="P303" s="47" t="s">
        <v>55</v>
      </c>
      <c r="Q303" s="98" t="s">
        <v>1500</v>
      </c>
      <c r="R303" s="102" t="str">
        <f t="shared" si="0"/>
        <v/>
      </c>
    </row>
    <row r="304" spans="1:18" ht="15.75" customHeight="1">
      <c r="A304" s="44" t="s">
        <v>980</v>
      </c>
      <c r="B304" s="67">
        <v>932975</v>
      </c>
      <c r="C304" s="68" t="s">
        <v>981</v>
      </c>
      <c r="D304" s="47" t="s">
        <v>978</v>
      </c>
      <c r="E304" s="99">
        <v>700</v>
      </c>
      <c r="F304" s="49">
        <v>46191</v>
      </c>
      <c r="G304" s="49">
        <v>46282</v>
      </c>
      <c r="H304" s="78" t="s">
        <v>982</v>
      </c>
      <c r="I304" s="100">
        <v>280</v>
      </c>
      <c r="J304" s="52">
        <v>12.4</v>
      </c>
      <c r="K304" s="103" t="s">
        <v>1533</v>
      </c>
      <c r="L304" s="61" t="s">
        <v>54</v>
      </c>
      <c r="M304" s="54" t="str">
        <f>VLOOKUP(L304,Packaging!$B$3:$C$21,2,0)</f>
        <v>290 X 200 X 140</v>
      </c>
      <c r="N304" s="47"/>
      <c r="O304" s="100">
        <v>100</v>
      </c>
      <c r="P304" s="47" t="s">
        <v>55</v>
      </c>
      <c r="Q304" s="98" t="s">
        <v>1500</v>
      </c>
      <c r="R304" s="102" t="str">
        <f t="shared" si="0"/>
        <v/>
      </c>
    </row>
    <row r="305" spans="1:18" ht="15.75" customHeight="1">
      <c r="A305" s="44" t="s">
        <v>983</v>
      </c>
      <c r="B305" s="67">
        <v>933075</v>
      </c>
      <c r="C305" s="68" t="s">
        <v>984</v>
      </c>
      <c r="D305" s="47" t="s">
        <v>978</v>
      </c>
      <c r="E305" s="99">
        <v>450</v>
      </c>
      <c r="F305" s="49">
        <v>46191</v>
      </c>
      <c r="G305" s="49">
        <v>46282</v>
      </c>
      <c r="H305" s="78" t="s">
        <v>960</v>
      </c>
      <c r="I305" s="100">
        <v>280</v>
      </c>
      <c r="J305" s="52">
        <v>18</v>
      </c>
      <c r="K305" s="103" t="s">
        <v>1534</v>
      </c>
      <c r="L305" s="61" t="s">
        <v>54</v>
      </c>
      <c r="M305" s="54" t="str">
        <f>VLOOKUP(L305,Packaging!$B$3:$C$21,2,0)</f>
        <v>290 X 200 X 140</v>
      </c>
      <c r="N305" s="47"/>
      <c r="O305" s="100"/>
      <c r="P305" s="47" t="s">
        <v>55</v>
      </c>
      <c r="Q305" s="98" t="s">
        <v>1500</v>
      </c>
      <c r="R305" s="102" t="str">
        <f t="shared" si="0"/>
        <v/>
      </c>
    </row>
    <row r="306" spans="1:18" ht="15.75" customHeight="1">
      <c r="A306" s="44" t="s">
        <v>985</v>
      </c>
      <c r="B306" s="67">
        <v>933080</v>
      </c>
      <c r="C306" s="68" t="s">
        <v>986</v>
      </c>
      <c r="D306" s="47" t="s">
        <v>978</v>
      </c>
      <c r="E306" s="99">
        <v>450</v>
      </c>
      <c r="F306" s="49">
        <v>46191</v>
      </c>
      <c r="G306" s="49">
        <v>46282</v>
      </c>
      <c r="H306" s="78" t="s">
        <v>960</v>
      </c>
      <c r="I306" s="100">
        <v>280</v>
      </c>
      <c r="J306" s="52">
        <v>18</v>
      </c>
      <c r="K306" s="103" t="s">
        <v>1535</v>
      </c>
      <c r="L306" s="61" t="s">
        <v>54</v>
      </c>
      <c r="M306" s="54" t="str">
        <f>VLOOKUP(L306,Packaging!$B$3:$C$21,2,0)</f>
        <v>290 X 200 X 140</v>
      </c>
      <c r="N306" s="47"/>
      <c r="O306" s="100"/>
      <c r="P306" s="47" t="s">
        <v>55</v>
      </c>
      <c r="Q306" s="98" t="s">
        <v>1500</v>
      </c>
      <c r="R306" s="102" t="str">
        <f t="shared" si="0"/>
        <v/>
      </c>
    </row>
    <row r="307" spans="1:18" ht="15.75" customHeight="1">
      <c r="A307" s="44" t="s">
        <v>987</v>
      </c>
      <c r="B307" s="47">
        <v>935090</v>
      </c>
      <c r="C307" s="46" t="s">
        <v>988</v>
      </c>
      <c r="D307" s="47" t="s">
        <v>978</v>
      </c>
      <c r="E307" s="99">
        <v>450</v>
      </c>
      <c r="F307" s="49">
        <v>46191</v>
      </c>
      <c r="G307" s="49">
        <v>46282</v>
      </c>
      <c r="H307" s="47" t="s">
        <v>989</v>
      </c>
      <c r="I307" s="100">
        <v>280</v>
      </c>
      <c r="J307" s="52">
        <v>14.6</v>
      </c>
      <c r="K307" s="103" t="s">
        <v>1536</v>
      </c>
      <c r="L307" s="61" t="s">
        <v>54</v>
      </c>
      <c r="M307" s="54" t="str">
        <f>VLOOKUP(L307,Packaging!$B$3:$C$21,2,0)</f>
        <v>290 X 200 X 140</v>
      </c>
      <c r="N307" s="47"/>
      <c r="O307" s="100">
        <v>50</v>
      </c>
      <c r="P307" s="47" t="s">
        <v>55</v>
      </c>
      <c r="Q307" s="98" t="s">
        <v>1500</v>
      </c>
      <c r="R307" s="102" t="str">
        <f t="shared" si="0"/>
        <v/>
      </c>
    </row>
    <row r="308" spans="1:18" ht="15.75" customHeight="1">
      <c r="A308" s="44" t="s">
        <v>990</v>
      </c>
      <c r="B308" s="47">
        <v>954407</v>
      </c>
      <c r="C308" s="46" t="s">
        <v>991</v>
      </c>
      <c r="D308" s="47" t="s">
        <v>978</v>
      </c>
      <c r="E308" s="99">
        <v>1000</v>
      </c>
      <c r="F308" s="49">
        <v>46191</v>
      </c>
      <c r="G308" s="49">
        <v>46282</v>
      </c>
      <c r="H308" s="47" t="s">
        <v>992</v>
      </c>
      <c r="I308" s="100">
        <v>280</v>
      </c>
      <c r="J308" s="52">
        <v>3.2</v>
      </c>
      <c r="K308" s="103" t="s">
        <v>1537</v>
      </c>
      <c r="L308" s="61" t="s">
        <v>54</v>
      </c>
      <c r="M308" s="54" t="str">
        <f>VLOOKUP(L308,Packaging!$B$3:$C$21,2,0)</f>
        <v>290 X 200 X 140</v>
      </c>
      <c r="N308" s="47" t="s">
        <v>993</v>
      </c>
      <c r="O308" s="100">
        <v>250</v>
      </c>
      <c r="P308" s="47" t="s">
        <v>55</v>
      </c>
      <c r="Q308" s="98" t="s">
        <v>1500</v>
      </c>
      <c r="R308" s="102" t="str">
        <f t="shared" si="0"/>
        <v/>
      </c>
    </row>
    <row r="309" spans="1:18" ht="15.75" customHeight="1">
      <c r="A309" s="44" t="s">
        <v>994</v>
      </c>
      <c r="B309" s="47">
        <v>954419</v>
      </c>
      <c r="C309" s="46" t="s">
        <v>995</v>
      </c>
      <c r="D309" s="47" t="s">
        <v>978</v>
      </c>
      <c r="E309" s="99">
        <v>800</v>
      </c>
      <c r="F309" s="49">
        <v>46191</v>
      </c>
      <c r="G309" s="49">
        <v>46282</v>
      </c>
      <c r="H309" s="47" t="s">
        <v>996</v>
      </c>
      <c r="I309" s="100"/>
      <c r="J309" s="52">
        <v>20.2</v>
      </c>
      <c r="K309" s="103" t="s">
        <v>1538</v>
      </c>
      <c r="L309" s="47"/>
      <c r="M309" s="54" t="e">
        <f>VLOOKUP(L309,Packaging!$B$3:$C$21,2,0)</f>
        <v>#N/A</v>
      </c>
      <c r="N309" s="47"/>
      <c r="O309" s="100">
        <v>100</v>
      </c>
      <c r="P309" s="47" t="s">
        <v>55</v>
      </c>
      <c r="Q309" s="98" t="s">
        <v>1500</v>
      </c>
      <c r="R309" s="102" t="str">
        <f t="shared" si="0"/>
        <v/>
      </c>
    </row>
    <row r="310" spans="1:18" ht="15.75" customHeight="1">
      <c r="A310" s="44" t="s">
        <v>997</v>
      </c>
      <c r="B310" s="47" t="s">
        <v>998</v>
      </c>
      <c r="C310" s="46" t="s">
        <v>850</v>
      </c>
      <c r="D310" s="47" t="s">
        <v>978</v>
      </c>
      <c r="E310" s="99">
        <v>300</v>
      </c>
      <c r="F310" s="49">
        <v>46191</v>
      </c>
      <c r="G310" s="49">
        <v>46282</v>
      </c>
      <c r="H310" s="47" t="s">
        <v>999</v>
      </c>
      <c r="I310" s="100">
        <v>280</v>
      </c>
      <c r="J310" s="52">
        <v>8.4</v>
      </c>
      <c r="K310" s="103" t="s">
        <v>1539</v>
      </c>
      <c r="L310" s="61" t="s">
        <v>54</v>
      </c>
      <c r="M310" s="54" t="str">
        <f>VLOOKUP(L310,Packaging!$B$3:$C$21,2,0)</f>
        <v>290 X 200 X 140</v>
      </c>
      <c r="N310" s="47"/>
      <c r="O310" s="100">
        <v>30</v>
      </c>
      <c r="P310" s="47" t="s">
        <v>55</v>
      </c>
      <c r="Q310" s="98" t="s">
        <v>1500</v>
      </c>
      <c r="R310" s="102" t="str">
        <f t="shared" si="0"/>
        <v/>
      </c>
    </row>
    <row r="311" spans="1:18" ht="15.75" customHeight="1">
      <c r="A311" s="44" t="s">
        <v>1000</v>
      </c>
      <c r="B311" s="47" t="s">
        <v>1001</v>
      </c>
      <c r="C311" s="46" t="s">
        <v>1002</v>
      </c>
      <c r="D311" s="47" t="s">
        <v>1003</v>
      </c>
      <c r="E311" s="99">
        <v>28</v>
      </c>
      <c r="F311" s="49">
        <v>46191</v>
      </c>
      <c r="G311" s="49">
        <v>46282</v>
      </c>
      <c r="H311" s="47" t="s">
        <v>1004</v>
      </c>
      <c r="I311" s="100">
        <v>580</v>
      </c>
      <c r="J311" s="52">
        <v>697</v>
      </c>
      <c r="K311" s="103" t="s">
        <v>1540</v>
      </c>
      <c r="L311" s="61" t="s">
        <v>101</v>
      </c>
      <c r="M311" s="54" t="str">
        <f>VLOOKUP(L311,Packaging!$B$3:$C$21,2,0)</f>
        <v>1380 X 150 X 80</v>
      </c>
      <c r="N311" s="47"/>
      <c r="O311" s="100"/>
      <c r="P311" s="47" t="s">
        <v>55</v>
      </c>
      <c r="Q311" s="98" t="s">
        <v>1500</v>
      </c>
      <c r="R311" s="102" t="str">
        <f t="shared" si="0"/>
        <v/>
      </c>
    </row>
    <row r="312" spans="1:18" ht="15.75" customHeight="1">
      <c r="A312" s="44" t="s">
        <v>1005</v>
      </c>
      <c r="B312" s="70" t="s">
        <v>1006</v>
      </c>
      <c r="C312" s="71" t="s">
        <v>1007</v>
      </c>
      <c r="D312" s="70" t="s">
        <v>1003</v>
      </c>
      <c r="E312" s="107">
        <v>4</v>
      </c>
      <c r="F312" s="49">
        <v>46191</v>
      </c>
      <c r="G312" s="49">
        <v>46282</v>
      </c>
      <c r="H312" s="78" t="s">
        <v>53</v>
      </c>
      <c r="I312" s="100"/>
      <c r="J312" s="52">
        <v>1023</v>
      </c>
      <c r="K312" s="103" t="s">
        <v>1541</v>
      </c>
      <c r="L312" s="47"/>
      <c r="M312" s="54" t="e">
        <f>VLOOKUP(L312,Packaging!$B$3:$C$21,2,0)</f>
        <v>#N/A</v>
      </c>
      <c r="N312" s="47"/>
      <c r="O312" s="100"/>
      <c r="P312" s="47" t="s">
        <v>55</v>
      </c>
      <c r="Q312" s="98" t="s">
        <v>1500</v>
      </c>
      <c r="R312" s="102" t="str">
        <f t="shared" si="0"/>
        <v/>
      </c>
    </row>
    <row r="313" spans="1:18" ht="15.75" customHeight="1">
      <c r="A313" s="44" t="s">
        <v>1008</v>
      </c>
      <c r="B313" s="70" t="s">
        <v>1009</v>
      </c>
      <c r="C313" s="71" t="s">
        <v>1010</v>
      </c>
      <c r="D313" s="70" t="s">
        <v>1003</v>
      </c>
      <c r="E313" s="107">
        <v>4</v>
      </c>
      <c r="F313" s="49">
        <v>46191</v>
      </c>
      <c r="G313" s="49">
        <v>46282</v>
      </c>
      <c r="H313" s="78" t="s">
        <v>53</v>
      </c>
      <c r="I313" s="100"/>
      <c r="J313" s="52">
        <v>1000</v>
      </c>
      <c r="K313" s="103">
        <v>4</v>
      </c>
      <c r="L313" s="47"/>
      <c r="M313" s="54" t="e">
        <f>VLOOKUP(L313,Packaging!$B$3:$C$21,2,0)</f>
        <v>#N/A</v>
      </c>
      <c r="N313" s="47"/>
      <c r="O313" s="100"/>
      <c r="P313" s="47" t="s">
        <v>55</v>
      </c>
      <c r="Q313" s="98" t="s">
        <v>1500</v>
      </c>
      <c r="R313" s="102" t="str">
        <f t="shared" si="0"/>
        <v/>
      </c>
    </row>
    <row r="314" spans="1:18" ht="15.75" customHeight="1">
      <c r="A314" s="44" t="s">
        <v>1011</v>
      </c>
      <c r="B314" s="62" t="s">
        <v>1012</v>
      </c>
      <c r="C314" s="57" t="s">
        <v>1013</v>
      </c>
      <c r="D314" s="70" t="s">
        <v>1014</v>
      </c>
      <c r="E314" s="99">
        <v>150</v>
      </c>
      <c r="F314" s="49">
        <v>46191</v>
      </c>
      <c r="G314" s="49">
        <v>46282</v>
      </c>
      <c r="H314" s="78" t="s">
        <v>53</v>
      </c>
      <c r="I314" s="100">
        <v>280</v>
      </c>
      <c r="J314" s="109"/>
      <c r="K314" s="103" t="s">
        <v>1542</v>
      </c>
      <c r="L314" s="61" t="s">
        <v>54</v>
      </c>
      <c r="M314" s="54" t="str">
        <f>VLOOKUP(L314,Packaging!$B$3:$C$21,2,0)</f>
        <v>290 X 200 X 140</v>
      </c>
      <c r="N314" s="47"/>
      <c r="O314" s="100"/>
      <c r="P314" s="47" t="s">
        <v>55</v>
      </c>
      <c r="Q314" s="98" t="s">
        <v>1500</v>
      </c>
      <c r="R314" s="102" t="str">
        <f t="shared" si="0"/>
        <v/>
      </c>
    </row>
    <row r="315" spans="1:18" ht="15.75" customHeight="1">
      <c r="A315" s="44" t="s">
        <v>1015</v>
      </c>
      <c r="B315" s="47" t="s">
        <v>1016</v>
      </c>
      <c r="C315" s="46" t="s">
        <v>1017</v>
      </c>
      <c r="D315" s="47" t="s">
        <v>1018</v>
      </c>
      <c r="E315" s="99">
        <v>250</v>
      </c>
      <c r="F315" s="49">
        <v>46191</v>
      </c>
      <c r="G315" s="49">
        <v>46282</v>
      </c>
      <c r="H315" s="78" t="s">
        <v>53</v>
      </c>
      <c r="I315" s="100">
        <v>280</v>
      </c>
      <c r="J315" s="52">
        <v>36</v>
      </c>
      <c r="K315" s="103" t="s">
        <v>1543</v>
      </c>
      <c r="L315" s="61" t="s">
        <v>54</v>
      </c>
      <c r="M315" s="54" t="str">
        <f>VLOOKUP(L315,Packaging!$B$3:$C$21,2,0)</f>
        <v>290 X 200 X 140</v>
      </c>
      <c r="N315" s="47"/>
      <c r="O315" s="100">
        <v>50</v>
      </c>
      <c r="P315" s="47" t="s">
        <v>55</v>
      </c>
      <c r="Q315" s="98" t="s">
        <v>1500</v>
      </c>
      <c r="R315" s="102" t="str">
        <f t="shared" si="0"/>
        <v/>
      </c>
    </row>
    <row r="316" spans="1:18" ht="15.75" customHeight="1">
      <c r="A316" s="44" t="s">
        <v>1019</v>
      </c>
      <c r="B316" s="47" t="s">
        <v>1020</v>
      </c>
      <c r="C316" s="46" t="s">
        <v>1021</v>
      </c>
      <c r="D316" s="47" t="s">
        <v>1018</v>
      </c>
      <c r="E316" s="99">
        <v>20</v>
      </c>
      <c r="F316" s="49">
        <v>46191</v>
      </c>
      <c r="G316" s="49">
        <v>46282</v>
      </c>
      <c r="H316" s="78" t="s">
        <v>53</v>
      </c>
      <c r="I316" s="100">
        <v>278</v>
      </c>
      <c r="J316" s="52">
        <v>60.6</v>
      </c>
      <c r="K316" s="103" t="s">
        <v>1544</v>
      </c>
      <c r="L316" s="61" t="s">
        <v>161</v>
      </c>
      <c r="M316" s="54" t="str">
        <f>VLOOKUP(L316,Packaging!$B$3:$C$21,2,0)</f>
        <v>360 X 270 X 128</v>
      </c>
      <c r="N316" s="47"/>
      <c r="O316" s="100"/>
      <c r="P316" s="47" t="s">
        <v>55</v>
      </c>
      <c r="Q316" s="98" t="s">
        <v>1500</v>
      </c>
      <c r="R316" s="102" t="str">
        <f t="shared" si="0"/>
        <v/>
      </c>
    </row>
    <row r="317" spans="1:18" ht="15.75" customHeight="1">
      <c r="A317" s="44" t="s">
        <v>1022</v>
      </c>
      <c r="B317" s="47" t="s">
        <v>1023</v>
      </c>
      <c r="C317" s="46" t="s">
        <v>1024</v>
      </c>
      <c r="D317" s="47" t="s">
        <v>1018</v>
      </c>
      <c r="E317" s="99">
        <v>60</v>
      </c>
      <c r="F317" s="49">
        <v>46191</v>
      </c>
      <c r="G317" s="49">
        <v>46282</v>
      </c>
      <c r="H317" s="78" t="s">
        <v>53</v>
      </c>
      <c r="I317" s="100">
        <v>766</v>
      </c>
      <c r="J317" s="52">
        <v>171.2</v>
      </c>
      <c r="K317" s="103" t="s">
        <v>1545</v>
      </c>
      <c r="L317" s="61" t="s">
        <v>72</v>
      </c>
      <c r="M317" s="54" t="str">
        <f>VLOOKUP(L317,Packaging!$B$3:$C$21,2,0)</f>
        <v>390 X 350 X 280</v>
      </c>
      <c r="N317" s="47"/>
      <c r="O317" s="100"/>
      <c r="P317" s="47" t="s">
        <v>55</v>
      </c>
      <c r="Q317" s="98" t="s">
        <v>1500</v>
      </c>
      <c r="R317" s="102" t="str">
        <f t="shared" si="0"/>
        <v/>
      </c>
    </row>
    <row r="318" spans="1:18" ht="15.75" customHeight="1">
      <c r="A318" s="44" t="s">
        <v>1025</v>
      </c>
      <c r="B318" s="47" t="s">
        <v>1026</v>
      </c>
      <c r="C318" s="46" t="s">
        <v>1027</v>
      </c>
      <c r="D318" s="47" t="s">
        <v>1018</v>
      </c>
      <c r="E318" s="99">
        <v>120</v>
      </c>
      <c r="F318" s="49">
        <v>46191</v>
      </c>
      <c r="G318" s="49">
        <v>46282</v>
      </c>
      <c r="H318" s="78" t="s">
        <v>53</v>
      </c>
      <c r="I318" s="100"/>
      <c r="J318" s="52">
        <v>67</v>
      </c>
      <c r="K318" s="103" t="s">
        <v>1546</v>
      </c>
      <c r="L318" s="47"/>
      <c r="M318" s="54" t="e">
        <f>VLOOKUP(L318,Packaging!$B$3:$C$21,2,0)</f>
        <v>#N/A</v>
      </c>
      <c r="N318" s="47"/>
      <c r="O318" s="100">
        <v>10</v>
      </c>
      <c r="P318" s="47" t="s">
        <v>55</v>
      </c>
      <c r="Q318" s="98" t="s">
        <v>1500</v>
      </c>
      <c r="R318" s="102" t="str">
        <f t="shared" si="0"/>
        <v/>
      </c>
    </row>
    <row r="319" spans="1:18" ht="15.75" customHeight="1">
      <c r="A319" s="44" t="s">
        <v>1028</v>
      </c>
      <c r="B319" s="47" t="s">
        <v>1029</v>
      </c>
      <c r="C319" s="46" t="s">
        <v>1030</v>
      </c>
      <c r="D319" s="47" t="s">
        <v>1018</v>
      </c>
      <c r="E319" s="99">
        <v>84</v>
      </c>
      <c r="F319" s="49">
        <v>46191</v>
      </c>
      <c r="G319" s="49">
        <v>46282</v>
      </c>
      <c r="H319" s="78" t="s">
        <v>53</v>
      </c>
      <c r="I319" s="100">
        <v>766</v>
      </c>
      <c r="J319" s="52">
        <v>143.19999999999999</v>
      </c>
      <c r="K319" s="103" t="s">
        <v>1547</v>
      </c>
      <c r="L319" s="61" t="s">
        <v>72</v>
      </c>
      <c r="M319" s="54" t="str">
        <f>VLOOKUP(L319,Packaging!$B$3:$C$21,2,0)</f>
        <v>390 X 350 X 280</v>
      </c>
      <c r="N319" s="47"/>
      <c r="O319" s="100">
        <v>2</v>
      </c>
      <c r="P319" s="47" t="s">
        <v>55</v>
      </c>
      <c r="Q319" s="98" t="s">
        <v>1500</v>
      </c>
      <c r="R319" s="102" t="str">
        <f t="shared" si="0"/>
        <v/>
      </c>
    </row>
    <row r="320" spans="1:18" ht="15.75" customHeight="1">
      <c r="A320" s="44" t="s">
        <v>1031</v>
      </c>
      <c r="B320" s="47" t="s">
        <v>1032</v>
      </c>
      <c r="C320" s="46" t="s">
        <v>1033</v>
      </c>
      <c r="D320" s="47" t="s">
        <v>1018</v>
      </c>
      <c r="E320" s="99">
        <v>32</v>
      </c>
      <c r="F320" s="49">
        <v>46191</v>
      </c>
      <c r="G320" s="49">
        <v>46282</v>
      </c>
      <c r="H320" s="78" t="s">
        <v>53</v>
      </c>
      <c r="I320" s="100">
        <v>278</v>
      </c>
      <c r="J320" s="52">
        <v>164.2</v>
      </c>
      <c r="K320" s="103" t="s">
        <v>1548</v>
      </c>
      <c r="L320" s="61" t="s">
        <v>161</v>
      </c>
      <c r="M320" s="54" t="str">
        <f>VLOOKUP(L320,Packaging!$B$3:$C$21,2,0)</f>
        <v>360 X 270 X 128</v>
      </c>
      <c r="N320" s="47"/>
      <c r="O320" s="100"/>
      <c r="P320" s="47" t="s">
        <v>55</v>
      </c>
      <c r="Q320" s="98" t="s">
        <v>1500</v>
      </c>
      <c r="R320" s="102" t="str">
        <f t="shared" si="0"/>
        <v/>
      </c>
    </row>
    <row r="321" spans="1:18" ht="15.75" customHeight="1">
      <c r="A321" s="44" t="s">
        <v>1034</v>
      </c>
      <c r="B321" s="47" t="s">
        <v>1035</v>
      </c>
      <c r="C321" s="46" t="s">
        <v>1036</v>
      </c>
      <c r="D321" s="47" t="s">
        <v>1018</v>
      </c>
      <c r="E321" s="99">
        <v>2000</v>
      </c>
      <c r="F321" s="49">
        <v>46191</v>
      </c>
      <c r="G321" s="49">
        <v>46282</v>
      </c>
      <c r="H321" s="78" t="s">
        <v>53</v>
      </c>
      <c r="I321" s="100"/>
      <c r="J321" s="52">
        <v>1.6</v>
      </c>
      <c r="K321" s="103" t="s">
        <v>1549</v>
      </c>
      <c r="L321" s="61" t="s">
        <v>54</v>
      </c>
      <c r="M321" s="54" t="str">
        <f>VLOOKUP(L321,Packaging!$B$3:$C$21,2,0)</f>
        <v>290 X 200 X 140</v>
      </c>
      <c r="N321" s="47"/>
      <c r="O321" s="100">
        <v>500</v>
      </c>
      <c r="P321" s="47" t="s">
        <v>55</v>
      </c>
      <c r="Q321" s="98" t="s">
        <v>1500</v>
      </c>
      <c r="R321" s="102" t="str">
        <f t="shared" si="0"/>
        <v/>
      </c>
    </row>
    <row r="322" spans="1:18" ht="15.75" customHeight="1">
      <c r="A322" s="44" t="s">
        <v>1037</v>
      </c>
      <c r="B322" s="47" t="s">
        <v>1038</v>
      </c>
      <c r="C322" s="46" t="s">
        <v>1039</v>
      </c>
      <c r="D322" s="47" t="s">
        <v>1040</v>
      </c>
      <c r="E322" s="99">
        <v>400</v>
      </c>
      <c r="F322" s="49">
        <v>46191</v>
      </c>
      <c r="G322" s="49">
        <v>46282</v>
      </c>
      <c r="H322" s="78" t="s">
        <v>53</v>
      </c>
      <c r="I322" s="100"/>
      <c r="J322" s="52">
        <v>33.6</v>
      </c>
      <c r="K322" s="103" t="s">
        <v>1550</v>
      </c>
      <c r="L322" s="47"/>
      <c r="M322" s="54" t="e">
        <f>VLOOKUP(L322,Packaging!$B$3:$C$21,2,0)</f>
        <v>#N/A</v>
      </c>
      <c r="N322" s="47"/>
      <c r="O322" s="100">
        <v>100</v>
      </c>
      <c r="P322" s="47" t="s">
        <v>55</v>
      </c>
      <c r="Q322" s="98" t="s">
        <v>1500</v>
      </c>
      <c r="R322" s="102" t="str">
        <f t="shared" si="0"/>
        <v/>
      </c>
    </row>
    <row r="323" spans="1:18" ht="15.75" customHeight="1">
      <c r="A323" s="44" t="s">
        <v>1041</v>
      </c>
      <c r="B323" s="47" t="s">
        <v>1042</v>
      </c>
      <c r="C323" s="46" t="s">
        <v>1043</v>
      </c>
      <c r="D323" s="47" t="s">
        <v>1040</v>
      </c>
      <c r="E323" s="99">
        <v>252</v>
      </c>
      <c r="F323" s="49">
        <v>46191</v>
      </c>
      <c r="G323" s="49">
        <v>46282</v>
      </c>
      <c r="H323" s="78" t="s">
        <v>53</v>
      </c>
      <c r="I323" s="100">
        <v>378</v>
      </c>
      <c r="J323" s="52">
        <v>64.599999999999994</v>
      </c>
      <c r="K323" s="103" t="s">
        <v>1551</v>
      </c>
      <c r="L323" s="61" t="s">
        <v>91</v>
      </c>
      <c r="M323" s="54" t="str">
        <f>VLOOKUP(L323,Packaging!$B$3:$C$21,2,0)</f>
        <v>400 X 240 X 130</v>
      </c>
      <c r="N323" s="47"/>
      <c r="O323" s="100"/>
      <c r="P323" s="47" t="s">
        <v>55</v>
      </c>
      <c r="Q323" s="98" t="s">
        <v>1500</v>
      </c>
      <c r="R323" s="102" t="str">
        <f t="shared" si="0"/>
        <v/>
      </c>
    </row>
    <row r="324" spans="1:18" ht="15.75" customHeight="1">
      <c r="A324" s="44" t="s">
        <v>1044</v>
      </c>
      <c r="B324" s="47" t="s">
        <v>1045</v>
      </c>
      <c r="C324" s="46" t="s">
        <v>1046</v>
      </c>
      <c r="D324" s="47" t="s">
        <v>1040</v>
      </c>
      <c r="E324" s="99">
        <v>200</v>
      </c>
      <c r="F324" s="49">
        <v>46191</v>
      </c>
      <c r="G324" s="49">
        <v>46282</v>
      </c>
      <c r="H324" s="78" t="s">
        <v>53</v>
      </c>
      <c r="I324" s="100">
        <v>280</v>
      </c>
      <c r="J324" s="52">
        <v>59.8</v>
      </c>
      <c r="K324" s="103" t="s">
        <v>1552</v>
      </c>
      <c r="L324" s="61" t="s">
        <v>54</v>
      </c>
      <c r="M324" s="54" t="str">
        <f>VLOOKUP(L324,Packaging!$B$3:$C$21,2,0)</f>
        <v>290 X 200 X 140</v>
      </c>
      <c r="N324" s="47"/>
      <c r="O324" s="100"/>
      <c r="P324" s="47" t="s">
        <v>55</v>
      </c>
      <c r="Q324" s="98" t="s">
        <v>1500</v>
      </c>
      <c r="R324" s="102" t="str">
        <f t="shared" si="0"/>
        <v/>
      </c>
    </row>
    <row r="325" spans="1:18" ht="15.75" customHeight="1">
      <c r="A325" s="44" t="s">
        <v>1047</v>
      </c>
      <c r="B325" s="47" t="s">
        <v>1048</v>
      </c>
      <c r="C325" s="46" t="s">
        <v>1049</v>
      </c>
      <c r="D325" s="47" t="s">
        <v>1040</v>
      </c>
      <c r="E325" s="99">
        <v>1000</v>
      </c>
      <c r="F325" s="49">
        <v>46191</v>
      </c>
      <c r="G325" s="49">
        <v>46282</v>
      </c>
      <c r="H325" s="78" t="s">
        <v>53</v>
      </c>
      <c r="I325" s="100">
        <v>280</v>
      </c>
      <c r="J325" s="52">
        <v>3.6</v>
      </c>
      <c r="K325" s="103" t="s">
        <v>1553</v>
      </c>
      <c r="L325" s="61" t="s">
        <v>54</v>
      </c>
      <c r="M325" s="54" t="str">
        <f>VLOOKUP(L325,Packaging!$B$3:$C$21,2,0)</f>
        <v>290 X 200 X 140</v>
      </c>
      <c r="N325" s="47"/>
      <c r="O325" s="100"/>
      <c r="P325" s="47" t="s">
        <v>55</v>
      </c>
      <c r="Q325" s="98" t="s">
        <v>1500</v>
      </c>
      <c r="R325" s="102" t="str">
        <f t="shared" si="0"/>
        <v/>
      </c>
    </row>
    <row r="326" spans="1:18" ht="15.75" customHeight="1">
      <c r="A326" s="44" t="s">
        <v>1050</v>
      </c>
      <c r="B326" s="47" t="s">
        <v>1051</v>
      </c>
      <c r="C326" s="46" t="s">
        <v>1052</v>
      </c>
      <c r="D326" s="47" t="s">
        <v>1040</v>
      </c>
      <c r="E326" s="99">
        <v>84</v>
      </c>
      <c r="F326" s="49">
        <v>46191</v>
      </c>
      <c r="G326" s="49">
        <v>46282</v>
      </c>
      <c r="H326" s="78" t="s">
        <v>53</v>
      </c>
      <c r="I326" s="100"/>
      <c r="J326" s="52">
        <v>79.8</v>
      </c>
      <c r="K326" s="103" t="s">
        <v>1554</v>
      </c>
      <c r="L326" s="47"/>
      <c r="M326" s="54" t="e">
        <f>VLOOKUP(L326,Packaging!$B$3:$C$21,2,0)</f>
        <v>#N/A</v>
      </c>
      <c r="N326" s="47"/>
      <c r="O326" s="100"/>
      <c r="P326" s="47" t="s">
        <v>55</v>
      </c>
      <c r="Q326" s="98" t="s">
        <v>1500</v>
      </c>
      <c r="R326" s="102" t="str">
        <f t="shared" si="0"/>
        <v/>
      </c>
    </row>
    <row r="327" spans="1:18" ht="15.75" customHeight="1">
      <c r="A327" s="59" t="s">
        <v>1053</v>
      </c>
      <c r="B327" s="47" t="s">
        <v>1054</v>
      </c>
      <c r="C327" s="46" t="s">
        <v>1055</v>
      </c>
      <c r="D327" s="47" t="s">
        <v>1056</v>
      </c>
      <c r="E327" s="99">
        <v>40</v>
      </c>
      <c r="F327" s="49">
        <v>46191</v>
      </c>
      <c r="G327" s="49">
        <v>46282</v>
      </c>
      <c r="H327" s="78" t="s">
        <v>53</v>
      </c>
      <c r="I327" s="100">
        <v>0.68</v>
      </c>
      <c r="J327" s="52">
        <v>19.8</v>
      </c>
      <c r="K327" s="103" t="s">
        <v>1555</v>
      </c>
      <c r="L327" s="47"/>
      <c r="M327" s="54" t="e">
        <f>VLOOKUP(L327,Packaging!$B$3:$C$21,2,0)</f>
        <v>#N/A</v>
      </c>
      <c r="N327" s="47"/>
      <c r="O327" s="100">
        <v>40</v>
      </c>
      <c r="P327" s="47" t="s">
        <v>55</v>
      </c>
      <c r="Q327" s="98" t="s">
        <v>1500</v>
      </c>
      <c r="R327" s="102" t="str">
        <f t="shared" si="0"/>
        <v/>
      </c>
    </row>
    <row r="328" spans="1:18" ht="15.75" customHeight="1">
      <c r="A328" s="59" t="s">
        <v>1057</v>
      </c>
      <c r="B328" s="47" t="s">
        <v>1058</v>
      </c>
      <c r="C328" s="46" t="s">
        <v>1059</v>
      </c>
      <c r="D328" s="47" t="s">
        <v>1018</v>
      </c>
      <c r="E328" s="99">
        <v>250</v>
      </c>
      <c r="F328" s="49">
        <v>46191</v>
      </c>
      <c r="G328" s="49">
        <v>46282</v>
      </c>
      <c r="H328" s="78" t="s">
        <v>53</v>
      </c>
      <c r="I328" s="100">
        <v>280</v>
      </c>
      <c r="J328" s="52">
        <v>37</v>
      </c>
      <c r="K328" s="103" t="s">
        <v>1556</v>
      </c>
      <c r="L328" s="61" t="s">
        <v>54</v>
      </c>
      <c r="M328" s="54" t="str">
        <f>VLOOKUP(L328,Packaging!$B$3:$C$21,2,0)</f>
        <v>290 X 200 X 140</v>
      </c>
      <c r="N328" s="47"/>
      <c r="O328" s="100">
        <v>50</v>
      </c>
      <c r="P328" s="47" t="s">
        <v>55</v>
      </c>
      <c r="Q328" s="98" t="s">
        <v>1500</v>
      </c>
      <c r="R328" s="102" t="str">
        <f t="shared" si="0"/>
        <v/>
      </c>
    </row>
    <row r="329" spans="1:18" ht="15.75" customHeight="1">
      <c r="A329" s="59" t="s">
        <v>1060</v>
      </c>
      <c r="B329" s="47">
        <v>3000011884</v>
      </c>
      <c r="C329" s="46" t="s">
        <v>1061</v>
      </c>
      <c r="D329" s="47" t="s">
        <v>878</v>
      </c>
      <c r="E329" s="99">
        <v>675</v>
      </c>
      <c r="F329" s="49">
        <v>46191</v>
      </c>
      <c r="G329" s="49">
        <v>46282</v>
      </c>
      <c r="H329" s="47" t="s">
        <v>1062</v>
      </c>
      <c r="I329" s="100">
        <v>244</v>
      </c>
      <c r="J329" s="52">
        <v>28.8</v>
      </c>
      <c r="K329" s="103" t="s">
        <v>1557</v>
      </c>
      <c r="L329" s="61" t="s">
        <v>274</v>
      </c>
      <c r="M329" s="54" t="str">
        <f>VLOOKUP(L329,Packaging!$B$3:$C$21,2,0)</f>
        <v>290 X 200 X 100</v>
      </c>
      <c r="N329" s="47"/>
      <c r="O329" s="100">
        <v>15</v>
      </c>
      <c r="P329" s="47" t="s">
        <v>55</v>
      </c>
      <c r="Q329" s="98" t="s">
        <v>1500</v>
      </c>
      <c r="R329" s="102" t="str">
        <f t="shared" si="0"/>
        <v/>
      </c>
    </row>
    <row r="330" spans="1:18" ht="15.75" customHeight="1">
      <c r="A330" s="59" t="s">
        <v>1063</v>
      </c>
      <c r="B330" s="47">
        <v>3000011883</v>
      </c>
      <c r="C330" s="46" t="s">
        <v>619</v>
      </c>
      <c r="D330" s="47" t="s">
        <v>878</v>
      </c>
      <c r="E330" s="99">
        <v>240</v>
      </c>
      <c r="F330" s="49">
        <v>46191</v>
      </c>
      <c r="G330" s="49">
        <v>46282</v>
      </c>
      <c r="H330" s="47" t="s">
        <v>1064</v>
      </c>
      <c r="I330" s="100">
        <v>280</v>
      </c>
      <c r="J330" s="52">
        <v>59.6</v>
      </c>
      <c r="K330" s="103" t="s">
        <v>1558</v>
      </c>
      <c r="L330" s="61" t="s">
        <v>54</v>
      </c>
      <c r="M330" s="54" t="str">
        <f>VLOOKUP(L330,Packaging!$B$3:$C$21,2,0)</f>
        <v>290 X 200 X 140</v>
      </c>
      <c r="N330" s="47"/>
      <c r="O330" s="100">
        <v>10</v>
      </c>
      <c r="P330" s="47" t="s">
        <v>55</v>
      </c>
      <c r="Q330" s="98" t="s">
        <v>1500</v>
      </c>
      <c r="R330" s="102" t="str">
        <f t="shared" si="0"/>
        <v/>
      </c>
    </row>
    <row r="331" spans="1:18" ht="15.75" customHeight="1">
      <c r="A331" s="59" t="s">
        <v>1065</v>
      </c>
      <c r="B331" s="47" t="s">
        <v>1066</v>
      </c>
      <c r="C331" s="46" t="s">
        <v>1067</v>
      </c>
      <c r="D331" s="47" t="s">
        <v>569</v>
      </c>
      <c r="E331" s="99"/>
      <c r="F331" s="49">
        <v>46191</v>
      </c>
      <c r="G331" s="49">
        <v>46282</v>
      </c>
      <c r="H331" s="47" t="s">
        <v>1068</v>
      </c>
      <c r="I331" s="100">
        <v>580</v>
      </c>
      <c r="J331" s="52">
        <v>462</v>
      </c>
      <c r="K331" s="103" t="s">
        <v>1559</v>
      </c>
      <c r="L331" s="61" t="s">
        <v>101</v>
      </c>
      <c r="M331" s="54" t="str">
        <f>VLOOKUP(L331,Packaging!$B$3:$C$21,2,0)</f>
        <v>1380 X 150 X 80</v>
      </c>
      <c r="N331" s="47"/>
      <c r="O331" s="100"/>
      <c r="P331" s="47" t="s">
        <v>55</v>
      </c>
      <c r="Q331" s="98" t="s">
        <v>1400</v>
      </c>
      <c r="R331" s="102" t="str">
        <f t="shared" si="0"/>
        <v>A9,A10,A15,A20,C4,C6,C12,D1,D2,D3,D4,D5,D6,D7,D8,D9,D10,D11,D12,D13,D14,D15,D17,D18,D19,D20,E1,E2,E3,E4,E5,E6,E7,E8,E9,E10,E11,E12,E14,E15,E16</v>
      </c>
    </row>
    <row r="332" spans="1:18" ht="15.75" customHeight="1">
      <c r="A332" s="59" t="s">
        <v>1069</v>
      </c>
      <c r="B332" s="47" t="s">
        <v>1070</v>
      </c>
      <c r="C332" s="46" t="s">
        <v>1071</v>
      </c>
      <c r="D332" s="47" t="s">
        <v>569</v>
      </c>
      <c r="E332" s="99"/>
      <c r="F332" s="49">
        <v>46191</v>
      </c>
      <c r="G332" s="49">
        <v>46282</v>
      </c>
      <c r="H332" s="47" t="s">
        <v>1072</v>
      </c>
      <c r="I332" s="100">
        <v>580</v>
      </c>
      <c r="J332" s="52">
        <v>802</v>
      </c>
      <c r="K332" s="103" t="s">
        <v>1560</v>
      </c>
      <c r="L332" s="61" t="s">
        <v>101</v>
      </c>
      <c r="M332" s="54" t="str">
        <f>VLOOKUP(L332,Packaging!$B$3:$C$21,2,0)</f>
        <v>1380 X 150 X 80</v>
      </c>
      <c r="N332" s="47"/>
      <c r="O332" s="100"/>
      <c r="P332" s="47" t="s">
        <v>55</v>
      </c>
      <c r="Q332" s="98" t="s">
        <v>1400</v>
      </c>
      <c r="R332" s="102" t="str">
        <f t="shared" si="0"/>
        <v>A9,A10,A15,A20,C4,C6,C12,D1,D2,D3,D4,D5,D6,D7,D8,D9,D10,D11,D12,D13,D14,D15,D17,D18,D19,D20,E1,E2,E3,E4,E5,E6,E7,E8,E9,E10,E11,E12,E14,E15,E16</v>
      </c>
    </row>
    <row r="333" spans="1:18" ht="15.75" customHeight="1">
      <c r="A333" s="59" t="s">
        <v>1073</v>
      </c>
      <c r="B333" s="47" t="s">
        <v>1074</v>
      </c>
      <c r="C333" s="46" t="s">
        <v>1075</v>
      </c>
      <c r="D333" s="47" t="s">
        <v>1076</v>
      </c>
      <c r="E333" s="99">
        <v>8</v>
      </c>
      <c r="F333" s="49">
        <v>46191</v>
      </c>
      <c r="G333" s="49">
        <v>46282</v>
      </c>
      <c r="H333" s="47" t="s">
        <v>53</v>
      </c>
      <c r="I333" s="100">
        <v>2112</v>
      </c>
      <c r="J333" s="109"/>
      <c r="K333" s="103" t="s">
        <v>1561</v>
      </c>
      <c r="L333" s="61" t="s">
        <v>1077</v>
      </c>
      <c r="M333" s="54" t="str">
        <f>VLOOKUP(L333,Packaging!$B$3:$C$21,2,0)</f>
        <v>1460 X 200 X 160</v>
      </c>
      <c r="N333" s="47"/>
      <c r="O333" s="100"/>
      <c r="P333" s="47" t="s">
        <v>55</v>
      </c>
      <c r="Q333" s="98" t="s">
        <v>1500</v>
      </c>
      <c r="R333" s="102" t="str">
        <f t="shared" si="0"/>
        <v/>
      </c>
    </row>
    <row r="334" spans="1:18" ht="15.75" customHeight="1">
      <c r="A334" s="59" t="s">
        <v>1078</v>
      </c>
      <c r="B334" s="47" t="s">
        <v>1079</v>
      </c>
      <c r="C334" s="46" t="s">
        <v>1080</v>
      </c>
      <c r="D334" s="47" t="s">
        <v>1081</v>
      </c>
      <c r="E334" s="99" t="s">
        <v>53</v>
      </c>
      <c r="F334" s="49">
        <v>46191</v>
      </c>
      <c r="G334" s="49">
        <v>46282</v>
      </c>
      <c r="H334" s="47" t="s">
        <v>1082</v>
      </c>
      <c r="I334" s="100"/>
      <c r="J334" s="109"/>
      <c r="K334" s="106" t="s">
        <v>1562</v>
      </c>
      <c r="L334" s="79"/>
      <c r="M334" s="54" t="e">
        <f>VLOOKUP(L334,Packaging!$B$3:$C$21,2,0)</f>
        <v>#N/A</v>
      </c>
      <c r="N334" s="47"/>
      <c r="O334" s="100"/>
      <c r="P334" s="47" t="s">
        <v>55</v>
      </c>
      <c r="Q334" s="98" t="s">
        <v>1500</v>
      </c>
      <c r="R334" s="102" t="str">
        <f t="shared" si="0"/>
        <v/>
      </c>
    </row>
    <row r="335" spans="1:18" ht="15.75" customHeight="1">
      <c r="A335" s="59" t="s">
        <v>1083</v>
      </c>
      <c r="B335" s="47" t="s">
        <v>1084</v>
      </c>
      <c r="C335" s="46" t="s">
        <v>1085</v>
      </c>
      <c r="D335" s="47" t="s">
        <v>1081</v>
      </c>
      <c r="E335" s="99" t="s">
        <v>53</v>
      </c>
      <c r="F335" s="49">
        <v>46191</v>
      </c>
      <c r="G335" s="49">
        <v>46282</v>
      </c>
      <c r="H335" s="47" t="s">
        <v>1082</v>
      </c>
      <c r="I335" s="100"/>
      <c r="J335" s="109"/>
      <c r="K335" s="106" t="s">
        <v>1563</v>
      </c>
      <c r="L335" s="79"/>
      <c r="M335" s="54" t="e">
        <f>VLOOKUP(L335,Packaging!$B$3:$C$21,2,0)</f>
        <v>#N/A</v>
      </c>
      <c r="N335" s="47"/>
      <c r="O335" s="100"/>
      <c r="P335" s="47" t="s">
        <v>55</v>
      </c>
      <c r="Q335" s="98" t="s">
        <v>1500</v>
      </c>
      <c r="R335" s="102" t="str">
        <f t="shared" si="0"/>
        <v/>
      </c>
    </row>
    <row r="336" spans="1:18" ht="15.75" customHeight="1">
      <c r="A336" s="59" t="s">
        <v>1086</v>
      </c>
      <c r="B336" s="47" t="s">
        <v>1087</v>
      </c>
      <c r="C336" s="46" t="s">
        <v>1088</v>
      </c>
      <c r="D336" s="47" t="s">
        <v>1081</v>
      </c>
      <c r="E336" s="99">
        <v>1450</v>
      </c>
      <c r="F336" s="49">
        <v>46191</v>
      </c>
      <c r="G336" s="49">
        <v>46282</v>
      </c>
      <c r="H336" s="47" t="s">
        <v>1089</v>
      </c>
      <c r="I336" s="100"/>
      <c r="J336" s="109"/>
      <c r="K336" s="103">
        <v>0</v>
      </c>
      <c r="L336" s="79"/>
      <c r="M336" s="54" t="e">
        <f>VLOOKUP(L336,Packaging!$B$3:$C$21,2,0)</f>
        <v>#N/A</v>
      </c>
      <c r="N336" s="47"/>
      <c r="O336" s="100"/>
      <c r="P336" s="47" t="s">
        <v>55</v>
      </c>
      <c r="Q336" s="98" t="s">
        <v>1500</v>
      </c>
      <c r="R336" s="102" t="str">
        <f t="shared" si="0"/>
        <v/>
      </c>
    </row>
    <row r="337" spans="1:18" ht="15.75" customHeight="1">
      <c r="A337" s="59" t="s">
        <v>1090</v>
      </c>
      <c r="B337" s="47" t="s">
        <v>1091</v>
      </c>
      <c r="C337" s="46" t="s">
        <v>1092</v>
      </c>
      <c r="D337" s="47" t="s">
        <v>1093</v>
      </c>
      <c r="E337" s="99">
        <v>30</v>
      </c>
      <c r="F337" s="49">
        <v>46191</v>
      </c>
      <c r="G337" s="49">
        <v>46282</v>
      </c>
      <c r="H337" s="47" t="s">
        <v>53</v>
      </c>
      <c r="I337" s="100">
        <v>430</v>
      </c>
      <c r="J337" s="52">
        <v>262</v>
      </c>
      <c r="K337" s="103" t="s">
        <v>1564</v>
      </c>
      <c r="L337" s="61" t="s">
        <v>83</v>
      </c>
      <c r="M337" s="54" t="str">
        <f>VLOOKUP(L337,Packaging!$B$3:$C$21,2,0)</f>
        <v>560 X 175 X 155</v>
      </c>
      <c r="N337" s="47" t="s">
        <v>53</v>
      </c>
      <c r="O337" s="100">
        <v>2</v>
      </c>
      <c r="P337" s="47" t="s">
        <v>55</v>
      </c>
      <c r="Q337" s="98" t="s">
        <v>1500</v>
      </c>
      <c r="R337" s="102" t="str">
        <f t="shared" si="0"/>
        <v/>
      </c>
    </row>
    <row r="338" spans="1:18" ht="15.75" customHeight="1">
      <c r="A338" s="59" t="s">
        <v>1094</v>
      </c>
      <c r="B338" s="47">
        <v>3000003318</v>
      </c>
      <c r="C338" s="46" t="s">
        <v>1095</v>
      </c>
      <c r="D338" s="47" t="s">
        <v>1096</v>
      </c>
      <c r="E338" s="99">
        <v>1</v>
      </c>
      <c r="F338" s="49">
        <v>46191</v>
      </c>
      <c r="G338" s="49">
        <v>46282</v>
      </c>
      <c r="H338" s="47" t="s">
        <v>1097</v>
      </c>
      <c r="I338" s="100">
        <v>157</v>
      </c>
      <c r="J338" s="52">
        <v>2863</v>
      </c>
      <c r="K338" s="103" t="s">
        <v>1565</v>
      </c>
      <c r="L338" s="61" t="s">
        <v>1098</v>
      </c>
      <c r="M338" s="54" t="str">
        <f>VLOOKUP(L338,Packaging!$B$3:$C$21,2,0)</f>
        <v>620 X 120 X 150</v>
      </c>
      <c r="N338" s="47"/>
      <c r="O338" s="100">
        <v>1</v>
      </c>
      <c r="P338" s="47" t="s">
        <v>55</v>
      </c>
      <c r="Q338" s="98" t="s">
        <v>1500</v>
      </c>
      <c r="R338" s="102" t="str">
        <f t="shared" si="0"/>
        <v/>
      </c>
    </row>
    <row r="339" spans="1:18" ht="15.75" customHeight="1">
      <c r="A339" s="59" t="s">
        <v>1099</v>
      </c>
      <c r="B339" s="47">
        <v>3000003864</v>
      </c>
      <c r="C339" s="46" t="s">
        <v>1100</v>
      </c>
      <c r="D339" s="47" t="s">
        <v>1096</v>
      </c>
      <c r="E339" s="99"/>
      <c r="F339" s="49">
        <v>46191</v>
      </c>
      <c r="G339" s="49">
        <v>46282</v>
      </c>
      <c r="H339" s="47" t="s">
        <v>1101</v>
      </c>
      <c r="I339" s="100">
        <v>13.4</v>
      </c>
      <c r="J339" s="109"/>
      <c r="K339" s="103" t="s">
        <v>1566</v>
      </c>
      <c r="L339" s="61" t="s">
        <v>54</v>
      </c>
      <c r="M339" s="54" t="str">
        <f>VLOOKUP(L339,Packaging!$B$3:$C$21,2,0)</f>
        <v>290 X 200 X 140</v>
      </c>
      <c r="N339" s="47"/>
      <c r="O339" s="100">
        <v>20</v>
      </c>
      <c r="P339" s="47" t="s">
        <v>55</v>
      </c>
      <c r="Q339" s="98" t="s">
        <v>1500</v>
      </c>
      <c r="R339" s="102" t="str">
        <f t="shared" si="0"/>
        <v/>
      </c>
    </row>
    <row r="340" spans="1:18" ht="15.75" customHeight="1">
      <c r="A340" s="59" t="s">
        <v>1102</v>
      </c>
      <c r="B340" s="47" t="s">
        <v>1103</v>
      </c>
      <c r="C340" s="46" t="s">
        <v>1088</v>
      </c>
      <c r="D340" s="47" t="s">
        <v>1081</v>
      </c>
      <c r="E340" s="99">
        <v>1450</v>
      </c>
      <c r="F340" s="49">
        <v>46191</v>
      </c>
      <c r="G340" s="49">
        <v>46282</v>
      </c>
      <c r="H340" s="47" t="s">
        <v>53</v>
      </c>
      <c r="I340" s="100" t="s">
        <v>53</v>
      </c>
      <c r="J340" s="52">
        <v>16.3</v>
      </c>
      <c r="K340" s="106" t="s">
        <v>1567</v>
      </c>
      <c r="L340" s="79"/>
      <c r="M340" s="54" t="e">
        <f>VLOOKUP(L340,Packaging!$B$3:$C$21,2,0)</f>
        <v>#N/A</v>
      </c>
      <c r="N340" s="47"/>
      <c r="O340" s="100">
        <v>15</v>
      </c>
      <c r="P340" s="47" t="s">
        <v>55</v>
      </c>
      <c r="Q340" s="98" t="s">
        <v>1500</v>
      </c>
      <c r="R340" s="102" t="str">
        <f t="shared" si="0"/>
        <v/>
      </c>
    </row>
    <row r="341" spans="1:18" ht="15.75" customHeight="1">
      <c r="A341" s="59" t="s">
        <v>1104</v>
      </c>
      <c r="B341" s="47" t="s">
        <v>1105</v>
      </c>
      <c r="C341" s="80" t="s">
        <v>1106</v>
      </c>
      <c r="D341" s="47" t="s">
        <v>886</v>
      </c>
      <c r="E341" s="99">
        <v>480</v>
      </c>
      <c r="F341" s="49">
        <v>46191</v>
      </c>
      <c r="G341" s="49">
        <v>46282</v>
      </c>
      <c r="H341" s="47" t="s">
        <v>53</v>
      </c>
      <c r="I341" s="100">
        <v>244</v>
      </c>
      <c r="J341" s="52">
        <v>20</v>
      </c>
      <c r="K341" s="103" t="s">
        <v>1568</v>
      </c>
      <c r="L341" s="61" t="s">
        <v>274</v>
      </c>
      <c r="M341" s="54" t="str">
        <f>VLOOKUP(L341,Packaging!$B$3:$C$21,2,0)</f>
        <v>290 X 200 X 100</v>
      </c>
      <c r="N341" s="47"/>
      <c r="O341" s="100">
        <v>24</v>
      </c>
      <c r="P341" s="47" t="s">
        <v>55</v>
      </c>
      <c r="Q341" s="98" t="s">
        <v>1502</v>
      </c>
      <c r="R341" s="102" t="str">
        <f t="shared" si="0"/>
        <v>A5,B1,B2,B5,B8,B9,B10,B11,B14,B15,C9,D16</v>
      </c>
    </row>
    <row r="342" spans="1:18" ht="15.75" customHeight="1">
      <c r="A342" s="59" t="s">
        <v>1108</v>
      </c>
      <c r="B342" s="47" t="s">
        <v>1109</v>
      </c>
      <c r="C342" s="46" t="s">
        <v>1092</v>
      </c>
      <c r="D342" s="47" t="s">
        <v>1093</v>
      </c>
      <c r="E342" s="99">
        <v>30</v>
      </c>
      <c r="F342" s="49">
        <v>46191</v>
      </c>
      <c r="G342" s="49">
        <v>46282</v>
      </c>
      <c r="H342" s="47" t="s">
        <v>53</v>
      </c>
      <c r="I342" s="100">
        <v>430</v>
      </c>
      <c r="J342" s="52">
        <v>262</v>
      </c>
      <c r="K342" s="103" t="s">
        <v>1569</v>
      </c>
      <c r="L342" s="61" t="s">
        <v>83</v>
      </c>
      <c r="M342" s="54" t="str">
        <f>VLOOKUP(L342,Packaging!$B$3:$C$21,2,0)</f>
        <v>560 X 175 X 155</v>
      </c>
      <c r="N342" s="47"/>
      <c r="O342" s="100">
        <v>2</v>
      </c>
      <c r="P342" s="47" t="s">
        <v>55</v>
      </c>
      <c r="Q342" s="98" t="s">
        <v>1500</v>
      </c>
      <c r="R342" s="102" t="str">
        <f t="shared" si="0"/>
        <v/>
      </c>
    </row>
    <row r="343" spans="1:18" ht="15.75" customHeight="1">
      <c r="A343" s="59" t="s">
        <v>1110</v>
      </c>
      <c r="B343" s="47" t="s">
        <v>1111</v>
      </c>
      <c r="C343" s="46" t="s">
        <v>1100</v>
      </c>
      <c r="D343" s="47" t="s">
        <v>1096</v>
      </c>
      <c r="E343" s="99"/>
      <c r="F343" s="49">
        <v>46191</v>
      </c>
      <c r="G343" s="49">
        <v>46282</v>
      </c>
      <c r="H343" s="47" t="s">
        <v>1112</v>
      </c>
      <c r="I343" s="100">
        <v>244</v>
      </c>
      <c r="J343" s="52">
        <v>76</v>
      </c>
      <c r="K343" s="103" t="s">
        <v>1570</v>
      </c>
      <c r="L343" s="61" t="s">
        <v>274</v>
      </c>
      <c r="M343" s="54" t="str">
        <f>VLOOKUP(L343,Packaging!$B$3:$C$21,2,0)</f>
        <v>290 X 200 X 100</v>
      </c>
      <c r="N343" s="47" t="s">
        <v>1113</v>
      </c>
      <c r="O343" s="100"/>
      <c r="P343" s="47" t="s">
        <v>55</v>
      </c>
      <c r="Q343" s="98" t="s">
        <v>1500</v>
      </c>
      <c r="R343" s="102" t="str">
        <f t="shared" si="0"/>
        <v/>
      </c>
    </row>
    <row r="344" spans="1:18" ht="15.75" customHeight="1">
      <c r="A344" s="59" t="s">
        <v>1114</v>
      </c>
      <c r="B344" s="47" t="s">
        <v>1115</v>
      </c>
      <c r="C344" s="46" t="s">
        <v>1116</v>
      </c>
      <c r="D344" s="47" t="s">
        <v>1096</v>
      </c>
      <c r="E344" s="99"/>
      <c r="F344" s="49">
        <v>46191</v>
      </c>
      <c r="G344" s="49">
        <v>46282</v>
      </c>
      <c r="H344" s="47" t="s">
        <v>1117</v>
      </c>
      <c r="I344" s="100">
        <v>244</v>
      </c>
      <c r="J344" s="52">
        <v>72</v>
      </c>
      <c r="K344" s="103" t="s">
        <v>1571</v>
      </c>
      <c r="L344" s="61" t="s">
        <v>274</v>
      </c>
      <c r="M344" s="54" t="str">
        <f>VLOOKUP(L344,Packaging!$B$3:$C$21,2,0)</f>
        <v>290 X 200 X 100</v>
      </c>
      <c r="N344" s="47" t="s">
        <v>1113</v>
      </c>
      <c r="O344" s="100"/>
      <c r="P344" s="47" t="s">
        <v>55</v>
      </c>
      <c r="Q344" s="98" t="s">
        <v>1500</v>
      </c>
      <c r="R344" s="102" t="str">
        <f t="shared" si="0"/>
        <v/>
      </c>
    </row>
    <row r="345" spans="1:18" ht="15.75" customHeight="1">
      <c r="A345" s="59" t="s">
        <v>1118</v>
      </c>
      <c r="B345" s="47" t="s">
        <v>1119</v>
      </c>
      <c r="C345" s="46" t="s">
        <v>1120</v>
      </c>
      <c r="D345" s="47" t="s">
        <v>1121</v>
      </c>
      <c r="E345" s="99">
        <v>800</v>
      </c>
      <c r="F345" s="49">
        <v>46191</v>
      </c>
      <c r="G345" s="49">
        <v>46282</v>
      </c>
      <c r="H345" s="47" t="s">
        <v>53</v>
      </c>
      <c r="I345" s="100">
        <v>280</v>
      </c>
      <c r="J345" s="52">
        <v>28.5</v>
      </c>
      <c r="K345" s="103" t="s">
        <v>1572</v>
      </c>
      <c r="L345" s="61" t="s">
        <v>54</v>
      </c>
      <c r="M345" s="54" t="str">
        <f>VLOOKUP(L345,Packaging!$B$3:$C$21,2,0)</f>
        <v>290 X 200 X 140</v>
      </c>
      <c r="N345" s="47"/>
      <c r="O345" s="100">
        <v>100</v>
      </c>
      <c r="P345" s="47" t="s">
        <v>55</v>
      </c>
      <c r="Q345" s="98" t="s">
        <v>1500</v>
      </c>
      <c r="R345" s="102" t="str">
        <f t="shared" si="0"/>
        <v/>
      </c>
    </row>
    <row r="346" spans="1:18" ht="15.75" customHeight="1">
      <c r="A346" s="59" t="s">
        <v>1122</v>
      </c>
      <c r="B346" s="47">
        <v>954966</v>
      </c>
      <c r="C346" s="46" t="s">
        <v>867</v>
      </c>
      <c r="D346" s="47" t="s">
        <v>1096</v>
      </c>
      <c r="E346" s="99">
        <v>100</v>
      </c>
      <c r="F346" s="49">
        <v>46191</v>
      </c>
      <c r="G346" s="49">
        <v>46282</v>
      </c>
      <c r="H346" s="47" t="s">
        <v>1123</v>
      </c>
      <c r="I346" s="100">
        <v>280</v>
      </c>
      <c r="J346" s="52">
        <v>152.6</v>
      </c>
      <c r="K346" s="103" t="s">
        <v>1573</v>
      </c>
      <c r="L346" s="61" t="s">
        <v>54</v>
      </c>
      <c r="M346" s="54" t="str">
        <f>VLOOKUP(L346,Packaging!$B$3:$C$21,2,0)</f>
        <v>290 X 200 X 140</v>
      </c>
      <c r="N346" s="47"/>
      <c r="O346" s="100">
        <v>5</v>
      </c>
      <c r="P346" s="47" t="s">
        <v>55</v>
      </c>
      <c r="Q346" s="98" t="s">
        <v>1500</v>
      </c>
      <c r="R346" s="102" t="str">
        <f t="shared" si="0"/>
        <v/>
      </c>
    </row>
    <row r="347" spans="1:18" ht="15.75" customHeight="1">
      <c r="A347" s="59" t="s">
        <v>1124</v>
      </c>
      <c r="B347" s="47">
        <v>954967</v>
      </c>
      <c r="C347" s="46" t="s">
        <v>871</v>
      </c>
      <c r="D347" s="47" t="s">
        <v>1096</v>
      </c>
      <c r="E347" s="99">
        <v>100</v>
      </c>
      <c r="F347" s="49">
        <v>46191</v>
      </c>
      <c r="G347" s="49">
        <v>46282</v>
      </c>
      <c r="H347" s="47" t="s">
        <v>1123</v>
      </c>
      <c r="I347" s="100">
        <v>280</v>
      </c>
      <c r="J347" s="52">
        <v>152.6</v>
      </c>
      <c r="K347" s="103" t="s">
        <v>1574</v>
      </c>
      <c r="L347" s="61" t="s">
        <v>54</v>
      </c>
      <c r="M347" s="54" t="str">
        <f>VLOOKUP(L347,Packaging!$B$3:$C$21,2,0)</f>
        <v>290 X 200 X 140</v>
      </c>
      <c r="N347" s="47"/>
      <c r="O347" s="100">
        <v>5</v>
      </c>
      <c r="P347" s="47" t="s">
        <v>55</v>
      </c>
      <c r="Q347" s="98" t="s">
        <v>1500</v>
      </c>
      <c r="R347" s="102" t="str">
        <f t="shared" si="0"/>
        <v/>
      </c>
    </row>
    <row r="348" spans="1:18" ht="15.75" customHeight="1">
      <c r="A348" s="59" t="s">
        <v>1125</v>
      </c>
      <c r="B348" s="47">
        <v>3000013624</v>
      </c>
      <c r="C348" s="46" t="s">
        <v>1126</v>
      </c>
      <c r="D348" s="47" t="s">
        <v>1096</v>
      </c>
      <c r="E348" s="99">
        <v>20</v>
      </c>
      <c r="F348" s="49">
        <v>46191</v>
      </c>
      <c r="G348" s="49">
        <v>46282</v>
      </c>
      <c r="H348" s="47" t="s">
        <v>1127</v>
      </c>
      <c r="I348" s="100">
        <v>580</v>
      </c>
      <c r="J348" s="52">
        <v>459</v>
      </c>
      <c r="K348" s="103" t="s">
        <v>1575</v>
      </c>
      <c r="L348" s="61" t="s">
        <v>101</v>
      </c>
      <c r="M348" s="50" t="s">
        <v>887</v>
      </c>
      <c r="N348" s="47"/>
      <c r="O348" s="100">
        <v>1</v>
      </c>
      <c r="P348" s="47" t="s">
        <v>55</v>
      </c>
      <c r="Q348" s="98" t="s">
        <v>1500</v>
      </c>
      <c r="R348" s="102" t="str">
        <f t="shared" si="0"/>
        <v/>
      </c>
    </row>
    <row r="349" spans="1:18" ht="15.75" customHeight="1">
      <c r="A349" s="59" t="s">
        <v>1128</v>
      </c>
      <c r="B349" s="47" t="s">
        <v>1129</v>
      </c>
      <c r="C349" s="46" t="s">
        <v>1130</v>
      </c>
      <c r="D349" s="47" t="s">
        <v>886</v>
      </c>
      <c r="E349" s="99">
        <v>400</v>
      </c>
      <c r="F349" s="49">
        <v>46191</v>
      </c>
      <c r="G349" s="49">
        <v>46282</v>
      </c>
      <c r="H349" s="47" t="s">
        <v>53</v>
      </c>
      <c r="I349" s="100">
        <v>280</v>
      </c>
      <c r="J349" s="52">
        <v>19.5</v>
      </c>
      <c r="K349" s="103" t="s">
        <v>1576</v>
      </c>
      <c r="L349" s="61" t="s">
        <v>54</v>
      </c>
      <c r="M349" s="54" t="str">
        <f>VLOOKUP(L349,Packaging!$B$3:$C$21,2,0)</f>
        <v>290 X 200 X 140</v>
      </c>
      <c r="N349" s="47"/>
      <c r="O349" s="100">
        <v>20</v>
      </c>
      <c r="P349" s="47" t="s">
        <v>55</v>
      </c>
      <c r="Q349" s="98" t="s">
        <v>1502</v>
      </c>
      <c r="R349" s="102" t="str">
        <f t="shared" si="0"/>
        <v>A5,B1,B2,B5,B8,B9,B10,B11,B14,B15,C9,D16</v>
      </c>
    </row>
    <row r="350" spans="1:18" ht="15.75" customHeight="1">
      <c r="A350" s="59" t="s">
        <v>1131</v>
      </c>
      <c r="B350" s="47" t="s">
        <v>1132</v>
      </c>
      <c r="C350" s="46" t="s">
        <v>1133</v>
      </c>
      <c r="D350" s="47" t="s">
        <v>886</v>
      </c>
      <c r="E350" s="99">
        <v>400</v>
      </c>
      <c r="F350" s="49">
        <v>46191</v>
      </c>
      <c r="G350" s="49">
        <v>46282</v>
      </c>
      <c r="H350" s="47" t="s">
        <v>53</v>
      </c>
      <c r="I350" s="100">
        <v>280</v>
      </c>
      <c r="J350" s="52">
        <v>19.5</v>
      </c>
      <c r="K350" s="103" t="s">
        <v>1577</v>
      </c>
      <c r="L350" s="61" t="s">
        <v>54</v>
      </c>
      <c r="M350" s="54" t="str">
        <f>VLOOKUP(L350,Packaging!$B$3:$C$21,2,0)</f>
        <v>290 X 200 X 140</v>
      </c>
      <c r="N350" s="47"/>
      <c r="O350" s="100">
        <v>20</v>
      </c>
      <c r="P350" s="47" t="s">
        <v>55</v>
      </c>
      <c r="Q350" s="98" t="s">
        <v>1502</v>
      </c>
      <c r="R350" s="102" t="str">
        <f t="shared" si="0"/>
        <v>A5,B1,B2,B5,B8,B9,B10,B11,B14,B15,C9,D16</v>
      </c>
    </row>
    <row r="351" spans="1:18" ht="15.75" customHeight="1">
      <c r="A351" s="59" t="s">
        <v>1134</v>
      </c>
      <c r="B351" s="78" t="s">
        <v>1135</v>
      </c>
      <c r="C351" s="46" t="s">
        <v>1120</v>
      </c>
      <c r="D351" s="47" t="s">
        <v>1121</v>
      </c>
      <c r="E351" s="99">
        <v>250</v>
      </c>
      <c r="F351" s="49">
        <v>46191</v>
      </c>
      <c r="G351" s="49">
        <v>46282</v>
      </c>
      <c r="H351" s="47" t="s">
        <v>53</v>
      </c>
      <c r="I351" s="100">
        <v>244</v>
      </c>
      <c r="J351" s="52">
        <v>76.5</v>
      </c>
      <c r="K351" s="103" t="s">
        <v>1578</v>
      </c>
      <c r="L351" s="61" t="s">
        <v>274</v>
      </c>
      <c r="M351" s="54" t="str">
        <f>VLOOKUP(L351,Packaging!$B$3:$C$21,2,0)</f>
        <v>290 X 200 X 100</v>
      </c>
      <c r="N351" s="47"/>
      <c r="O351" s="100">
        <v>50</v>
      </c>
      <c r="P351" s="47" t="s">
        <v>55</v>
      </c>
      <c r="Q351" s="98" t="s">
        <v>1500</v>
      </c>
      <c r="R351" s="102" t="str">
        <f t="shared" si="0"/>
        <v/>
      </c>
    </row>
    <row r="352" spans="1:18" ht="15.75" customHeight="1">
      <c r="A352" s="59" t="s">
        <v>1136</v>
      </c>
      <c r="B352" s="78" t="s">
        <v>1137</v>
      </c>
      <c r="C352" s="46" t="s">
        <v>90</v>
      </c>
      <c r="D352" s="47" t="s">
        <v>52</v>
      </c>
      <c r="E352" s="99">
        <v>28</v>
      </c>
      <c r="F352" s="49">
        <v>46191</v>
      </c>
      <c r="G352" s="49">
        <v>46282</v>
      </c>
      <c r="H352" s="47" t="s">
        <v>53</v>
      </c>
      <c r="I352" s="100">
        <v>378</v>
      </c>
      <c r="J352" s="52">
        <v>438</v>
      </c>
      <c r="K352" s="103" t="s">
        <v>1579</v>
      </c>
      <c r="L352" s="61" t="s">
        <v>91</v>
      </c>
      <c r="M352" s="54" t="str">
        <f>VLOOKUP(L352,Packaging!$B$3:$C$21,2,0)</f>
        <v>400 X 240 X 130</v>
      </c>
      <c r="N352" s="47"/>
      <c r="O352" s="100">
        <v>2</v>
      </c>
      <c r="P352" s="47" t="s">
        <v>55</v>
      </c>
      <c r="Q352" s="98" t="s">
        <v>1234</v>
      </c>
      <c r="R352" s="102" t="str">
        <f t="shared" si="0"/>
        <v>A1,A2,A3,A4,A6,A7,A8,A11,A12,A13,A14,A16,A17,A18,A19,B3,B7,B12,B13,B16,B17,B18,C1,C2,C3,C5,C7,C8,C11,E13,F1,F2,F3,F4,F5,F6,F7,F8,F9,F10,F11,F12,F13,F14,F15,F16,G1,G2,G3,G4,G5,G6,G7,G8,G9,G10,G11,G12,G13,G14,G15,G16</v>
      </c>
    </row>
    <row r="353" spans="1:18" ht="15.75" customHeight="1">
      <c r="A353" s="59" t="s">
        <v>1139</v>
      </c>
      <c r="B353" s="78" t="s">
        <v>1140</v>
      </c>
      <c r="C353" s="46" t="s">
        <v>1141</v>
      </c>
      <c r="D353" s="47" t="s">
        <v>886</v>
      </c>
      <c r="E353" s="99">
        <v>40</v>
      </c>
      <c r="F353" s="49">
        <v>46191</v>
      </c>
      <c r="G353" s="49">
        <v>46282</v>
      </c>
      <c r="H353" s="47" t="s">
        <v>53</v>
      </c>
      <c r="I353" s="100">
        <v>378</v>
      </c>
      <c r="J353" s="52">
        <v>82.5</v>
      </c>
      <c r="K353" s="103" t="s">
        <v>1580</v>
      </c>
      <c r="L353" s="61" t="s">
        <v>91</v>
      </c>
      <c r="M353" s="54" t="str">
        <f>VLOOKUP(L353,Packaging!$B$3:$C$21,2,0)</f>
        <v>400 X 240 X 130</v>
      </c>
      <c r="N353" s="47"/>
      <c r="O353" s="100">
        <v>1</v>
      </c>
      <c r="P353" s="47" t="s">
        <v>55</v>
      </c>
      <c r="Q353" s="98" t="s">
        <v>1502</v>
      </c>
      <c r="R353" s="102" t="str">
        <f t="shared" si="0"/>
        <v>A5,B1,B2,B5,B8,B9,B10,B11,B14,B15,C9,D16</v>
      </c>
    </row>
    <row r="354" spans="1:18" ht="15.75" customHeight="1">
      <c r="A354" s="59" t="s">
        <v>1142</v>
      </c>
      <c r="B354" s="78" t="s">
        <v>1143</v>
      </c>
      <c r="C354" s="46" t="s">
        <v>1075</v>
      </c>
      <c r="D354" s="47" t="s">
        <v>886</v>
      </c>
      <c r="E354" s="99">
        <v>84</v>
      </c>
      <c r="F354" s="49">
        <v>46191</v>
      </c>
      <c r="G354" s="49">
        <v>46282</v>
      </c>
      <c r="H354" s="47" t="s">
        <v>53</v>
      </c>
      <c r="I354" s="100">
        <v>378</v>
      </c>
      <c r="J354" s="52">
        <v>40.5</v>
      </c>
      <c r="K354" s="103" t="s">
        <v>1581</v>
      </c>
      <c r="L354" s="61" t="s">
        <v>91</v>
      </c>
      <c r="M354" s="54" t="str">
        <f>VLOOKUP(L354,Packaging!$B$3:$C$21,2,0)</f>
        <v>400 X 240 X 130</v>
      </c>
      <c r="N354" s="47"/>
      <c r="O354" s="100">
        <v>2</v>
      </c>
      <c r="P354" s="47" t="s">
        <v>55</v>
      </c>
      <c r="Q354" s="98" t="s">
        <v>1502</v>
      </c>
      <c r="R354" s="102" t="str">
        <f t="shared" si="0"/>
        <v>A5,B1,B2,B5,B8,B9,B10,B11,B14,B15,C9,D16</v>
      </c>
    </row>
    <row r="355" spans="1:18" ht="15.75" customHeight="1">
      <c r="A355" s="59" t="s">
        <v>1144</v>
      </c>
      <c r="B355" s="78" t="s">
        <v>1145</v>
      </c>
      <c r="C355" s="46" t="s">
        <v>1146</v>
      </c>
      <c r="D355" s="47" t="s">
        <v>886</v>
      </c>
      <c r="E355" s="99">
        <v>80</v>
      </c>
      <c r="F355" s="49">
        <v>46191</v>
      </c>
      <c r="G355" s="49">
        <v>46282</v>
      </c>
      <c r="H355" s="47" t="s">
        <v>53</v>
      </c>
      <c r="I355" s="100">
        <v>244</v>
      </c>
      <c r="J355" s="52">
        <v>76</v>
      </c>
      <c r="K355" s="103" t="s">
        <v>1582</v>
      </c>
      <c r="L355" s="61" t="s">
        <v>274</v>
      </c>
      <c r="M355" s="54" t="str">
        <f>VLOOKUP(L355,Packaging!$B$3:$C$21,2,0)</f>
        <v>290 X 200 X 100</v>
      </c>
      <c r="N355" s="47"/>
      <c r="O355" s="100">
        <v>2</v>
      </c>
      <c r="P355" s="47" t="s">
        <v>55</v>
      </c>
      <c r="Q355" s="98" t="s">
        <v>1502</v>
      </c>
      <c r="R355" s="102" t="str">
        <f t="shared" si="0"/>
        <v>A5,B1,B2,B5,B8,B9,B10,B11,B14,B15,C9,D16</v>
      </c>
    </row>
    <row r="356" spans="1:18" ht="15.75" customHeight="1">
      <c r="A356" s="59" t="s">
        <v>1147</v>
      </c>
      <c r="B356" s="78" t="s">
        <v>1148</v>
      </c>
      <c r="C356" s="46" t="s">
        <v>1149</v>
      </c>
      <c r="D356" s="47" t="s">
        <v>886</v>
      </c>
      <c r="E356" s="99">
        <v>500</v>
      </c>
      <c r="F356" s="49">
        <v>46191</v>
      </c>
      <c r="G356" s="49">
        <v>46282</v>
      </c>
      <c r="H356" s="47" t="s">
        <v>53</v>
      </c>
      <c r="I356" s="100">
        <v>244</v>
      </c>
      <c r="J356" s="52">
        <v>22</v>
      </c>
      <c r="K356" s="103" t="s">
        <v>1583</v>
      </c>
      <c r="L356" s="61" t="s">
        <v>274</v>
      </c>
      <c r="M356" s="54" t="str">
        <f>VLOOKUP(L356,Packaging!$B$3:$C$21,2,0)</f>
        <v>290 X 200 X 100</v>
      </c>
      <c r="N356" s="47"/>
      <c r="O356" s="100">
        <v>50</v>
      </c>
      <c r="P356" s="47" t="s">
        <v>55</v>
      </c>
      <c r="Q356" s="98" t="s">
        <v>1502</v>
      </c>
      <c r="R356" s="102" t="str">
        <f t="shared" si="0"/>
        <v>A5,B1,B2,B5,B8,B9,B10,B11,B14,B15,C9,D16</v>
      </c>
    </row>
    <row r="357" spans="1:18" ht="15.75" customHeight="1">
      <c r="A357" s="59" t="s">
        <v>1150</v>
      </c>
      <c r="B357" s="78" t="s">
        <v>1151</v>
      </c>
      <c r="C357" s="46" t="s">
        <v>1152</v>
      </c>
      <c r="D357" s="47" t="s">
        <v>886</v>
      </c>
      <c r="E357" s="99">
        <v>120</v>
      </c>
      <c r="F357" s="49">
        <v>46191</v>
      </c>
      <c r="G357" s="49">
        <v>46282</v>
      </c>
      <c r="H357" s="47" t="s">
        <v>53</v>
      </c>
      <c r="I357" s="100">
        <v>244</v>
      </c>
      <c r="J357" s="52">
        <v>16.5</v>
      </c>
      <c r="K357" s="103" t="s">
        <v>1584</v>
      </c>
      <c r="L357" s="61" t="s">
        <v>274</v>
      </c>
      <c r="M357" s="54" t="str">
        <f>VLOOKUP(L357,Packaging!$B$3:$C$21,2,0)</f>
        <v>290 X 200 X 100</v>
      </c>
      <c r="N357" s="47"/>
      <c r="O357" s="100">
        <v>10</v>
      </c>
      <c r="P357" s="47" t="s">
        <v>55</v>
      </c>
      <c r="Q357" s="98" t="s">
        <v>1502</v>
      </c>
      <c r="R357" s="102" t="str">
        <f t="shared" si="0"/>
        <v>A5,B1,B2,B5,B8,B9,B10,B11,B14,B15,C9,D16</v>
      </c>
    </row>
    <row r="358" spans="1:18" ht="15.75" customHeight="1">
      <c r="A358" s="59" t="s">
        <v>1153</v>
      </c>
      <c r="B358" s="78" t="s">
        <v>1154</v>
      </c>
      <c r="C358" s="46" t="s">
        <v>1155</v>
      </c>
      <c r="D358" s="47" t="s">
        <v>886</v>
      </c>
      <c r="E358" s="99">
        <v>35</v>
      </c>
      <c r="F358" s="49">
        <v>46191</v>
      </c>
      <c r="G358" s="49">
        <v>46282</v>
      </c>
      <c r="H358" s="47" t="s">
        <v>53</v>
      </c>
      <c r="I358" s="100">
        <v>378</v>
      </c>
      <c r="J358" s="52">
        <v>20</v>
      </c>
      <c r="K358" s="103" t="s">
        <v>1585</v>
      </c>
      <c r="L358" s="61" t="s">
        <v>91</v>
      </c>
      <c r="M358" s="54" t="str">
        <f>VLOOKUP(L358,Packaging!$B$3:$C$21,2,0)</f>
        <v>400 X 240 X 130</v>
      </c>
      <c r="N358" s="47"/>
      <c r="O358" s="100">
        <v>5</v>
      </c>
      <c r="P358" s="47" t="s">
        <v>55</v>
      </c>
      <c r="Q358" s="98" t="s">
        <v>1502</v>
      </c>
      <c r="R358" s="102" t="str">
        <f t="shared" si="0"/>
        <v>A5,B1,B2,B5,B8,B9,B10,B11,B14,B15,C9,D16</v>
      </c>
    </row>
    <row r="359" spans="1:18" ht="15.75" customHeight="1">
      <c r="A359" s="59" t="s">
        <v>1156</v>
      </c>
      <c r="B359" s="78" t="s">
        <v>1157</v>
      </c>
      <c r="C359" s="46" t="s">
        <v>1158</v>
      </c>
      <c r="D359" s="47" t="s">
        <v>886</v>
      </c>
      <c r="E359" s="99">
        <v>500</v>
      </c>
      <c r="F359" s="49">
        <v>46191</v>
      </c>
      <c r="G359" s="49">
        <v>46282</v>
      </c>
      <c r="H359" s="47" t="s">
        <v>53</v>
      </c>
      <c r="I359" s="100">
        <v>278</v>
      </c>
      <c r="J359" s="52">
        <v>8</v>
      </c>
      <c r="K359" s="103" t="s">
        <v>1586</v>
      </c>
      <c r="L359" s="61" t="s">
        <v>161</v>
      </c>
      <c r="M359" s="54" t="str">
        <f>VLOOKUP(L359,Packaging!$B$3:$C$21,2,0)</f>
        <v>360 X 270 X 128</v>
      </c>
      <c r="N359" s="47"/>
      <c r="O359" s="100">
        <v>50</v>
      </c>
      <c r="P359" s="47" t="s">
        <v>55</v>
      </c>
      <c r="Q359" s="98" t="s">
        <v>1502</v>
      </c>
      <c r="R359" s="102" t="str">
        <f t="shared" si="0"/>
        <v>A5,B1,B2,B5,B8,B9,B10,B11,B14,B15,C9,D16</v>
      </c>
    </row>
    <row r="360" spans="1:18" ht="15.75" customHeight="1">
      <c r="A360" s="59" t="s">
        <v>1159</v>
      </c>
      <c r="B360" s="78" t="s">
        <v>1160</v>
      </c>
      <c r="C360" s="46" t="s">
        <v>1161</v>
      </c>
      <c r="D360" s="47" t="s">
        <v>886</v>
      </c>
      <c r="E360" s="99">
        <v>40</v>
      </c>
      <c r="F360" s="49">
        <v>46191</v>
      </c>
      <c r="G360" s="49">
        <v>46282</v>
      </c>
      <c r="H360" s="47" t="s">
        <v>53</v>
      </c>
      <c r="I360" s="100">
        <v>244</v>
      </c>
      <c r="J360" s="52">
        <v>98</v>
      </c>
      <c r="K360" s="103" t="s">
        <v>1587</v>
      </c>
      <c r="L360" s="61" t="s">
        <v>274</v>
      </c>
      <c r="M360" s="54" t="str">
        <f>VLOOKUP(L360,Packaging!$B$3:$C$21,2,0)</f>
        <v>290 X 200 X 100</v>
      </c>
      <c r="N360" s="47"/>
      <c r="O360" s="100">
        <v>1</v>
      </c>
      <c r="P360" s="47" t="s">
        <v>55</v>
      </c>
      <c r="Q360" s="98" t="s">
        <v>1502</v>
      </c>
      <c r="R360" s="102" t="str">
        <f t="shared" si="0"/>
        <v>A5,B1,B2,B5,B8,B9,B10,B11,B14,B15,C9,D16</v>
      </c>
    </row>
    <row r="361" spans="1:18" ht="15.75" customHeight="1">
      <c r="A361" s="59" t="s">
        <v>1162</v>
      </c>
      <c r="B361" s="78" t="s">
        <v>1163</v>
      </c>
      <c r="C361" s="46" t="s">
        <v>1164</v>
      </c>
      <c r="D361" s="47" t="s">
        <v>886</v>
      </c>
      <c r="E361" s="99">
        <v>1000</v>
      </c>
      <c r="F361" s="49">
        <v>46191</v>
      </c>
      <c r="G361" s="49">
        <v>46282</v>
      </c>
      <c r="H361" s="47" t="s">
        <v>53</v>
      </c>
      <c r="I361" s="100">
        <v>280</v>
      </c>
      <c r="J361" s="52">
        <v>8</v>
      </c>
      <c r="K361" s="103" t="s">
        <v>1588</v>
      </c>
      <c r="L361" s="61" t="s">
        <v>54</v>
      </c>
      <c r="M361" s="54" t="str">
        <f>VLOOKUP(L361,Packaging!$B$3:$C$21,2,0)</f>
        <v>290 X 200 X 140</v>
      </c>
      <c r="N361" s="47"/>
      <c r="O361" s="100">
        <v>250</v>
      </c>
      <c r="P361" s="47" t="s">
        <v>55</v>
      </c>
      <c r="Q361" s="98" t="s">
        <v>1502</v>
      </c>
      <c r="R361" s="102" t="str">
        <f t="shared" si="0"/>
        <v>A5,B1,B2,B5,B8,B9,B10,B11,B14,B15,C9,D16</v>
      </c>
    </row>
    <row r="362" spans="1:18" ht="15.75" customHeight="1">
      <c r="A362" s="59" t="s">
        <v>1165</v>
      </c>
      <c r="B362" s="78" t="s">
        <v>1166</v>
      </c>
      <c r="C362" s="46" t="s">
        <v>1167</v>
      </c>
      <c r="D362" s="47" t="s">
        <v>886</v>
      </c>
      <c r="E362" s="99">
        <v>10</v>
      </c>
      <c r="F362" s="49">
        <v>46191</v>
      </c>
      <c r="G362" s="49">
        <v>46282</v>
      </c>
      <c r="H362" s="47" t="s">
        <v>53</v>
      </c>
      <c r="I362" s="100">
        <v>278</v>
      </c>
      <c r="J362" s="52">
        <v>264</v>
      </c>
      <c r="K362" s="103" t="s">
        <v>1589</v>
      </c>
      <c r="L362" s="61" t="s">
        <v>161</v>
      </c>
      <c r="M362" s="54" t="str">
        <f>VLOOKUP(L362,Packaging!$B$3:$C$21,2,0)</f>
        <v>360 X 270 X 128</v>
      </c>
      <c r="N362" s="47"/>
      <c r="O362" s="100">
        <v>1</v>
      </c>
      <c r="P362" s="47" t="s">
        <v>55</v>
      </c>
      <c r="Q362" s="98" t="s">
        <v>1502</v>
      </c>
      <c r="R362" s="102" t="str">
        <f t="shared" si="0"/>
        <v>A5,B1,B2,B5,B8,B9,B10,B11,B14,B15,C9,D16</v>
      </c>
    </row>
    <row r="363" spans="1:18" ht="15.75" customHeight="1">
      <c r="A363" s="59" t="s">
        <v>1168</v>
      </c>
      <c r="B363" s="78" t="s">
        <v>1169</v>
      </c>
      <c r="C363" s="46" t="s">
        <v>867</v>
      </c>
      <c r="D363" s="47" t="s">
        <v>1096</v>
      </c>
      <c r="E363" s="99"/>
      <c r="F363" s="49">
        <v>46191</v>
      </c>
      <c r="G363" s="49">
        <v>46282</v>
      </c>
      <c r="H363" s="47" t="s">
        <v>53</v>
      </c>
      <c r="I363" s="100">
        <v>280</v>
      </c>
      <c r="J363" s="52">
        <v>207</v>
      </c>
      <c r="K363" s="103" t="s">
        <v>1590</v>
      </c>
      <c r="L363" s="61" t="s">
        <v>54</v>
      </c>
      <c r="M363" s="54" t="str">
        <f>VLOOKUP(L363,Packaging!$B$3:$C$21,2,0)</f>
        <v>290 X 200 X 140</v>
      </c>
      <c r="N363" s="47"/>
      <c r="O363" s="100">
        <v>5</v>
      </c>
      <c r="P363" s="47" t="s">
        <v>55</v>
      </c>
      <c r="Q363" s="98" t="s">
        <v>1500</v>
      </c>
      <c r="R363" s="102" t="str">
        <f t="shared" si="0"/>
        <v/>
      </c>
    </row>
    <row r="364" spans="1:18" ht="15.75" customHeight="1">
      <c r="A364" s="59" t="s">
        <v>1170</v>
      </c>
      <c r="B364" s="78" t="s">
        <v>1171</v>
      </c>
      <c r="C364" s="46" t="s">
        <v>871</v>
      </c>
      <c r="D364" s="47" t="s">
        <v>1096</v>
      </c>
      <c r="E364" s="99"/>
      <c r="F364" s="49">
        <v>46191</v>
      </c>
      <c r="G364" s="49">
        <v>46282</v>
      </c>
      <c r="H364" s="47" t="s">
        <v>53</v>
      </c>
      <c r="I364" s="100">
        <v>280</v>
      </c>
      <c r="J364" s="52">
        <v>207</v>
      </c>
      <c r="K364" s="103" t="s">
        <v>1591</v>
      </c>
      <c r="L364" s="61" t="s">
        <v>54</v>
      </c>
      <c r="M364" s="54" t="str">
        <f>VLOOKUP(L364,Packaging!$B$3:$C$21,2,0)</f>
        <v>290 X 200 X 140</v>
      </c>
      <c r="N364" s="47"/>
      <c r="O364" s="100">
        <v>5</v>
      </c>
      <c r="P364" s="47" t="s">
        <v>55</v>
      </c>
      <c r="Q364" s="98" t="s">
        <v>1500</v>
      </c>
      <c r="R364" s="102" t="str">
        <f t="shared" si="0"/>
        <v/>
      </c>
    </row>
    <row r="365" spans="1:18" ht="15.75" customHeight="1">
      <c r="A365" s="59" t="s">
        <v>1172</v>
      </c>
      <c r="B365" s="78" t="s">
        <v>1173</v>
      </c>
      <c r="C365" s="46" t="s">
        <v>1174</v>
      </c>
      <c r="D365" s="47" t="s">
        <v>1096</v>
      </c>
      <c r="E365" s="99"/>
      <c r="F365" s="49">
        <v>46191</v>
      </c>
      <c r="G365" s="49">
        <v>46282</v>
      </c>
      <c r="H365" s="47" t="s">
        <v>53</v>
      </c>
      <c r="I365" s="100">
        <v>244</v>
      </c>
      <c r="J365" s="52">
        <v>72</v>
      </c>
      <c r="K365" s="103" t="s">
        <v>1592</v>
      </c>
      <c r="L365" s="61" t="s">
        <v>274</v>
      </c>
      <c r="M365" s="54" t="str">
        <f>VLOOKUP(L365,Packaging!$B$3:$C$21,2,0)</f>
        <v>290 X 200 X 100</v>
      </c>
      <c r="N365" s="47"/>
      <c r="O365" s="100">
        <v>6</v>
      </c>
      <c r="P365" s="47" t="s">
        <v>55</v>
      </c>
      <c r="Q365" s="98" t="s">
        <v>1500</v>
      </c>
      <c r="R365" s="102" t="str">
        <f t="shared" si="0"/>
        <v/>
      </c>
    </row>
    <row r="366" spans="1:18" ht="15.75" customHeight="1">
      <c r="A366" s="59" t="s">
        <v>1175</v>
      </c>
      <c r="B366" s="78" t="s">
        <v>1176</v>
      </c>
      <c r="C366" s="46" t="s">
        <v>1177</v>
      </c>
      <c r="D366" s="47" t="s">
        <v>1096</v>
      </c>
      <c r="E366" s="99"/>
      <c r="F366" s="49">
        <v>46191</v>
      </c>
      <c r="G366" s="49">
        <v>46282</v>
      </c>
      <c r="H366" s="47" t="s">
        <v>53</v>
      </c>
      <c r="I366" s="100">
        <v>244</v>
      </c>
      <c r="J366" s="52">
        <v>124</v>
      </c>
      <c r="K366" s="103" t="s">
        <v>1593</v>
      </c>
      <c r="L366" s="61" t="s">
        <v>274</v>
      </c>
      <c r="M366" s="54" t="str">
        <f>VLOOKUP(L366,Packaging!$B$3:$C$21,2,0)</f>
        <v>290 X 200 X 100</v>
      </c>
      <c r="N366" s="47"/>
      <c r="O366" s="100">
        <v>1</v>
      </c>
      <c r="P366" s="47" t="s">
        <v>55</v>
      </c>
      <c r="Q366" s="98" t="s">
        <v>1500</v>
      </c>
      <c r="R366" s="102" t="str">
        <f t="shared" si="0"/>
        <v/>
      </c>
    </row>
    <row r="367" spans="1:18" ht="15.75" customHeight="1">
      <c r="A367" s="59" t="s">
        <v>1178</v>
      </c>
      <c r="B367" s="78" t="s">
        <v>1179</v>
      </c>
      <c r="C367" s="46" t="s">
        <v>1180</v>
      </c>
      <c r="D367" s="47" t="s">
        <v>1096</v>
      </c>
      <c r="E367" s="99"/>
      <c r="F367" s="49">
        <v>46191</v>
      </c>
      <c r="G367" s="49">
        <v>46282</v>
      </c>
      <c r="H367" s="47" t="s">
        <v>1181</v>
      </c>
      <c r="I367" s="100">
        <v>244</v>
      </c>
      <c r="J367" s="52">
        <v>70</v>
      </c>
      <c r="K367" s="103" t="s">
        <v>1594</v>
      </c>
      <c r="L367" s="61" t="s">
        <v>274</v>
      </c>
      <c r="M367" s="54" t="str">
        <f>VLOOKUP(L367,Packaging!$B$3:$C$21,2,0)</f>
        <v>290 X 200 X 100</v>
      </c>
      <c r="N367" s="47"/>
      <c r="O367" s="100">
        <v>1</v>
      </c>
      <c r="P367" s="47" t="s">
        <v>55</v>
      </c>
      <c r="Q367" s="98" t="s">
        <v>1500</v>
      </c>
      <c r="R367" s="102" t="str">
        <f t="shared" si="0"/>
        <v/>
      </c>
    </row>
    <row r="368" spans="1:18" ht="15.75" customHeight="1">
      <c r="A368" s="59" t="s">
        <v>1182</v>
      </c>
      <c r="B368" s="78" t="s">
        <v>1183</v>
      </c>
      <c r="C368" s="46" t="s">
        <v>1184</v>
      </c>
      <c r="D368" s="47" t="s">
        <v>1096</v>
      </c>
      <c r="E368" s="99"/>
      <c r="F368" s="49">
        <v>46191</v>
      </c>
      <c r="G368" s="49">
        <v>46282</v>
      </c>
      <c r="H368" s="47" t="s">
        <v>1185</v>
      </c>
      <c r="I368" s="100">
        <v>244</v>
      </c>
      <c r="J368" s="52">
        <v>70</v>
      </c>
      <c r="K368" s="103" t="s">
        <v>1595</v>
      </c>
      <c r="L368" s="61" t="s">
        <v>274</v>
      </c>
      <c r="M368" s="54" t="str">
        <f>VLOOKUP(L368,Packaging!$B$3:$C$21,2,0)</f>
        <v>290 X 200 X 100</v>
      </c>
      <c r="N368" s="47"/>
      <c r="O368" s="100">
        <v>1</v>
      </c>
      <c r="P368" s="47" t="s">
        <v>55</v>
      </c>
      <c r="Q368" s="98" t="s">
        <v>1500</v>
      </c>
      <c r="R368" s="102" t="str">
        <f t="shared" si="0"/>
        <v/>
      </c>
    </row>
    <row r="369" spans="1:18" ht="15.75" customHeight="1">
      <c r="A369" s="59" t="s">
        <v>1186</v>
      </c>
      <c r="B369" s="78" t="s">
        <v>1187</v>
      </c>
      <c r="C369" s="46" t="s">
        <v>1188</v>
      </c>
      <c r="D369" s="47" t="s">
        <v>1096</v>
      </c>
      <c r="E369" s="99"/>
      <c r="F369" s="49">
        <v>46191</v>
      </c>
      <c r="G369" s="49">
        <v>46282</v>
      </c>
      <c r="H369" s="47" t="s">
        <v>1189</v>
      </c>
      <c r="I369" s="100">
        <v>244</v>
      </c>
      <c r="J369" s="52">
        <v>37.6</v>
      </c>
      <c r="K369" s="103" t="s">
        <v>1596</v>
      </c>
      <c r="L369" s="61" t="s">
        <v>274</v>
      </c>
      <c r="M369" s="54" t="str">
        <f>VLOOKUP(L369,Packaging!$B$3:$C$21,2,0)</f>
        <v>290 X 200 X 100</v>
      </c>
      <c r="N369" s="47"/>
      <c r="O369" s="100">
        <v>1</v>
      </c>
      <c r="P369" s="47" t="s">
        <v>55</v>
      </c>
      <c r="Q369" s="98" t="s">
        <v>1500</v>
      </c>
      <c r="R369" s="102" t="str">
        <f t="shared" si="0"/>
        <v/>
      </c>
    </row>
    <row r="370" spans="1:18" ht="15.75" customHeight="1">
      <c r="A370" s="59" t="s">
        <v>1190</v>
      </c>
      <c r="B370" s="78" t="s">
        <v>1191</v>
      </c>
      <c r="C370" s="46" t="s">
        <v>1192</v>
      </c>
      <c r="D370" s="47" t="s">
        <v>886</v>
      </c>
      <c r="E370" s="99"/>
      <c r="F370" s="49">
        <v>46191</v>
      </c>
      <c r="G370" s="49">
        <v>46282</v>
      </c>
      <c r="H370" s="47" t="s">
        <v>53</v>
      </c>
      <c r="I370" s="100">
        <v>244</v>
      </c>
      <c r="J370" s="52">
        <v>20</v>
      </c>
      <c r="K370" s="103" t="s">
        <v>1597</v>
      </c>
      <c r="L370" s="61" t="s">
        <v>274</v>
      </c>
      <c r="M370" s="54" t="str">
        <f>VLOOKUP(L370,Packaging!$B$3:$C$21,2,0)</f>
        <v>290 X 200 X 100</v>
      </c>
      <c r="N370" s="47"/>
      <c r="O370" s="100">
        <v>1</v>
      </c>
      <c r="P370" s="47" t="s">
        <v>55</v>
      </c>
      <c r="Q370" s="98" t="s">
        <v>1502</v>
      </c>
      <c r="R370" s="102" t="str">
        <f t="shared" si="0"/>
        <v>A5,B1,B2,B5,B8,B9,B10,B11,B14,B15,C9,D16</v>
      </c>
    </row>
    <row r="371" spans="1:18" ht="15.75" customHeight="1">
      <c r="A371" s="59" t="s">
        <v>1193</v>
      </c>
      <c r="B371" s="78" t="s">
        <v>1194</v>
      </c>
      <c r="C371" s="46" t="s">
        <v>1195</v>
      </c>
      <c r="D371" s="47" t="s">
        <v>886</v>
      </c>
      <c r="E371" s="99">
        <v>88</v>
      </c>
      <c r="F371" s="49">
        <v>46191</v>
      </c>
      <c r="G371" s="49">
        <v>46282</v>
      </c>
      <c r="H371" s="47" t="s">
        <v>53</v>
      </c>
      <c r="I371" s="100">
        <v>378</v>
      </c>
      <c r="J371" s="52">
        <v>31.7</v>
      </c>
      <c r="K371" s="103" t="s">
        <v>1598</v>
      </c>
      <c r="L371" s="61" t="s">
        <v>91</v>
      </c>
      <c r="M371" s="54" t="str">
        <f>VLOOKUP(L371,Packaging!$B$3:$C$21,2,0)</f>
        <v>400 X 240 X 130</v>
      </c>
      <c r="N371" s="47"/>
      <c r="O371" s="100">
        <v>1</v>
      </c>
      <c r="P371" s="47" t="s">
        <v>55</v>
      </c>
      <c r="Q371" s="98" t="s">
        <v>1502</v>
      </c>
      <c r="R371" s="102" t="str">
        <f t="shared" si="0"/>
        <v>A5,B1,B2,B5,B8,B9,B10,B11,B14,B15,C9,D16</v>
      </c>
    </row>
    <row r="372" spans="1:18" ht="15.75" customHeight="1">
      <c r="A372" s="59" t="s">
        <v>1196</v>
      </c>
      <c r="B372" s="78" t="s">
        <v>1197</v>
      </c>
      <c r="C372" s="46" t="s">
        <v>1198</v>
      </c>
      <c r="D372" s="47" t="s">
        <v>886</v>
      </c>
      <c r="E372" s="99">
        <v>100</v>
      </c>
      <c r="F372" s="49">
        <v>46191</v>
      </c>
      <c r="G372" s="49">
        <v>46282</v>
      </c>
      <c r="H372" s="47" t="s">
        <v>53</v>
      </c>
      <c r="I372" s="100">
        <v>244</v>
      </c>
      <c r="J372" s="52">
        <v>87</v>
      </c>
      <c r="K372" s="103" t="s">
        <v>1599</v>
      </c>
      <c r="L372" s="61" t="s">
        <v>274</v>
      </c>
      <c r="M372" s="54" t="str">
        <f>VLOOKUP(L372,Packaging!$B$3:$C$21,2,0)</f>
        <v>290 X 200 X 100</v>
      </c>
      <c r="N372" s="47"/>
      <c r="O372" s="100">
        <v>10</v>
      </c>
      <c r="P372" s="47" t="s">
        <v>55</v>
      </c>
      <c r="Q372" s="98" t="s">
        <v>1502</v>
      </c>
      <c r="R372" s="102" t="str">
        <f t="shared" si="0"/>
        <v>A5,B1,B2,B5,B8,B9,B10,B11,B14,B15,C9,D16</v>
      </c>
    </row>
    <row r="373" spans="1:18" ht="15.75" customHeight="1">
      <c r="A373" s="59" t="s">
        <v>1199</v>
      </c>
      <c r="B373" s="78" t="s">
        <v>1200</v>
      </c>
      <c r="C373" s="46" t="s">
        <v>1201</v>
      </c>
      <c r="D373" s="47" t="s">
        <v>886</v>
      </c>
      <c r="E373" s="99">
        <v>120</v>
      </c>
      <c r="F373" s="49">
        <v>46191</v>
      </c>
      <c r="G373" s="49">
        <v>46282</v>
      </c>
      <c r="H373" s="47" t="s">
        <v>53</v>
      </c>
      <c r="I373" s="100">
        <v>244</v>
      </c>
      <c r="J373" s="52">
        <v>49.1</v>
      </c>
      <c r="K373" s="103" t="s">
        <v>1600</v>
      </c>
      <c r="L373" s="61" t="s">
        <v>274</v>
      </c>
      <c r="M373" s="54" t="str">
        <f>VLOOKUP(L373,Packaging!$B$3:$C$21,2,0)</f>
        <v>290 X 200 X 100</v>
      </c>
      <c r="N373" s="47"/>
      <c r="O373" s="100">
        <v>20</v>
      </c>
      <c r="P373" s="47" t="s">
        <v>55</v>
      </c>
      <c r="Q373" s="98" t="s">
        <v>1502</v>
      </c>
      <c r="R373" s="102" t="str">
        <f t="shared" si="0"/>
        <v>A5,B1,B2,B5,B8,B9,B10,B11,B14,B15,C9,D16</v>
      </c>
    </row>
    <row r="374" spans="1:18" ht="15.75" customHeight="1">
      <c r="A374" s="59" t="s">
        <v>1202</v>
      </c>
      <c r="B374" s="78" t="s">
        <v>1203</v>
      </c>
      <c r="C374" s="46" t="s">
        <v>1204</v>
      </c>
      <c r="D374" s="47" t="s">
        <v>1205</v>
      </c>
      <c r="E374" s="99">
        <v>2000</v>
      </c>
      <c r="F374" s="49">
        <v>46191</v>
      </c>
      <c r="G374" s="49">
        <v>46282</v>
      </c>
      <c r="H374" s="47" t="s">
        <v>53</v>
      </c>
      <c r="I374" s="100">
        <v>244</v>
      </c>
      <c r="J374" s="52">
        <v>1.26</v>
      </c>
      <c r="K374" s="103" t="s">
        <v>1601</v>
      </c>
      <c r="L374" s="61" t="s">
        <v>274</v>
      </c>
      <c r="M374" s="54" t="str">
        <f>VLOOKUP(L374,Packaging!$B$3:$C$21,2,0)</f>
        <v>290 X 200 X 100</v>
      </c>
      <c r="N374" s="47"/>
      <c r="O374" s="100">
        <v>100</v>
      </c>
      <c r="P374" s="47" t="s">
        <v>55</v>
      </c>
      <c r="Q374" s="98" t="s">
        <v>1500</v>
      </c>
      <c r="R374" s="102" t="str">
        <f t="shared" si="0"/>
        <v/>
      </c>
    </row>
    <row r="375" spans="1:18" ht="15.75" customHeight="1"/>
    <row r="376" spans="1:18" ht="15.75" customHeight="1"/>
    <row r="377" spans="1:18" ht="15.75" customHeight="1"/>
    <row r="378" spans="1:18" ht="15.75" customHeight="1"/>
    <row r="379" spans="1:18" ht="15.75" customHeight="1"/>
    <row r="380" spans="1:18" ht="15.75" customHeight="1"/>
    <row r="381" spans="1:18" ht="15.75" customHeight="1"/>
    <row r="382" spans="1:18" ht="15.75" customHeight="1"/>
    <row r="383" spans="1:18" ht="15.75" customHeight="1"/>
    <row r="384" spans="1:18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2"/>
    <mergeCell ref="I3:M3"/>
  </mergeCells>
  <pageMargins left="0.75" right="0.75" top="1" bottom="1" header="0" footer="0"/>
  <pageSetup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12.7109375" customWidth="1"/>
    <col min="2" max="2" width="13" customWidth="1"/>
    <col min="3" max="26" width="10" customWidth="1"/>
  </cols>
  <sheetData>
    <row r="1" spans="1:2">
      <c r="A1" s="110" t="s">
        <v>1602</v>
      </c>
      <c r="B1" s="110" t="s">
        <v>1603</v>
      </c>
    </row>
    <row r="2" spans="1:2" ht="25.5">
      <c r="A2" s="110" t="s">
        <v>569</v>
      </c>
      <c r="B2" s="111" t="s">
        <v>1604</v>
      </c>
    </row>
    <row r="3" spans="1:2">
      <c r="A3" s="110" t="s">
        <v>886</v>
      </c>
      <c r="B3" s="111" t="s">
        <v>1605</v>
      </c>
    </row>
    <row r="4" spans="1:2">
      <c r="A4" s="110" t="s">
        <v>52</v>
      </c>
      <c r="B4" s="111" t="s">
        <v>1606</v>
      </c>
    </row>
    <row r="5" spans="1:2">
      <c r="A5" s="110" t="s">
        <v>969</v>
      </c>
      <c r="B5" s="110" t="s">
        <v>1607</v>
      </c>
    </row>
    <row r="6" spans="1:2" ht="38.25">
      <c r="A6" s="110" t="s">
        <v>1608</v>
      </c>
      <c r="B6" s="110" t="s">
        <v>1609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47.85546875" customWidth="1"/>
    <col min="2" max="26" width="10" customWidth="1"/>
  </cols>
  <sheetData>
    <row r="1" spans="1:2">
      <c r="A1" s="112" t="s">
        <v>1602</v>
      </c>
      <c r="B1" s="112" t="s">
        <v>1610</v>
      </c>
    </row>
    <row r="2" spans="1:2" ht="17.25">
      <c r="A2" s="113" t="s">
        <v>569</v>
      </c>
      <c r="B2" s="114" t="s">
        <v>1611</v>
      </c>
    </row>
    <row r="3" spans="1:2" ht="17.25">
      <c r="A3" s="113" t="s">
        <v>569</v>
      </c>
      <c r="B3" s="114" t="s">
        <v>1612</v>
      </c>
    </row>
    <row r="4" spans="1:2" ht="17.25">
      <c r="A4" s="113" t="s">
        <v>569</v>
      </c>
      <c r="B4" s="114" t="s">
        <v>1613</v>
      </c>
    </row>
    <row r="5" spans="1:2" ht="17.25">
      <c r="A5" s="113" t="s">
        <v>569</v>
      </c>
      <c r="B5" s="114" t="s">
        <v>1614</v>
      </c>
    </row>
    <row r="6" spans="1:2" ht="17.25">
      <c r="A6" s="113" t="s">
        <v>569</v>
      </c>
      <c r="B6" s="114" t="s">
        <v>1615</v>
      </c>
    </row>
    <row r="7" spans="1:2" ht="17.25">
      <c r="A7" s="113" t="s">
        <v>569</v>
      </c>
      <c r="B7" s="114" t="s">
        <v>1616</v>
      </c>
    </row>
    <row r="8" spans="1:2" ht="17.25">
      <c r="A8" s="113" t="s">
        <v>569</v>
      </c>
      <c r="B8" s="114" t="s">
        <v>1617</v>
      </c>
    </row>
    <row r="9" spans="1:2" ht="17.25">
      <c r="A9" s="113" t="s">
        <v>569</v>
      </c>
      <c r="B9" s="114" t="s">
        <v>1618</v>
      </c>
    </row>
    <row r="10" spans="1:2" ht="17.25">
      <c r="A10" s="113" t="s">
        <v>569</v>
      </c>
      <c r="B10" s="114" t="s">
        <v>1619</v>
      </c>
    </row>
    <row r="11" spans="1:2" ht="17.25">
      <c r="A11" s="113" t="s">
        <v>569</v>
      </c>
      <c r="B11" s="114" t="s">
        <v>1620</v>
      </c>
    </row>
    <row r="12" spans="1:2" ht="17.25">
      <c r="A12" s="113" t="s">
        <v>569</v>
      </c>
      <c r="B12" s="114" t="s">
        <v>1621</v>
      </c>
    </row>
    <row r="13" spans="1:2" ht="17.25">
      <c r="A13" s="113" t="s">
        <v>569</v>
      </c>
      <c r="B13" s="114" t="s">
        <v>1622</v>
      </c>
    </row>
    <row r="14" spans="1:2" ht="17.25">
      <c r="A14" s="113" t="s">
        <v>569</v>
      </c>
      <c r="B14" s="114" t="s">
        <v>1623</v>
      </c>
    </row>
    <row r="15" spans="1:2" ht="17.25">
      <c r="A15" s="113" t="s">
        <v>569</v>
      </c>
      <c r="B15" s="114" t="s">
        <v>1624</v>
      </c>
    </row>
    <row r="16" spans="1:2" ht="17.25">
      <c r="A16" s="113" t="s">
        <v>569</v>
      </c>
      <c r="B16" s="114" t="s">
        <v>1625</v>
      </c>
    </row>
    <row r="17" spans="1:2" ht="17.25">
      <c r="A17" s="113" t="s">
        <v>569</v>
      </c>
      <c r="B17" s="114" t="s">
        <v>1626</v>
      </c>
    </row>
    <row r="18" spans="1:2" ht="17.25">
      <c r="A18" s="113" t="s">
        <v>569</v>
      </c>
      <c r="B18" s="114" t="s">
        <v>1627</v>
      </c>
    </row>
    <row r="19" spans="1:2" ht="17.25">
      <c r="A19" s="113" t="s">
        <v>569</v>
      </c>
      <c r="B19" s="114" t="s">
        <v>1628</v>
      </c>
    </row>
    <row r="20" spans="1:2" ht="17.25">
      <c r="A20" s="113" t="s">
        <v>569</v>
      </c>
      <c r="B20" s="114" t="s">
        <v>1629</v>
      </c>
    </row>
    <row r="21" spans="1:2" ht="15.75" customHeight="1">
      <c r="A21" s="113" t="s">
        <v>569</v>
      </c>
      <c r="B21" s="114" t="s">
        <v>1630</v>
      </c>
    </row>
    <row r="22" spans="1:2" ht="15.75" customHeight="1">
      <c r="A22" s="113" t="s">
        <v>569</v>
      </c>
      <c r="B22" s="114" t="s">
        <v>1631</v>
      </c>
    </row>
    <row r="23" spans="1:2" ht="15.75" customHeight="1">
      <c r="A23" s="113" t="s">
        <v>569</v>
      </c>
      <c r="B23" s="114" t="s">
        <v>1632</v>
      </c>
    </row>
    <row r="24" spans="1:2" ht="15.75" customHeight="1">
      <c r="A24" s="113" t="s">
        <v>569</v>
      </c>
      <c r="B24" s="114" t="s">
        <v>1633</v>
      </c>
    </row>
    <row r="25" spans="1:2" ht="15.75" customHeight="1">
      <c r="A25" s="113" t="s">
        <v>569</v>
      </c>
      <c r="B25" s="114" t="s">
        <v>1634</v>
      </c>
    </row>
    <row r="26" spans="1:2" ht="15.75" customHeight="1">
      <c r="A26" s="113" t="s">
        <v>569</v>
      </c>
      <c r="B26" s="114" t="s">
        <v>1635</v>
      </c>
    </row>
    <row r="27" spans="1:2" ht="15.75" customHeight="1">
      <c r="A27" s="113" t="s">
        <v>569</v>
      </c>
      <c r="B27" s="114" t="s">
        <v>1636</v>
      </c>
    </row>
    <row r="28" spans="1:2" ht="15.75" customHeight="1">
      <c r="A28" s="113" t="s">
        <v>569</v>
      </c>
      <c r="B28" s="114" t="s">
        <v>1637</v>
      </c>
    </row>
    <row r="29" spans="1:2" ht="15.75" customHeight="1">
      <c r="A29" s="113" t="s">
        <v>569</v>
      </c>
      <c r="B29" s="114" t="s">
        <v>1638</v>
      </c>
    </row>
    <row r="30" spans="1:2" ht="15.75" customHeight="1">
      <c r="A30" s="113" t="s">
        <v>569</v>
      </c>
      <c r="B30" s="114" t="s">
        <v>1639</v>
      </c>
    </row>
    <row r="31" spans="1:2" ht="15.75" customHeight="1">
      <c r="A31" s="113" t="s">
        <v>569</v>
      </c>
      <c r="B31" s="114" t="s">
        <v>1640</v>
      </c>
    </row>
    <row r="32" spans="1:2" ht="15.75" customHeight="1">
      <c r="A32" s="113" t="s">
        <v>569</v>
      </c>
      <c r="B32" s="114" t="s">
        <v>1641</v>
      </c>
    </row>
    <row r="33" spans="1:2" ht="15.75" customHeight="1">
      <c r="A33" s="113" t="s">
        <v>569</v>
      </c>
      <c r="B33" s="114" t="s">
        <v>1642</v>
      </c>
    </row>
    <row r="34" spans="1:2" ht="15.75" customHeight="1">
      <c r="A34" s="113" t="s">
        <v>569</v>
      </c>
      <c r="B34" s="114" t="s">
        <v>1643</v>
      </c>
    </row>
    <row r="35" spans="1:2" ht="15.75" customHeight="1">
      <c r="A35" s="113" t="s">
        <v>569</v>
      </c>
      <c r="B35" s="114" t="s">
        <v>1644</v>
      </c>
    </row>
    <row r="36" spans="1:2" ht="15.75" customHeight="1">
      <c r="A36" s="113" t="s">
        <v>569</v>
      </c>
      <c r="B36" s="114" t="s">
        <v>1645</v>
      </c>
    </row>
    <row r="37" spans="1:2" ht="15.75" customHeight="1">
      <c r="A37" s="113" t="s">
        <v>569</v>
      </c>
      <c r="B37" s="114" t="s">
        <v>1646</v>
      </c>
    </row>
    <row r="38" spans="1:2" ht="15.75" customHeight="1">
      <c r="A38" s="113" t="s">
        <v>569</v>
      </c>
      <c r="B38" s="114" t="s">
        <v>1647</v>
      </c>
    </row>
    <row r="39" spans="1:2" ht="15.75" customHeight="1">
      <c r="A39" s="113" t="s">
        <v>569</v>
      </c>
      <c r="B39" s="114" t="s">
        <v>1648</v>
      </c>
    </row>
    <row r="40" spans="1:2" ht="15.75" customHeight="1">
      <c r="A40" s="113" t="s">
        <v>569</v>
      </c>
      <c r="B40" s="114" t="s">
        <v>1649</v>
      </c>
    </row>
    <row r="41" spans="1:2" ht="15.75" customHeight="1">
      <c r="A41" s="113" t="s">
        <v>569</v>
      </c>
      <c r="B41" s="114" t="s">
        <v>1650</v>
      </c>
    </row>
    <row r="42" spans="1:2" ht="15.75" customHeight="1">
      <c r="A42" s="113" t="s">
        <v>569</v>
      </c>
      <c r="B42" s="114" t="s">
        <v>1651</v>
      </c>
    </row>
    <row r="43" spans="1:2" ht="15.75" customHeight="1">
      <c r="A43" s="113" t="s">
        <v>886</v>
      </c>
      <c r="B43" s="114" t="s">
        <v>1652</v>
      </c>
    </row>
    <row r="44" spans="1:2" ht="15.75" customHeight="1">
      <c r="A44" s="113" t="s">
        <v>886</v>
      </c>
      <c r="B44" s="114" t="s">
        <v>1653</v>
      </c>
    </row>
    <row r="45" spans="1:2" ht="15.75" customHeight="1">
      <c r="A45" s="113" t="s">
        <v>886</v>
      </c>
      <c r="B45" s="114" t="s">
        <v>1654</v>
      </c>
    </row>
    <row r="46" spans="1:2" ht="15.75" customHeight="1">
      <c r="A46" s="113" t="s">
        <v>886</v>
      </c>
      <c r="B46" s="114" t="s">
        <v>1655</v>
      </c>
    </row>
    <row r="47" spans="1:2" ht="15.75" customHeight="1">
      <c r="A47" s="113" t="s">
        <v>886</v>
      </c>
      <c r="B47" s="114" t="s">
        <v>1656</v>
      </c>
    </row>
    <row r="48" spans="1:2" ht="15.75" customHeight="1">
      <c r="A48" s="113" t="s">
        <v>886</v>
      </c>
      <c r="B48" s="114" t="s">
        <v>1657</v>
      </c>
    </row>
    <row r="49" spans="1:2" ht="15.75" customHeight="1">
      <c r="A49" s="113" t="s">
        <v>886</v>
      </c>
      <c r="B49" s="114" t="s">
        <v>1658</v>
      </c>
    </row>
    <row r="50" spans="1:2" ht="15.75" customHeight="1">
      <c r="A50" s="113" t="s">
        <v>886</v>
      </c>
      <c r="B50" s="114" t="s">
        <v>1659</v>
      </c>
    </row>
    <row r="51" spans="1:2" ht="15.75" customHeight="1">
      <c r="A51" s="113" t="s">
        <v>886</v>
      </c>
      <c r="B51" s="114" t="s">
        <v>1660</v>
      </c>
    </row>
    <row r="52" spans="1:2" ht="15.75" customHeight="1">
      <c r="A52" s="113" t="s">
        <v>886</v>
      </c>
      <c r="B52" s="114" t="s">
        <v>1661</v>
      </c>
    </row>
    <row r="53" spans="1:2" ht="15.75" customHeight="1">
      <c r="A53" s="113" t="s">
        <v>886</v>
      </c>
      <c r="B53" s="114" t="s">
        <v>1661</v>
      </c>
    </row>
    <row r="54" spans="1:2" ht="15.75" customHeight="1">
      <c r="A54" s="113" t="s">
        <v>886</v>
      </c>
      <c r="B54" s="114" t="s">
        <v>1662</v>
      </c>
    </row>
    <row r="55" spans="1:2" ht="15.75" customHeight="1">
      <c r="A55" s="113" t="s">
        <v>886</v>
      </c>
      <c r="B55" s="114" t="s">
        <v>1663</v>
      </c>
    </row>
    <row r="56" spans="1:2" ht="15.75" customHeight="1">
      <c r="A56" s="113" t="s">
        <v>52</v>
      </c>
      <c r="B56" s="114" t="s">
        <v>1664</v>
      </c>
    </row>
    <row r="57" spans="1:2" ht="15.75" customHeight="1">
      <c r="A57" s="113" t="s">
        <v>52</v>
      </c>
      <c r="B57" s="114" t="s">
        <v>1665</v>
      </c>
    </row>
    <row r="58" spans="1:2" ht="15.75" customHeight="1">
      <c r="A58" s="113" t="s">
        <v>52</v>
      </c>
      <c r="B58" s="114" t="s">
        <v>1666</v>
      </c>
    </row>
    <row r="59" spans="1:2" ht="15.75" customHeight="1">
      <c r="A59" s="113" t="s">
        <v>52</v>
      </c>
      <c r="B59" s="114" t="s">
        <v>1667</v>
      </c>
    </row>
    <row r="60" spans="1:2" ht="15.75" customHeight="1">
      <c r="A60" s="113" t="s">
        <v>52</v>
      </c>
      <c r="B60" s="114" t="s">
        <v>1668</v>
      </c>
    </row>
    <row r="61" spans="1:2" ht="15.75" customHeight="1">
      <c r="A61" s="113" t="s">
        <v>52</v>
      </c>
      <c r="B61" s="114" t="s">
        <v>1669</v>
      </c>
    </row>
    <row r="62" spans="1:2" ht="15.75" customHeight="1">
      <c r="A62" s="113" t="s">
        <v>52</v>
      </c>
      <c r="B62" s="114" t="s">
        <v>1670</v>
      </c>
    </row>
    <row r="63" spans="1:2" ht="15.75" customHeight="1">
      <c r="A63" s="113" t="s">
        <v>52</v>
      </c>
      <c r="B63" s="114" t="s">
        <v>1671</v>
      </c>
    </row>
    <row r="64" spans="1:2" ht="15.75" customHeight="1">
      <c r="A64" s="113" t="s">
        <v>52</v>
      </c>
      <c r="B64" s="114" t="s">
        <v>1672</v>
      </c>
    </row>
    <row r="65" spans="1:2" ht="15.75" customHeight="1">
      <c r="A65" s="113" t="s">
        <v>52</v>
      </c>
      <c r="B65" s="114" t="s">
        <v>1673</v>
      </c>
    </row>
    <row r="66" spans="1:2" ht="15.75" customHeight="1">
      <c r="A66" s="113" t="s">
        <v>52</v>
      </c>
      <c r="B66" s="114" t="s">
        <v>1674</v>
      </c>
    </row>
    <row r="67" spans="1:2" ht="15.75" customHeight="1">
      <c r="A67" s="113" t="s">
        <v>52</v>
      </c>
      <c r="B67" s="114" t="s">
        <v>1675</v>
      </c>
    </row>
    <row r="68" spans="1:2" ht="15.75" customHeight="1">
      <c r="A68" s="113" t="s">
        <v>52</v>
      </c>
      <c r="B68" s="89" t="s">
        <v>1676</v>
      </c>
    </row>
    <row r="69" spans="1:2" ht="15.75" customHeight="1">
      <c r="A69" s="113" t="s">
        <v>52</v>
      </c>
      <c r="B69" s="89" t="s">
        <v>1677</v>
      </c>
    </row>
    <row r="70" spans="1:2" ht="15.75" customHeight="1">
      <c r="A70" s="113" t="s">
        <v>52</v>
      </c>
      <c r="B70" s="89" t="s">
        <v>1678</v>
      </c>
    </row>
    <row r="71" spans="1:2" ht="15.75" customHeight="1">
      <c r="A71" s="113" t="s">
        <v>52</v>
      </c>
      <c r="B71" s="89" t="s">
        <v>1679</v>
      </c>
    </row>
    <row r="72" spans="1:2" ht="15.75" customHeight="1">
      <c r="A72" s="113" t="s">
        <v>52</v>
      </c>
      <c r="B72" s="114" t="s">
        <v>1680</v>
      </c>
    </row>
    <row r="73" spans="1:2" ht="15.75" customHeight="1">
      <c r="A73" s="113" t="s">
        <v>52</v>
      </c>
      <c r="B73" s="114" t="s">
        <v>1681</v>
      </c>
    </row>
    <row r="74" spans="1:2" ht="15.75" customHeight="1">
      <c r="A74" s="113" t="s">
        <v>52</v>
      </c>
      <c r="B74" s="114" t="s">
        <v>1682</v>
      </c>
    </row>
    <row r="75" spans="1:2" ht="15.75" customHeight="1">
      <c r="A75" s="113" t="s">
        <v>52</v>
      </c>
      <c r="B75" s="114" t="s">
        <v>1683</v>
      </c>
    </row>
    <row r="76" spans="1:2" ht="15.75" customHeight="1">
      <c r="A76" s="113" t="s">
        <v>52</v>
      </c>
      <c r="B76" s="114" t="s">
        <v>1684</v>
      </c>
    </row>
    <row r="77" spans="1:2" ht="15.75" customHeight="1">
      <c r="A77" s="113" t="s">
        <v>52</v>
      </c>
      <c r="B77" s="114" t="s">
        <v>1685</v>
      </c>
    </row>
    <row r="78" spans="1:2" ht="15.75" customHeight="1">
      <c r="A78" s="113" t="s">
        <v>52</v>
      </c>
      <c r="B78" s="114" t="s">
        <v>1686</v>
      </c>
    </row>
    <row r="79" spans="1:2" ht="15.75" customHeight="1">
      <c r="A79" s="113" t="s">
        <v>52</v>
      </c>
      <c r="B79" s="114" t="s">
        <v>1687</v>
      </c>
    </row>
    <row r="80" spans="1:2" ht="15.75" customHeight="1">
      <c r="A80" s="113" t="s">
        <v>52</v>
      </c>
      <c r="B80" s="114" t="s">
        <v>1688</v>
      </c>
    </row>
    <row r="81" spans="1:2" ht="15.75" customHeight="1">
      <c r="A81" s="113" t="s">
        <v>52</v>
      </c>
      <c r="B81" s="114" t="s">
        <v>1689</v>
      </c>
    </row>
    <row r="82" spans="1:2" ht="15.75" customHeight="1">
      <c r="A82" s="113" t="s">
        <v>52</v>
      </c>
      <c r="B82" s="114" t="s">
        <v>1690</v>
      </c>
    </row>
    <row r="83" spans="1:2" ht="15.75" customHeight="1">
      <c r="A83" s="113" t="s">
        <v>52</v>
      </c>
      <c r="B83" s="114" t="s">
        <v>1691</v>
      </c>
    </row>
    <row r="84" spans="1:2" ht="15.75" customHeight="1">
      <c r="A84" s="113" t="s">
        <v>52</v>
      </c>
      <c r="B84" s="114" t="s">
        <v>1691</v>
      </c>
    </row>
    <row r="85" spans="1:2" ht="15.75" customHeight="1">
      <c r="A85" s="113" t="s">
        <v>52</v>
      </c>
      <c r="B85" s="114" t="s">
        <v>1692</v>
      </c>
    </row>
    <row r="86" spans="1:2" ht="15.75" customHeight="1">
      <c r="A86" s="113" t="s">
        <v>52</v>
      </c>
      <c r="B86" s="114" t="s">
        <v>1693</v>
      </c>
    </row>
    <row r="87" spans="1:2" ht="15.75" customHeight="1">
      <c r="A87" s="113" t="s">
        <v>52</v>
      </c>
      <c r="B87" s="114" t="s">
        <v>1694</v>
      </c>
    </row>
    <row r="88" spans="1:2" ht="15.75" customHeight="1">
      <c r="A88" s="113" t="s">
        <v>52</v>
      </c>
      <c r="B88" s="114" t="s">
        <v>1695</v>
      </c>
    </row>
    <row r="89" spans="1:2" ht="15.75" customHeight="1">
      <c r="A89" s="113" t="s">
        <v>52</v>
      </c>
      <c r="B89" s="114" t="s">
        <v>1696</v>
      </c>
    </row>
    <row r="90" spans="1:2" ht="15.75" customHeight="1">
      <c r="A90" s="113" t="s">
        <v>52</v>
      </c>
      <c r="B90" s="114" t="s">
        <v>1697</v>
      </c>
    </row>
    <row r="91" spans="1:2" ht="15.75" customHeight="1">
      <c r="A91" s="113" t="s">
        <v>52</v>
      </c>
      <c r="B91" s="114" t="s">
        <v>1698</v>
      </c>
    </row>
    <row r="92" spans="1:2" ht="15.75" customHeight="1">
      <c r="A92" s="113" t="s">
        <v>52</v>
      </c>
      <c r="B92" s="114" t="s">
        <v>1699</v>
      </c>
    </row>
    <row r="93" spans="1:2" ht="15.75" customHeight="1">
      <c r="A93" s="113" t="s">
        <v>52</v>
      </c>
      <c r="B93" s="114" t="s">
        <v>1700</v>
      </c>
    </row>
    <row r="94" spans="1:2" ht="15.75" customHeight="1">
      <c r="A94" s="113" t="s">
        <v>52</v>
      </c>
      <c r="B94" s="114" t="s">
        <v>1701</v>
      </c>
    </row>
    <row r="95" spans="1:2" ht="15.75" customHeight="1">
      <c r="A95" s="113" t="s">
        <v>52</v>
      </c>
      <c r="B95" s="114" t="s">
        <v>1702</v>
      </c>
    </row>
    <row r="96" spans="1:2" ht="15.75" customHeight="1">
      <c r="A96" s="113" t="s">
        <v>52</v>
      </c>
      <c r="B96" s="114" t="s">
        <v>1703</v>
      </c>
    </row>
    <row r="97" spans="1:2" ht="15.75" customHeight="1">
      <c r="A97" s="113" t="s">
        <v>52</v>
      </c>
      <c r="B97" s="114" t="s">
        <v>1704</v>
      </c>
    </row>
    <row r="98" spans="1:2" ht="15.75" customHeight="1">
      <c r="A98" s="113" t="s">
        <v>52</v>
      </c>
      <c r="B98" s="114" t="s">
        <v>1705</v>
      </c>
    </row>
    <row r="99" spans="1:2" ht="15.75" customHeight="1">
      <c r="A99" s="113" t="s">
        <v>52</v>
      </c>
      <c r="B99" s="114" t="s">
        <v>1706</v>
      </c>
    </row>
    <row r="100" spans="1:2" ht="15.75" customHeight="1">
      <c r="A100" s="113" t="s">
        <v>52</v>
      </c>
      <c r="B100" s="114" t="s">
        <v>1707</v>
      </c>
    </row>
    <row r="101" spans="1:2" ht="15.75" customHeight="1">
      <c r="A101" s="113" t="s">
        <v>52</v>
      </c>
      <c r="B101" s="114" t="s">
        <v>1708</v>
      </c>
    </row>
    <row r="102" spans="1:2" ht="15.75" customHeight="1">
      <c r="A102" s="113" t="s">
        <v>52</v>
      </c>
      <c r="B102" s="114" t="s">
        <v>1709</v>
      </c>
    </row>
    <row r="103" spans="1:2" ht="15.75" customHeight="1">
      <c r="A103" s="113" t="s">
        <v>52</v>
      </c>
      <c r="B103" s="114" t="s">
        <v>1710</v>
      </c>
    </row>
    <row r="104" spans="1:2" ht="15.75" customHeight="1">
      <c r="A104" s="113" t="s">
        <v>52</v>
      </c>
      <c r="B104" s="114" t="s">
        <v>1711</v>
      </c>
    </row>
    <row r="105" spans="1:2" ht="15.75" customHeight="1">
      <c r="A105" s="113" t="s">
        <v>52</v>
      </c>
      <c r="B105" s="114" t="s">
        <v>1712</v>
      </c>
    </row>
    <row r="106" spans="1:2" ht="15.75" customHeight="1">
      <c r="A106" s="113" t="s">
        <v>52</v>
      </c>
      <c r="B106" s="114" t="s">
        <v>1713</v>
      </c>
    </row>
    <row r="107" spans="1:2" ht="15.75" customHeight="1">
      <c r="A107" s="113" t="s">
        <v>52</v>
      </c>
      <c r="B107" s="114" t="s">
        <v>1714</v>
      </c>
    </row>
    <row r="108" spans="1:2" ht="15.75" customHeight="1">
      <c r="A108" s="113" t="s">
        <v>52</v>
      </c>
      <c r="B108" s="114" t="s">
        <v>1715</v>
      </c>
    </row>
    <row r="109" spans="1:2" ht="15.75" customHeight="1">
      <c r="A109" s="113" t="s">
        <v>52</v>
      </c>
      <c r="B109" s="114" t="s">
        <v>1716</v>
      </c>
    </row>
    <row r="110" spans="1:2" ht="15.75" customHeight="1">
      <c r="A110" s="113" t="s">
        <v>52</v>
      </c>
      <c r="B110" s="114" t="s">
        <v>1717</v>
      </c>
    </row>
    <row r="111" spans="1:2" ht="15.75" customHeight="1">
      <c r="A111" s="113" t="s">
        <v>52</v>
      </c>
      <c r="B111" s="114" t="s">
        <v>1718</v>
      </c>
    </row>
    <row r="112" spans="1:2" ht="15.75" customHeight="1">
      <c r="A112" s="113" t="s">
        <v>52</v>
      </c>
      <c r="B112" s="114" t="s">
        <v>1719</v>
      </c>
    </row>
    <row r="113" spans="1:2" ht="15.75" customHeight="1">
      <c r="A113" s="113" t="s">
        <v>52</v>
      </c>
      <c r="B113" s="114" t="s">
        <v>1720</v>
      </c>
    </row>
    <row r="114" spans="1:2" ht="15.75" customHeight="1">
      <c r="A114" s="113" t="s">
        <v>52</v>
      </c>
      <c r="B114" s="114" t="s">
        <v>1721</v>
      </c>
    </row>
    <row r="115" spans="1:2" ht="15.75" customHeight="1">
      <c r="A115" s="113" t="s">
        <v>52</v>
      </c>
      <c r="B115" s="114" t="s">
        <v>1722</v>
      </c>
    </row>
    <row r="116" spans="1:2" ht="15.75" customHeight="1">
      <c r="A116" s="113" t="s">
        <v>52</v>
      </c>
      <c r="B116" s="114" t="s">
        <v>1723</v>
      </c>
    </row>
    <row r="117" spans="1:2" ht="15.75" customHeight="1">
      <c r="A117" s="113" t="s">
        <v>52</v>
      </c>
      <c r="B117" s="114" t="s">
        <v>1724</v>
      </c>
    </row>
    <row r="118" spans="1:2" ht="15.75" customHeight="1">
      <c r="A118" s="113" t="s">
        <v>52</v>
      </c>
      <c r="B118" s="114" t="s">
        <v>1725</v>
      </c>
    </row>
    <row r="119" spans="1:2" ht="15.75" customHeight="1">
      <c r="A119" s="113" t="s">
        <v>969</v>
      </c>
      <c r="B119" s="114" t="s">
        <v>1726</v>
      </c>
    </row>
    <row r="120" spans="1:2" ht="15.75" customHeight="1">
      <c r="A120" s="113" t="s">
        <v>969</v>
      </c>
      <c r="B120" s="114" t="s">
        <v>1727</v>
      </c>
    </row>
    <row r="121" spans="1:2" ht="15.75" customHeight="1">
      <c r="A121" s="113" t="s">
        <v>1608</v>
      </c>
      <c r="B121" s="114" t="s">
        <v>1728</v>
      </c>
    </row>
    <row r="122" spans="1:2" ht="15.75" customHeight="1">
      <c r="A122" s="113" t="s">
        <v>1608</v>
      </c>
      <c r="B122" s="114" t="s">
        <v>1729</v>
      </c>
    </row>
    <row r="123" spans="1:2" ht="15.75" customHeight="1">
      <c r="A123" s="113" t="s">
        <v>1608</v>
      </c>
      <c r="B123" s="114" t="s">
        <v>1730</v>
      </c>
    </row>
    <row r="124" spans="1:2" ht="15.75" customHeight="1"/>
    <row r="125" spans="1:2" ht="15.75" customHeight="1"/>
    <row r="126" spans="1:2" ht="15.75" customHeight="1"/>
    <row r="127" spans="1:2" ht="15.75" customHeight="1"/>
    <row r="128" spans="1:2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  <vt:lpstr>rak2</vt:lpstr>
      <vt:lpstr>rak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2018-02-20T14:41:00Z</dcterms:created>
  <dcterms:modified xsi:type="dcterms:W3CDTF">2026-05-18T14:13:14Z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1033-11.1.0.11723</vt:lpwstr>
  </property>
  <property fmtid="{D5CDD505-2E9C-101B-9397-08002B2CF9AE}" pid="4" name="ICV">
    <vt:lpwstr>5717623070ba4a1189dc91d54fcb8de0</vt:lpwstr>
  </property>
</Properties>
</file>